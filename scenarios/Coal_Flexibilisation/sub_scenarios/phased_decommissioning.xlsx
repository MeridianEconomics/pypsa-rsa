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ndivh_alppvxj\Meridian Dropbox\ME Projects\01 PROJECTS &amp; PROPOSALS\PyPSA scenarios\Learning\NM_move_compass\sub_scenarios\"/>
    </mc:Choice>
  </mc:AlternateContent>
  <xr:revisionPtr revIDLastSave="0" documentId="13_ncr:1_{B04911B9-460C-46BD-A7D4-9B2A81B1C0F0}" xr6:coauthVersionLast="47" xr6:coauthVersionMax="47" xr10:uidLastSave="{00000000-0000-0000-0000-000000000000}"/>
  <bookViews>
    <workbookView xWindow="19090" yWindow="-110" windowWidth="38620" windowHeight="21100" xr2:uid="{00000000-000D-0000-FFFF-FFFF00000000}"/>
  </bookViews>
  <sheets>
    <sheet name="schedule" sheetId="1" r:id="rId1"/>
    <sheet name="archive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90" i="1" l="1"/>
  <c r="L289" i="1"/>
  <c r="Q288" i="1"/>
  <c r="L288" i="1"/>
  <c r="Q287" i="1"/>
  <c r="L287" i="1"/>
  <c r="Q286" i="1"/>
  <c r="L286" i="1"/>
  <c r="Q285" i="1"/>
  <c r="N282" i="1"/>
  <c r="N283" i="1" s="1"/>
  <c r="N284" i="1" s="1"/>
  <c r="N285" i="1" s="1"/>
  <c r="N286" i="1" s="1"/>
  <c r="N287" i="1" s="1"/>
  <c r="N288" i="1" s="1"/>
  <c r="N289" i="1" s="1"/>
  <c r="N290" i="1" s="1"/>
  <c r="N280" i="1"/>
  <c r="N279" i="1"/>
  <c r="O278" i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N278" i="1"/>
  <c r="O276" i="1"/>
  <c r="O275" i="1"/>
  <c r="O274" i="1"/>
  <c r="N274" i="1"/>
  <c r="N275" i="1" s="1"/>
  <c r="N276" i="1" s="1"/>
  <c r="N277" i="1" s="1"/>
  <c r="J274" i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N273" i="1"/>
  <c r="M273" i="1"/>
  <c r="M274" i="1" s="1"/>
  <c r="M275" i="1" s="1"/>
  <c r="M276" i="1" s="1"/>
  <c r="M277" i="1" s="1"/>
  <c r="M278" i="1" s="1"/>
  <c r="M279" i="1" s="1"/>
  <c r="M280" i="1" s="1"/>
  <c r="M281" i="1" s="1"/>
  <c r="M282" i="1" s="1"/>
  <c r="M283" i="1" s="1"/>
  <c r="M284" i="1" s="1"/>
  <c r="M285" i="1" s="1"/>
  <c r="M286" i="1" s="1"/>
  <c r="M287" i="1" s="1"/>
  <c r="M288" i="1" s="1"/>
  <c r="M289" i="1" s="1"/>
  <c r="M290" i="1" s="1"/>
  <c r="O272" i="1"/>
  <c r="O273" i="1" s="1"/>
  <c r="O271" i="1"/>
  <c r="M271" i="1"/>
  <c r="J271" i="1"/>
  <c r="J272" i="1" s="1"/>
  <c r="M270" i="1"/>
  <c r="F270" i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P268" i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J268" i="1"/>
  <c r="J269" i="1" s="1"/>
  <c r="F268" i="1"/>
  <c r="K267" i="1"/>
  <c r="K268" i="1" s="1"/>
  <c r="K269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J267" i="1"/>
  <c r="E267" i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P266" i="1"/>
  <c r="D266" i="1"/>
  <c r="D267" i="1" s="1"/>
  <c r="R265" i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P265" i="1"/>
  <c r="E265" i="1"/>
  <c r="P264" i="1"/>
  <c r="I264" i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H264" i="1"/>
  <c r="H265" i="1" s="1"/>
  <c r="H266" i="1" s="1"/>
  <c r="H267" i="1" s="1"/>
  <c r="H268" i="1" s="1"/>
  <c r="H269" i="1" s="1"/>
  <c r="H270" i="1" s="1"/>
  <c r="H271" i="1" s="1"/>
  <c r="H272" i="1" s="1"/>
  <c r="H273" i="1" s="1"/>
  <c r="H274" i="1" s="1"/>
  <c r="H275" i="1" s="1"/>
  <c r="H276" i="1" s="1"/>
  <c r="H277" i="1" s="1"/>
  <c r="H278" i="1" s="1"/>
  <c r="H279" i="1" s="1"/>
  <c r="H280" i="1" s="1"/>
  <c r="H281" i="1" s="1"/>
  <c r="H282" i="1" s="1"/>
  <c r="H283" i="1" s="1"/>
  <c r="H284" i="1" s="1"/>
  <c r="H285" i="1" s="1"/>
  <c r="H286" i="1" s="1"/>
  <c r="H287" i="1" s="1"/>
  <c r="H288" i="1" s="1"/>
  <c r="H289" i="1" s="1"/>
  <c r="H290" i="1" s="1"/>
  <c r="D264" i="1"/>
  <c r="R263" i="1"/>
  <c r="P263" i="1"/>
  <c r="K263" i="1"/>
  <c r="K264" i="1" s="1"/>
  <c r="K265" i="1" s="1"/>
  <c r="D263" i="1"/>
  <c r="P262" i="1"/>
  <c r="H262" i="1"/>
  <c r="G262" i="1"/>
  <c r="G263" i="1" s="1"/>
  <c r="G264" i="1" s="1"/>
  <c r="G265" i="1" s="1"/>
  <c r="R261" i="1"/>
  <c r="R262" i="1" s="1"/>
  <c r="D261" i="1"/>
  <c r="D262" i="1" s="1"/>
  <c r="S260" i="1" a="1"/>
  <c r="S260" i="1" s="1"/>
  <c r="S259" i="1" a="1"/>
  <c r="S259" i="1" s="1"/>
  <c r="S258" i="1" a="1"/>
  <c r="S258" i="1" s="1"/>
  <c r="S257" i="1" a="1"/>
  <c r="S257" i="1" s="1"/>
  <c r="S256" i="1" a="1"/>
  <c r="S256" i="1" s="1"/>
  <c r="B256" i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A256" i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S255" i="1" a="1"/>
  <c r="S255" i="1" s="1"/>
  <c r="L250" i="1"/>
  <c r="L251" i="1" s="1"/>
  <c r="L252" i="1" s="1"/>
  <c r="L253" i="1" s="1"/>
  <c r="L254" i="1" s="1"/>
  <c r="Q249" i="1"/>
  <c r="Q250" i="1" s="1"/>
  <c r="Q251" i="1" s="1"/>
  <c r="Q252" i="1" s="1"/>
  <c r="Q253" i="1" s="1"/>
  <c r="Q254" i="1" s="1"/>
  <c r="Q247" i="1"/>
  <c r="Q246" i="1"/>
  <c r="N246" i="1"/>
  <c r="N247" i="1" s="1"/>
  <c r="N248" i="1" s="1"/>
  <c r="N249" i="1" s="1"/>
  <c r="N250" i="1" s="1"/>
  <c r="N251" i="1" s="1"/>
  <c r="N252" i="1" s="1"/>
  <c r="N253" i="1" s="1"/>
  <c r="N254" i="1" s="1"/>
  <c r="L246" i="1"/>
  <c r="L247" i="1" s="1"/>
  <c r="L248" i="1" s="1"/>
  <c r="Q245" i="1"/>
  <c r="N244" i="1"/>
  <c r="N243" i="1"/>
  <c r="O242" i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4" i="1" s="1"/>
  <c r="N242" i="1"/>
  <c r="O240" i="1"/>
  <c r="O239" i="1"/>
  <c r="O238" i="1"/>
  <c r="N238" i="1"/>
  <c r="N239" i="1" s="1"/>
  <c r="N240" i="1" s="1"/>
  <c r="N241" i="1" s="1"/>
  <c r="J238" i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N237" i="1"/>
  <c r="M237" i="1"/>
  <c r="M238" i="1" s="1"/>
  <c r="M239" i="1" s="1"/>
  <c r="M240" i="1" s="1"/>
  <c r="M241" i="1" s="1"/>
  <c r="M242" i="1" s="1"/>
  <c r="M243" i="1" s="1"/>
  <c r="M244" i="1" s="1"/>
  <c r="M245" i="1" s="1"/>
  <c r="M246" i="1" s="1"/>
  <c r="M247" i="1" s="1"/>
  <c r="M248" i="1" s="1"/>
  <c r="M249" i="1" s="1"/>
  <c r="M250" i="1" s="1"/>
  <c r="M251" i="1" s="1"/>
  <c r="M252" i="1" s="1"/>
  <c r="M253" i="1" s="1"/>
  <c r="M254" i="1" s="1"/>
  <c r="O236" i="1"/>
  <c r="O237" i="1" s="1"/>
  <c r="O235" i="1"/>
  <c r="M235" i="1"/>
  <c r="J235" i="1"/>
  <c r="J236" i="1" s="1"/>
  <c r="M234" i="1"/>
  <c r="M233" i="1"/>
  <c r="P232" i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J232" i="1"/>
  <c r="J233" i="1" s="1"/>
  <c r="F231" i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P230" i="1"/>
  <c r="R229" i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P229" i="1"/>
  <c r="F229" i="1"/>
  <c r="P228" i="1"/>
  <c r="E228" i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D228" i="1"/>
  <c r="D229" i="1" s="1"/>
  <c r="D230" i="1" s="1"/>
  <c r="D231" i="1" s="1"/>
  <c r="D232" i="1" s="1"/>
  <c r="R227" i="1"/>
  <c r="P227" i="1"/>
  <c r="P226" i="1"/>
  <c r="D226" i="1"/>
  <c r="R225" i="1"/>
  <c r="R226" i="1" s="1"/>
  <c r="K225" i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8" i="1" s="1"/>
  <c r="K249" i="1" s="1"/>
  <c r="K250" i="1" s="1"/>
  <c r="K251" i="1" s="1"/>
  <c r="K252" i="1" s="1"/>
  <c r="K253" i="1" s="1"/>
  <c r="K254" i="1" s="1"/>
  <c r="I225" i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H225" i="1"/>
  <c r="H226" i="1" s="1"/>
  <c r="H227" i="1" s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G225" i="1"/>
  <c r="E225" i="1"/>
  <c r="E226" i="1" s="1"/>
  <c r="D225" i="1"/>
  <c r="E224" i="1"/>
  <c r="D224" i="1"/>
  <c r="S224" i="1" s="1" a="1"/>
  <c r="S224" i="1" s="1"/>
  <c r="S223" i="1" a="1"/>
  <c r="S223" i="1" s="1"/>
  <c r="S222" i="1" a="1"/>
  <c r="S222" i="1" s="1"/>
  <c r="S221" i="1" a="1"/>
  <c r="S221" i="1" s="1"/>
  <c r="S220" i="1" a="1"/>
  <c r="S220" i="1" s="1"/>
  <c r="B220" i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A220" i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S219" i="1" a="1"/>
  <c r="S219" i="1" s="1"/>
  <c r="L209" i="1"/>
  <c r="L210" i="1" s="1"/>
  <c r="L211" i="1" s="1"/>
  <c r="L212" i="1" s="1"/>
  <c r="L213" i="1" s="1"/>
  <c r="L214" i="1" s="1"/>
  <c r="L215" i="1" s="1"/>
  <c r="L216" i="1" s="1"/>
  <c r="L217" i="1" s="1"/>
  <c r="L218" i="1" s="1"/>
  <c r="Q207" i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L206" i="1"/>
  <c r="L207" i="1" s="1"/>
  <c r="Q205" i="1"/>
  <c r="N205" i="1"/>
  <c r="N206" i="1" s="1"/>
  <c r="N207" i="1" s="1"/>
  <c r="N208" i="1" s="1"/>
  <c r="N209" i="1" s="1"/>
  <c r="N210" i="1" s="1"/>
  <c r="N211" i="1" s="1"/>
  <c r="N212" i="1" s="1"/>
  <c r="N213" i="1" s="1"/>
  <c r="N214" i="1" s="1"/>
  <c r="N215" i="1" s="1"/>
  <c r="N216" i="1" s="1"/>
  <c r="N217" i="1" s="1"/>
  <c r="N218" i="1" s="1"/>
  <c r="Q204" i="1"/>
  <c r="O204" i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N203" i="1"/>
  <c r="O202" i="1"/>
  <c r="N202" i="1"/>
  <c r="O201" i="1"/>
  <c r="N201" i="1"/>
  <c r="J201" i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O200" i="1"/>
  <c r="M200" i="1"/>
  <c r="M201" i="1" s="1"/>
  <c r="M202" i="1" s="1"/>
  <c r="M203" i="1" s="1"/>
  <c r="M204" i="1" s="1"/>
  <c r="M205" i="1" s="1"/>
  <c r="M206" i="1" s="1"/>
  <c r="M207" i="1" s="1"/>
  <c r="M208" i="1" s="1"/>
  <c r="M209" i="1" s="1"/>
  <c r="M210" i="1" s="1"/>
  <c r="M211" i="1" s="1"/>
  <c r="M212" i="1" s="1"/>
  <c r="M213" i="1" s="1"/>
  <c r="M214" i="1" s="1"/>
  <c r="M215" i="1" s="1"/>
  <c r="M216" i="1" s="1"/>
  <c r="M217" i="1" s="1"/>
  <c r="M218" i="1" s="1"/>
  <c r="O199" i="1"/>
  <c r="J199" i="1"/>
  <c r="M198" i="1"/>
  <c r="M197" i="1"/>
  <c r="P196" i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J196" i="1"/>
  <c r="J197" i="1" s="1"/>
  <c r="F195" i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P194" i="1"/>
  <c r="R193" i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P193" i="1"/>
  <c r="F193" i="1"/>
  <c r="P192" i="1"/>
  <c r="E192" i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D192" i="1"/>
  <c r="R191" i="1"/>
  <c r="P191" i="1"/>
  <c r="P190" i="1"/>
  <c r="D190" i="1"/>
  <c r="R189" i="1"/>
  <c r="R190" i="1" s="1"/>
  <c r="K189" i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2" i="1" s="1"/>
  <c r="K213" i="1" s="1"/>
  <c r="K214" i="1" s="1"/>
  <c r="K215" i="1" s="1"/>
  <c r="K216" i="1" s="1"/>
  <c r="K217" i="1" s="1"/>
  <c r="K218" i="1" s="1"/>
  <c r="I189" i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H189" i="1"/>
  <c r="H190" i="1" s="1"/>
  <c r="H191" i="1" s="1"/>
  <c r="H192" i="1" s="1"/>
  <c r="H193" i="1" s="1"/>
  <c r="H194" i="1" s="1"/>
  <c r="H195" i="1" s="1"/>
  <c r="H196" i="1" s="1"/>
  <c r="H197" i="1" s="1"/>
  <c r="H198" i="1" s="1"/>
  <c r="H199" i="1" s="1"/>
  <c r="H200" i="1" s="1"/>
  <c r="H201" i="1" s="1"/>
  <c r="H202" i="1" s="1"/>
  <c r="H203" i="1" s="1"/>
  <c r="H204" i="1" s="1"/>
  <c r="H205" i="1" s="1"/>
  <c r="H206" i="1" s="1"/>
  <c r="H207" i="1" s="1"/>
  <c r="H208" i="1" s="1"/>
  <c r="H209" i="1" s="1"/>
  <c r="H210" i="1" s="1"/>
  <c r="H211" i="1" s="1"/>
  <c r="H212" i="1" s="1"/>
  <c r="H213" i="1" s="1"/>
  <c r="H214" i="1" s="1"/>
  <c r="H215" i="1" s="1"/>
  <c r="H216" i="1" s="1"/>
  <c r="H217" i="1" s="1"/>
  <c r="H218" i="1" s="1"/>
  <c r="G189" i="1"/>
  <c r="G190" i="1" s="1"/>
  <c r="G191" i="1" s="1"/>
  <c r="E189" i="1"/>
  <c r="E190" i="1" s="1"/>
  <c r="D189" i="1"/>
  <c r="E188" i="1"/>
  <c r="S188" i="1" s="1" a="1"/>
  <c r="S188" i="1" s="1"/>
  <c r="D188" i="1"/>
  <c r="S187" i="1" a="1"/>
  <c r="S187" i="1" s="1"/>
  <c r="S186" i="1" a="1"/>
  <c r="S186" i="1" s="1"/>
  <c r="S185" i="1" a="1"/>
  <c r="S185" i="1" s="1"/>
  <c r="S184" i="1" a="1"/>
  <c r="S184" i="1" s="1"/>
  <c r="B184" i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A184" i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S183" i="1" a="1"/>
  <c r="S183" i="1" s="1"/>
  <c r="Q182" i="1"/>
  <c r="L181" i="1"/>
  <c r="Q180" i="1"/>
  <c r="L180" i="1"/>
  <c r="Q179" i="1"/>
  <c r="L179" i="1"/>
  <c r="Q178" i="1"/>
  <c r="L178" i="1"/>
  <c r="Q177" i="1"/>
  <c r="N174" i="1"/>
  <c r="N175" i="1" s="1"/>
  <c r="N176" i="1" s="1"/>
  <c r="N177" i="1" s="1"/>
  <c r="N178" i="1" s="1"/>
  <c r="N179" i="1" s="1"/>
  <c r="N180" i="1" s="1"/>
  <c r="N181" i="1" s="1"/>
  <c r="N182" i="1" s="1"/>
  <c r="N172" i="1"/>
  <c r="N171" i="1"/>
  <c r="O170" i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N170" i="1"/>
  <c r="O168" i="1"/>
  <c r="O167" i="1"/>
  <c r="O166" i="1"/>
  <c r="N166" i="1"/>
  <c r="N167" i="1" s="1"/>
  <c r="N168" i="1" s="1"/>
  <c r="N169" i="1" s="1"/>
  <c r="J166" i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N165" i="1"/>
  <c r="M165" i="1"/>
  <c r="M166" i="1" s="1"/>
  <c r="M167" i="1" s="1"/>
  <c r="M168" i="1" s="1"/>
  <c r="M169" i="1" s="1"/>
  <c r="M170" i="1" s="1"/>
  <c r="M171" i="1" s="1"/>
  <c r="M172" i="1" s="1"/>
  <c r="M173" i="1" s="1"/>
  <c r="M174" i="1" s="1"/>
  <c r="M175" i="1" s="1"/>
  <c r="M176" i="1" s="1"/>
  <c r="M177" i="1" s="1"/>
  <c r="M178" i="1" s="1"/>
  <c r="M179" i="1" s="1"/>
  <c r="M180" i="1" s="1"/>
  <c r="M181" i="1" s="1"/>
  <c r="M182" i="1" s="1"/>
  <c r="O164" i="1"/>
  <c r="O165" i="1" s="1"/>
  <c r="O163" i="1"/>
  <c r="M163" i="1"/>
  <c r="J163" i="1"/>
  <c r="J164" i="1" s="1"/>
  <c r="M162" i="1"/>
  <c r="F162" i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P160" i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J160" i="1"/>
  <c r="J161" i="1" s="1"/>
  <c r="F160" i="1"/>
  <c r="R159" i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K159" i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J159" i="1"/>
  <c r="E159" i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P158" i="1"/>
  <c r="D158" i="1"/>
  <c r="D159" i="1" s="1"/>
  <c r="D160" i="1" s="1"/>
  <c r="D161" i="1" s="1"/>
  <c r="D162" i="1" s="1"/>
  <c r="R157" i="1"/>
  <c r="R158" i="1" s="1"/>
  <c r="P157" i="1"/>
  <c r="E157" i="1"/>
  <c r="P156" i="1"/>
  <c r="I156" i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H156" i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H182" i="1" s="1"/>
  <c r="D156" i="1"/>
  <c r="R155" i="1"/>
  <c r="P155" i="1"/>
  <c r="K155" i="1"/>
  <c r="K156" i="1" s="1"/>
  <c r="K157" i="1" s="1"/>
  <c r="D155" i="1"/>
  <c r="P154" i="1"/>
  <c r="H154" i="1"/>
  <c r="G154" i="1"/>
  <c r="G155" i="1" s="1"/>
  <c r="G156" i="1" s="1"/>
  <c r="R153" i="1"/>
  <c r="R154" i="1" s="1"/>
  <c r="D153" i="1"/>
  <c r="S152" i="1" a="1"/>
  <c r="S152" i="1" s="1"/>
  <c r="S151" i="1" a="1"/>
  <c r="S151" i="1" s="1"/>
  <c r="S150" i="1" a="1"/>
  <c r="S150" i="1" s="1"/>
  <c r="S149" i="1" a="1"/>
  <c r="S149" i="1" s="1"/>
  <c r="S148" i="1" a="1"/>
  <c r="S148" i="1" s="1"/>
  <c r="B148" i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A148" i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S147" i="1" a="1"/>
  <c r="S147" i="1" s="1"/>
  <c r="Q142" i="1"/>
  <c r="Q143" i="1" s="1"/>
  <c r="Q144" i="1" s="1"/>
  <c r="Q145" i="1" s="1"/>
  <c r="Q146" i="1" s="1"/>
  <c r="L142" i="1"/>
  <c r="L143" i="1" s="1"/>
  <c r="L144" i="1" s="1"/>
  <c r="L145" i="1" s="1"/>
  <c r="L146" i="1" s="1"/>
  <c r="Q141" i="1"/>
  <c r="Q139" i="1"/>
  <c r="Q138" i="1"/>
  <c r="N138" i="1"/>
  <c r="N139" i="1" s="1"/>
  <c r="N140" i="1" s="1"/>
  <c r="N141" i="1" s="1"/>
  <c r="N142" i="1" s="1"/>
  <c r="N143" i="1" s="1"/>
  <c r="N144" i="1" s="1"/>
  <c r="N145" i="1" s="1"/>
  <c r="N146" i="1" s="1"/>
  <c r="L138" i="1"/>
  <c r="L139" i="1" s="1"/>
  <c r="L140" i="1" s="1"/>
  <c r="Q137" i="1"/>
  <c r="N136" i="1"/>
  <c r="N135" i="1"/>
  <c r="O134" i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N134" i="1"/>
  <c r="O132" i="1"/>
  <c r="O131" i="1"/>
  <c r="O130" i="1"/>
  <c r="N130" i="1"/>
  <c r="N131" i="1" s="1"/>
  <c r="N132" i="1" s="1"/>
  <c r="N133" i="1" s="1"/>
  <c r="J130" i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N129" i="1"/>
  <c r="M129" i="1"/>
  <c r="M130" i="1" s="1"/>
  <c r="M131" i="1" s="1"/>
  <c r="M132" i="1" s="1"/>
  <c r="M133" i="1" s="1"/>
  <c r="M134" i="1" s="1"/>
  <c r="M135" i="1" s="1"/>
  <c r="M136" i="1" s="1"/>
  <c r="M137" i="1" s="1"/>
  <c r="M138" i="1" s="1"/>
  <c r="M139" i="1" s="1"/>
  <c r="M140" i="1" s="1"/>
  <c r="M141" i="1" s="1"/>
  <c r="M142" i="1" s="1"/>
  <c r="M143" i="1" s="1"/>
  <c r="M144" i="1" s="1"/>
  <c r="M145" i="1" s="1"/>
  <c r="M146" i="1" s="1"/>
  <c r="O128" i="1"/>
  <c r="O129" i="1" s="1"/>
  <c r="O127" i="1"/>
  <c r="M127" i="1"/>
  <c r="J127" i="1"/>
  <c r="J128" i="1" s="1"/>
  <c r="M126" i="1"/>
  <c r="M125" i="1"/>
  <c r="P124" i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J124" i="1"/>
  <c r="J125" i="1" s="1"/>
  <c r="F123" i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P122" i="1"/>
  <c r="R121" i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P121" i="1"/>
  <c r="F121" i="1"/>
  <c r="P120" i="1"/>
  <c r="E120" i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D120" i="1"/>
  <c r="D121" i="1" s="1"/>
  <c r="R119" i="1"/>
  <c r="P119" i="1"/>
  <c r="P118" i="1"/>
  <c r="D118" i="1"/>
  <c r="R117" i="1"/>
  <c r="R118" i="1" s="1"/>
  <c r="K117" i="1"/>
  <c r="I117" i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H117" i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  <c r="H133" i="1" s="1"/>
  <c r="H134" i="1" s="1"/>
  <c r="H135" i="1" s="1"/>
  <c r="H136" i="1" s="1"/>
  <c r="H137" i="1" s="1"/>
  <c r="H138" i="1" s="1"/>
  <c r="H139" i="1" s="1"/>
  <c r="H140" i="1" s="1"/>
  <c r="H141" i="1" s="1"/>
  <c r="H142" i="1" s="1"/>
  <c r="H143" i="1" s="1"/>
  <c r="H144" i="1" s="1"/>
  <c r="H145" i="1" s="1"/>
  <c r="H146" i="1" s="1"/>
  <c r="G117" i="1"/>
  <c r="G118" i="1" s="1"/>
  <c r="G119" i="1" s="1"/>
  <c r="E117" i="1"/>
  <c r="E118" i="1" s="1"/>
  <c r="D117" i="1"/>
  <c r="E116" i="1"/>
  <c r="D116" i="1"/>
  <c r="S115" i="1" a="1"/>
  <c r="S115" i="1" s="1"/>
  <c r="S114" i="1" a="1"/>
  <c r="S114" i="1" s="1"/>
  <c r="S113" i="1" a="1"/>
  <c r="S113" i="1" s="1"/>
  <c r="S112" i="1" a="1"/>
  <c r="S112" i="1" s="1"/>
  <c r="B112" i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A112" i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S111" i="1" a="1"/>
  <c r="S111" i="1" s="1"/>
  <c r="L101" i="1"/>
  <c r="L102" i="1" s="1"/>
  <c r="L103" i="1" s="1"/>
  <c r="L104" i="1" s="1"/>
  <c r="L105" i="1" s="1"/>
  <c r="L106" i="1" s="1"/>
  <c r="L107" i="1" s="1"/>
  <c r="L108" i="1" s="1"/>
  <c r="L109" i="1" s="1"/>
  <c r="L110" i="1" s="1"/>
  <c r="Q99" i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L98" i="1"/>
  <c r="L99" i="1" s="1"/>
  <c r="Q97" i="1"/>
  <c r="N97" i="1"/>
  <c r="N98" i="1" s="1"/>
  <c r="N99" i="1" s="1"/>
  <c r="N100" i="1" s="1"/>
  <c r="N101" i="1" s="1"/>
  <c r="N102" i="1" s="1"/>
  <c r="N103" i="1" s="1"/>
  <c r="N104" i="1" s="1"/>
  <c r="N105" i="1" s="1"/>
  <c r="N106" i="1" s="1"/>
  <c r="N107" i="1" s="1"/>
  <c r="N108" i="1" s="1"/>
  <c r="N109" i="1" s="1"/>
  <c r="N110" i="1" s="1"/>
  <c r="Q96" i="1"/>
  <c r="O96" i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N95" i="1"/>
  <c r="O94" i="1"/>
  <c r="N94" i="1"/>
  <c r="O93" i="1"/>
  <c r="N93" i="1"/>
  <c r="J93" i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O92" i="1"/>
  <c r="M92" i="1"/>
  <c r="M93" i="1" s="1"/>
  <c r="M94" i="1" s="1"/>
  <c r="M95" i="1" s="1"/>
  <c r="M96" i="1" s="1"/>
  <c r="M97" i="1" s="1"/>
  <c r="M98" i="1" s="1"/>
  <c r="M99" i="1" s="1"/>
  <c r="M100" i="1" s="1"/>
  <c r="M101" i="1" s="1"/>
  <c r="M102" i="1" s="1"/>
  <c r="M103" i="1" s="1"/>
  <c r="M104" i="1" s="1"/>
  <c r="M105" i="1" s="1"/>
  <c r="M106" i="1" s="1"/>
  <c r="M107" i="1" s="1"/>
  <c r="M108" i="1" s="1"/>
  <c r="M109" i="1" s="1"/>
  <c r="M110" i="1" s="1"/>
  <c r="O91" i="1"/>
  <c r="J91" i="1"/>
  <c r="M90" i="1"/>
  <c r="M89" i="1"/>
  <c r="P88" i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J88" i="1"/>
  <c r="J89" i="1" s="1"/>
  <c r="F87" i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P86" i="1"/>
  <c r="R85" i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P85" i="1"/>
  <c r="F85" i="1"/>
  <c r="P84" i="1"/>
  <c r="E84" i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D84" i="1"/>
  <c r="R83" i="1"/>
  <c r="P83" i="1"/>
  <c r="P82" i="1"/>
  <c r="D82" i="1"/>
  <c r="R81" i="1"/>
  <c r="R82" i="1" s="1"/>
  <c r="K81" i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I81" i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H81" i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99" i="1" s="1"/>
  <c r="H100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G81" i="1"/>
  <c r="G82" i="1" s="1"/>
  <c r="G83" i="1" s="1"/>
  <c r="E81" i="1"/>
  <c r="E82" i="1" s="1"/>
  <c r="D81" i="1"/>
  <c r="E80" i="1"/>
  <c r="D80" i="1"/>
  <c r="S79" i="1" a="1"/>
  <c r="S79" i="1" s="1"/>
  <c r="S78" i="1" a="1"/>
  <c r="S78" i="1" s="1"/>
  <c r="S77" i="1" a="1"/>
  <c r="S77" i="1" s="1"/>
  <c r="S76" i="1" a="1"/>
  <c r="S76" i="1" s="1"/>
  <c r="B76" i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A76" i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S75" i="1" a="1"/>
  <c r="S75" i="1" s="1"/>
  <c r="L30" i="2"/>
  <c r="L31" i="2" s="1"/>
  <c r="L32" i="2" s="1"/>
  <c r="L33" i="2" s="1"/>
  <c r="L34" i="2" s="1"/>
  <c r="L35" i="2" s="1"/>
  <c r="L36" i="2" s="1"/>
  <c r="L37" i="2" s="1"/>
  <c r="L38" i="2" s="1"/>
  <c r="L29" i="2"/>
  <c r="Q27" i="2"/>
  <c r="Q28" i="2" s="1"/>
  <c r="Q29" i="2" s="1"/>
  <c r="Q30" i="2" s="1"/>
  <c r="Q31" i="2" s="1"/>
  <c r="Q32" i="2" s="1"/>
  <c r="Q33" i="2" s="1"/>
  <c r="Q34" i="2" s="1"/>
  <c r="Q35" i="2" s="1"/>
  <c r="Q36" i="2" s="1"/>
  <c r="Q37" i="2" s="1"/>
  <c r="Q38" i="2" s="1"/>
  <c r="L27" i="2"/>
  <c r="L26" i="2"/>
  <c r="Q25" i="2"/>
  <c r="N25" i="2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Q24" i="2"/>
  <c r="O24" i="2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N23" i="2"/>
  <c r="O22" i="2"/>
  <c r="N22" i="2"/>
  <c r="M22" i="2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O21" i="2"/>
  <c r="N21" i="2"/>
  <c r="O20" i="2"/>
  <c r="N20" i="2"/>
  <c r="M20" i="2"/>
  <c r="M21" i="2" s="1"/>
  <c r="J20" i="2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O19" i="2"/>
  <c r="M18" i="2"/>
  <c r="M17" i="2"/>
  <c r="P16" i="2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J16" i="2"/>
  <c r="J17" i="2" s="1"/>
  <c r="F15" i="2"/>
  <c r="F16" i="2" s="1"/>
  <c r="F17" i="2" s="1"/>
  <c r="P14" i="2"/>
  <c r="R13" i="2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R33" i="2" s="1"/>
  <c r="R34" i="2" s="1"/>
  <c r="R35" i="2" s="1"/>
  <c r="R36" i="2" s="1"/>
  <c r="R37" i="2" s="1"/>
  <c r="R38" i="2" s="1"/>
  <c r="P13" i="2"/>
  <c r="F13" i="2"/>
  <c r="P12" i="2"/>
  <c r="E12" i="2"/>
  <c r="D12" i="2"/>
  <c r="D13" i="2" s="1"/>
  <c r="R11" i="2"/>
  <c r="P11" i="2"/>
  <c r="P10" i="2"/>
  <c r="D10" i="2"/>
  <c r="R9" i="2"/>
  <c r="R10" i="2" s="1"/>
  <c r="K9" i="2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I9" i="2"/>
  <c r="I10" i="2" s="1"/>
  <c r="I11" i="2" s="1"/>
  <c r="I12" i="2" s="1"/>
  <c r="I13" i="2" s="1"/>
  <c r="I14" i="2" s="1"/>
  <c r="I15" i="2" s="1"/>
  <c r="I16" i="2" s="1"/>
  <c r="I17" i="2" s="1"/>
  <c r="I18" i="2" s="1"/>
  <c r="I19" i="2" s="1"/>
  <c r="I20" i="2" s="1"/>
  <c r="I21" i="2" s="1"/>
  <c r="I22" i="2" s="1"/>
  <c r="I23" i="2" s="1"/>
  <c r="I24" i="2" s="1"/>
  <c r="I25" i="2" s="1"/>
  <c r="I26" i="2" s="1"/>
  <c r="I27" i="2" s="1"/>
  <c r="I28" i="2" s="1"/>
  <c r="I29" i="2" s="1"/>
  <c r="I30" i="2" s="1"/>
  <c r="I31" i="2" s="1"/>
  <c r="I32" i="2" s="1"/>
  <c r="I33" i="2" s="1"/>
  <c r="I34" i="2" s="1"/>
  <c r="I35" i="2" s="1"/>
  <c r="I36" i="2" s="1"/>
  <c r="I37" i="2" s="1"/>
  <c r="I38" i="2" s="1"/>
  <c r="H9" i="2"/>
  <c r="G9" i="2"/>
  <c r="G10" i="2" s="1"/>
  <c r="G11" i="2" s="1"/>
  <c r="E9" i="2"/>
  <c r="E10" i="2" s="1"/>
  <c r="D9" i="2"/>
  <c r="E8" i="2"/>
  <c r="D8" i="2"/>
  <c r="V8" i="2" s="1" a="1"/>
  <c r="V8" i="2" s="1"/>
  <c r="V7" i="2" a="1"/>
  <c r="V7" i="2"/>
  <c r="V6" i="2" a="1"/>
  <c r="V6" i="2" s="1"/>
  <c r="V5" i="2" a="1"/>
  <c r="V5" i="2" s="1"/>
  <c r="V4" i="2" a="1"/>
  <c r="V4" i="2" s="1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V3" i="2" a="1"/>
  <c r="V3" i="2"/>
  <c r="V2" i="2"/>
  <c r="U2" i="2"/>
  <c r="T2" i="2"/>
  <c r="T7" i="2" s="1"/>
  <c r="S2" i="2"/>
  <c r="S5" i="2" s="1"/>
  <c r="N66" i="1"/>
  <c r="N67" i="1" s="1"/>
  <c r="N68" i="1" s="1"/>
  <c r="N69" i="1" s="1"/>
  <c r="N70" i="1" s="1"/>
  <c r="N71" i="1" s="1"/>
  <c r="N72" i="1" s="1"/>
  <c r="N73" i="1" s="1"/>
  <c r="N74" i="1" s="1"/>
  <c r="L65" i="1"/>
  <c r="L66" i="1" s="1"/>
  <c r="L67" i="1" s="1"/>
  <c r="L68" i="1" s="1"/>
  <c r="L69" i="1" s="1"/>
  <c r="L70" i="1" s="1"/>
  <c r="L71" i="1" s="1"/>
  <c r="L72" i="1" s="1"/>
  <c r="L73" i="1" s="1"/>
  <c r="L74" i="1" s="1"/>
  <c r="Q63" i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O60" i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N60" i="1"/>
  <c r="N61" i="1" s="1"/>
  <c r="N62" i="1" s="1"/>
  <c r="N63" i="1" s="1"/>
  <c r="N64" i="1" s="1"/>
  <c r="J60" i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M57" i="1"/>
  <c r="M58" i="1" s="1"/>
  <c r="M59" i="1" s="1"/>
  <c r="M60" i="1" s="1"/>
  <c r="M61" i="1" s="1"/>
  <c r="M62" i="1" s="1"/>
  <c r="M63" i="1" s="1"/>
  <c r="M64" i="1" s="1"/>
  <c r="M65" i="1" s="1"/>
  <c r="M66" i="1" s="1"/>
  <c r="M67" i="1" s="1"/>
  <c r="M68" i="1" s="1"/>
  <c r="M69" i="1" s="1"/>
  <c r="M70" i="1" s="1"/>
  <c r="M71" i="1" s="1"/>
  <c r="M72" i="1" s="1"/>
  <c r="M73" i="1" s="1"/>
  <c r="M74" i="1" s="1"/>
  <c r="R56" i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O56" i="1"/>
  <c r="R54" i="1"/>
  <c r="J54" i="1"/>
  <c r="J55" i="1" s="1"/>
  <c r="J56" i="1" s="1"/>
  <c r="J57" i="1" s="1"/>
  <c r="J58" i="1" s="1"/>
  <c r="R53" i="1"/>
  <c r="O53" i="1"/>
  <c r="O54" i="1" s="1"/>
  <c r="R52" i="1"/>
  <c r="P52" i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R51" i="1"/>
  <c r="M51" i="1"/>
  <c r="M52" i="1" s="1"/>
  <c r="M53" i="1" s="1"/>
  <c r="M54" i="1" s="1"/>
  <c r="M55" i="1" s="1"/>
  <c r="R50" i="1"/>
  <c r="R49" i="1"/>
  <c r="F47" i="1"/>
  <c r="K46" i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F46" i="1"/>
  <c r="P45" i="1"/>
  <c r="P46" i="1" s="1"/>
  <c r="P47" i="1" s="1"/>
  <c r="P48" i="1" s="1"/>
  <c r="I45" i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H45" i="1"/>
  <c r="K44" i="1"/>
  <c r="S44" i="1" s="1"/>
  <c r="S43" i="1"/>
  <c r="S42" i="1"/>
  <c r="S41" i="1"/>
  <c r="S40" i="1"/>
  <c r="B40" i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S39" i="1"/>
  <c r="N30" i="1"/>
  <c r="N31" i="1" s="1"/>
  <c r="N32" i="1" s="1"/>
  <c r="N33" i="1" s="1"/>
  <c r="N34" i="1" s="1"/>
  <c r="N35" i="1" s="1"/>
  <c r="N36" i="1" s="1"/>
  <c r="N37" i="1" s="1"/>
  <c r="N38" i="1" s="1"/>
  <c r="Q29" i="1"/>
  <c r="Q30" i="1" s="1"/>
  <c r="Q31" i="1" s="1"/>
  <c r="Q32" i="1" s="1"/>
  <c r="Q33" i="1" s="1"/>
  <c r="Q34" i="1" s="1"/>
  <c r="Q35" i="1" s="1"/>
  <c r="Q36" i="1" s="1"/>
  <c r="Q37" i="1" s="1"/>
  <c r="Q38" i="1" s="1"/>
  <c r="L29" i="1"/>
  <c r="L30" i="1" s="1"/>
  <c r="L31" i="1" s="1"/>
  <c r="L32" i="1" s="1"/>
  <c r="L33" i="1" s="1"/>
  <c r="L34" i="1" s="1"/>
  <c r="L35" i="1" s="1"/>
  <c r="L36" i="1" s="1"/>
  <c r="L37" i="1" s="1"/>
  <c r="L38" i="1" s="1"/>
  <c r="Q27" i="1"/>
  <c r="J25" i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O24" i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N24" i="1"/>
  <c r="N25" i="1" s="1"/>
  <c r="N26" i="1" s="1"/>
  <c r="N27" i="1" s="1"/>
  <c r="N28" i="1" s="1"/>
  <c r="J24" i="1"/>
  <c r="M21" i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J18" i="1"/>
  <c r="J19" i="1" s="1"/>
  <c r="J20" i="1" s="1"/>
  <c r="J21" i="1" s="1"/>
  <c r="J22" i="1" s="1"/>
  <c r="O17" i="1"/>
  <c r="O18" i="1" s="1"/>
  <c r="O19" i="1" s="1"/>
  <c r="O20" i="1" s="1"/>
  <c r="P16" i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M15" i="1"/>
  <c r="M16" i="1" s="1"/>
  <c r="M17" i="1" s="1"/>
  <c r="M18" i="1" s="1"/>
  <c r="M19" i="1" s="1"/>
  <c r="F15" i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R13" i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E12" i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D12" i="1"/>
  <c r="D13" i="1" s="1"/>
  <c r="D14" i="1" s="1"/>
  <c r="D15" i="1" s="1"/>
  <c r="F11" i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F10" i="1"/>
  <c r="P9" i="1"/>
  <c r="P10" i="1" s="1"/>
  <c r="P11" i="1" s="1"/>
  <c r="P12" i="1" s="1"/>
  <c r="I9" i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H9" i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H33" i="1" s="1"/>
  <c r="H34" i="1" s="1"/>
  <c r="H35" i="1" s="1"/>
  <c r="H36" i="1" s="1"/>
  <c r="H37" i="1" s="1"/>
  <c r="H38" i="1" s="1"/>
  <c r="G9" i="1"/>
  <c r="E9" i="1"/>
  <c r="E10" i="1" s="1"/>
  <c r="R8" i="1"/>
  <c r="E8" i="1"/>
  <c r="D7" i="1"/>
  <c r="D6" i="1"/>
  <c r="G5" i="1"/>
  <c r="D5" i="1"/>
  <c r="K4" i="1"/>
  <c r="K5" i="1" s="1"/>
  <c r="K6" i="1" s="1"/>
  <c r="G4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S3" i="1"/>
  <c r="S2" i="1"/>
  <c r="T4" i="2" l="1"/>
  <c r="S11" i="2"/>
  <c r="S9" i="2"/>
  <c r="S3" i="2"/>
  <c r="S13" i="2"/>
  <c r="T8" i="2"/>
  <c r="S15" i="2"/>
  <c r="S153" i="1" a="1"/>
  <c r="S153" i="1" s="1"/>
  <c r="S4" i="2"/>
  <c r="T6" i="2"/>
  <c r="T3" i="2"/>
  <c r="S116" i="1" a="1"/>
  <c r="S116" i="1" s="1"/>
  <c r="T5" i="2"/>
  <c r="S10" i="2"/>
  <c r="S81" i="1" a="1"/>
  <c r="S81" i="1" s="1"/>
  <c r="S225" i="1" a="1"/>
  <c r="S225" i="1" s="1"/>
  <c r="G226" i="1"/>
  <c r="G227" i="1" s="1"/>
  <c r="S45" i="1"/>
  <c r="S155" i="1" a="1"/>
  <c r="S155" i="1" s="1"/>
  <c r="D154" i="1"/>
  <c r="S154" i="1" s="1" a="1"/>
  <c r="S154" i="1" s="1"/>
  <c r="S80" i="1" a="1"/>
  <c r="S80" i="1" s="1"/>
  <c r="S117" i="1" a="1"/>
  <c r="S117" i="1" s="1"/>
  <c r="S5" i="1"/>
  <c r="S4" i="1"/>
  <c r="S83" i="1" a="1"/>
  <c r="S83" i="1" s="1"/>
  <c r="G84" i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S82" i="1" a="1"/>
  <c r="S82" i="1" s="1"/>
  <c r="D85" i="1"/>
  <c r="K118" i="1"/>
  <c r="K119" i="1" s="1"/>
  <c r="K120" i="1" s="1"/>
  <c r="K121" i="1" s="1"/>
  <c r="K122" i="1" s="1"/>
  <c r="K123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G120" i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S191" i="1" a="1"/>
  <c r="S191" i="1" s="1"/>
  <c r="G192" i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157" i="1"/>
  <c r="S156" i="1" a="1"/>
  <c r="S156" i="1" s="1"/>
  <c r="D163" i="1"/>
  <c r="D122" i="1"/>
  <c r="S118" i="1" a="1"/>
  <c r="S118" i="1" s="1"/>
  <c r="S190" i="1" a="1"/>
  <c r="S190" i="1" s="1"/>
  <c r="G228" i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S227" i="1" a="1"/>
  <c r="S227" i="1" s="1"/>
  <c r="G266" i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S265" i="1" a="1"/>
  <c r="S265" i="1" s="1"/>
  <c r="S189" i="1" a="1"/>
  <c r="S189" i="1" s="1"/>
  <c r="D193" i="1"/>
  <c r="S226" i="1" a="1"/>
  <c r="S226" i="1" s="1"/>
  <c r="D233" i="1"/>
  <c r="S263" i="1" a="1"/>
  <c r="S263" i="1" s="1"/>
  <c r="S262" i="1" a="1"/>
  <c r="S262" i="1" s="1"/>
  <c r="S264" i="1" a="1"/>
  <c r="S264" i="1" s="1"/>
  <c r="S266" i="1" a="1"/>
  <c r="S266" i="1" s="1"/>
  <c r="S261" i="1" a="1"/>
  <c r="S261" i="1" s="1"/>
  <c r="D268" i="1"/>
  <c r="G10" i="1"/>
  <c r="G11" i="1" s="1"/>
  <c r="G12" i="1" s="1"/>
  <c r="S9" i="1"/>
  <c r="K7" i="1"/>
  <c r="S6" i="1"/>
  <c r="D16" i="1"/>
  <c r="H10" i="2"/>
  <c r="H11" i="2" s="1"/>
  <c r="V11" i="2" s="1" a="1"/>
  <c r="V11" i="2" s="1"/>
  <c r="V9" i="2" a="1"/>
  <c r="V9" i="2" s="1"/>
  <c r="E13" i="2"/>
  <c r="H46" i="1"/>
  <c r="S17" i="2"/>
  <c r="F18" i="2"/>
  <c r="U5" i="2"/>
  <c r="U6" i="2"/>
  <c r="U3" i="2"/>
  <c r="U8" i="2"/>
  <c r="U7" i="2"/>
  <c r="G12" i="2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U11" i="2"/>
  <c r="U4" i="2"/>
  <c r="U10" i="2"/>
  <c r="T9" i="2"/>
  <c r="U9" i="2"/>
  <c r="S7" i="2"/>
  <c r="D14" i="2"/>
  <c r="S14" i="2"/>
  <c r="S16" i="2"/>
  <c r="S6" i="2"/>
  <c r="S8" i="2"/>
  <c r="S12" i="2"/>
  <c r="U12" i="2" l="1"/>
  <c r="V10" i="2" a="1"/>
  <c r="V10" i="2" s="1"/>
  <c r="T10" i="2"/>
  <c r="S232" i="1" a="1"/>
  <c r="S232" i="1" s="1"/>
  <c r="S192" i="1" a="1"/>
  <c r="S192" i="1" s="1"/>
  <c r="S228" i="1" a="1"/>
  <c r="S228" i="1" s="1"/>
  <c r="S230" i="1" a="1"/>
  <c r="S230" i="1" s="1"/>
  <c r="D164" i="1"/>
  <c r="S120" i="1" a="1"/>
  <c r="S120" i="1" s="1"/>
  <c r="S268" i="1" a="1"/>
  <c r="S268" i="1" s="1"/>
  <c r="D269" i="1"/>
  <c r="D234" i="1"/>
  <c r="S233" i="1" a="1"/>
  <c r="S233" i="1" s="1"/>
  <c r="S267" i="1" a="1"/>
  <c r="S267" i="1" s="1"/>
  <c r="S193" i="1" a="1"/>
  <c r="S193" i="1" s="1"/>
  <c r="D194" i="1"/>
  <c r="D123" i="1"/>
  <c r="S122" i="1" a="1"/>
  <c r="S122" i="1" s="1"/>
  <c r="D86" i="1"/>
  <c r="S85" i="1" a="1"/>
  <c r="S85" i="1" s="1"/>
  <c r="G158" i="1"/>
  <c r="S157" i="1" a="1"/>
  <c r="S157" i="1" s="1"/>
  <c r="S231" i="1" a="1"/>
  <c r="S231" i="1" s="1"/>
  <c r="S84" i="1" a="1"/>
  <c r="S84" i="1" s="1"/>
  <c r="S229" i="1" a="1"/>
  <c r="S229" i="1" s="1"/>
  <c r="S121" i="1" a="1"/>
  <c r="S121" i="1" s="1"/>
  <c r="S119" i="1" a="1"/>
  <c r="S119" i="1" s="1"/>
  <c r="D17" i="1"/>
  <c r="T11" i="2"/>
  <c r="H12" i="2"/>
  <c r="G13" i="1"/>
  <c r="S12" i="1"/>
  <c r="E14" i="2"/>
  <c r="U13" i="2"/>
  <c r="F19" i="2"/>
  <c r="S18" i="2"/>
  <c r="S11" i="1"/>
  <c r="K8" i="1"/>
  <c r="S8" i="1" s="1"/>
  <c r="S7" i="1"/>
  <c r="D15" i="2"/>
  <c r="S46" i="1"/>
  <c r="H47" i="1"/>
  <c r="S10" i="1"/>
  <c r="S86" i="1" l="1" a="1"/>
  <c r="S86" i="1" s="1"/>
  <c r="D87" i="1"/>
  <c r="D270" i="1"/>
  <c r="S269" i="1" a="1"/>
  <c r="S269" i="1" s="1"/>
  <c r="D235" i="1"/>
  <c r="S234" i="1" a="1"/>
  <c r="S234" i="1" s="1"/>
  <c r="S123" i="1" a="1"/>
  <c r="S123" i="1" s="1"/>
  <c r="D124" i="1"/>
  <c r="D195" i="1"/>
  <c r="S194" i="1" a="1"/>
  <c r="S194" i="1" s="1"/>
  <c r="D165" i="1"/>
  <c r="S158" i="1" a="1"/>
  <c r="S158" i="1" s="1"/>
  <c r="G159" i="1"/>
  <c r="U14" i="2"/>
  <c r="E15" i="2"/>
  <c r="H13" i="2"/>
  <c r="T12" i="2"/>
  <c r="V12" i="2" a="1"/>
  <c r="V12" i="2" s="1"/>
  <c r="S47" i="1"/>
  <c r="H48" i="1"/>
  <c r="S19" i="2"/>
  <c r="F20" i="2"/>
  <c r="D18" i="1"/>
  <c r="G14" i="1"/>
  <c r="S13" i="1"/>
  <c r="D16" i="2"/>
  <c r="S124" i="1" l="1" a="1"/>
  <c r="S124" i="1" s="1"/>
  <c r="D125" i="1"/>
  <c r="G160" i="1"/>
  <c r="S159" i="1" a="1"/>
  <c r="S159" i="1" s="1"/>
  <c r="D236" i="1"/>
  <c r="S235" i="1" a="1"/>
  <c r="S235" i="1" s="1"/>
  <c r="D166" i="1"/>
  <c r="S270" i="1" a="1"/>
  <c r="S270" i="1" s="1"/>
  <c r="D271" i="1"/>
  <c r="D88" i="1"/>
  <c r="S87" i="1" a="1"/>
  <c r="S87" i="1" s="1"/>
  <c r="S195" i="1" a="1"/>
  <c r="S195" i="1" s="1"/>
  <c r="D196" i="1"/>
  <c r="D17" i="2"/>
  <c r="S48" i="1"/>
  <c r="H49" i="1"/>
  <c r="H14" i="2"/>
  <c r="T13" i="2"/>
  <c r="V13" i="2" a="1"/>
  <c r="V13" i="2" s="1"/>
  <c r="G15" i="1"/>
  <c r="S14" i="1"/>
  <c r="D19" i="1"/>
  <c r="U15" i="2"/>
  <c r="E16" i="2"/>
  <c r="F21" i="2"/>
  <c r="S20" i="2"/>
  <c r="D167" i="1" l="1"/>
  <c r="D197" i="1"/>
  <c r="S196" i="1" a="1"/>
  <c r="S196" i="1" s="1"/>
  <c r="S271" i="1" a="1"/>
  <c r="S271" i="1" s="1"/>
  <c r="D272" i="1"/>
  <c r="D237" i="1"/>
  <c r="S236" i="1" a="1"/>
  <c r="S236" i="1" s="1"/>
  <c r="D89" i="1"/>
  <c r="S88" i="1" a="1"/>
  <c r="S88" i="1" s="1"/>
  <c r="G161" i="1"/>
  <c r="S160" i="1" a="1"/>
  <c r="S160" i="1" s="1"/>
  <c r="D126" i="1"/>
  <c r="S125" i="1" a="1"/>
  <c r="S125" i="1" s="1"/>
  <c r="S21" i="2"/>
  <c r="F22" i="2"/>
  <c r="H50" i="1"/>
  <c r="S49" i="1"/>
  <c r="D20" i="1"/>
  <c r="U16" i="2"/>
  <c r="E17" i="2"/>
  <c r="H15" i="2"/>
  <c r="V14" i="2" a="1"/>
  <c r="V14" i="2" s="1"/>
  <c r="T14" i="2"/>
  <c r="D18" i="2"/>
  <c r="G16" i="1"/>
  <c r="S15" i="1"/>
  <c r="D238" i="1" l="1"/>
  <c r="S237" i="1" a="1"/>
  <c r="S237" i="1" s="1"/>
  <c r="S272" i="1" a="1"/>
  <c r="S272" i="1" s="1"/>
  <c r="D273" i="1"/>
  <c r="S126" i="1" a="1"/>
  <c r="S126" i="1" s="1"/>
  <c r="D127" i="1"/>
  <c r="G162" i="1"/>
  <c r="S161" i="1" a="1"/>
  <c r="S161" i="1" s="1"/>
  <c r="S197" i="1" a="1"/>
  <c r="S197" i="1" s="1"/>
  <c r="D198" i="1"/>
  <c r="D168" i="1"/>
  <c r="D90" i="1"/>
  <c r="S89" i="1" a="1"/>
  <c r="S89" i="1" s="1"/>
  <c r="U17" i="2"/>
  <c r="E18" i="2"/>
  <c r="G17" i="1"/>
  <c r="S16" i="1"/>
  <c r="D19" i="2"/>
  <c r="H51" i="1"/>
  <c r="S50" i="1"/>
  <c r="F23" i="2"/>
  <c r="S22" i="2"/>
  <c r="D21" i="1"/>
  <c r="H16" i="2"/>
  <c r="T15" i="2"/>
  <c r="V15" i="2" a="1"/>
  <c r="V15" i="2" s="1"/>
  <c r="G163" i="1" l="1"/>
  <c r="S162" i="1" a="1"/>
  <c r="S162" i="1" s="1"/>
  <c r="S127" i="1" a="1"/>
  <c r="S127" i="1" s="1"/>
  <c r="D128" i="1"/>
  <c r="S90" i="1" a="1"/>
  <c r="S90" i="1" s="1"/>
  <c r="D91" i="1"/>
  <c r="S273" i="1" a="1"/>
  <c r="S273" i="1" s="1"/>
  <c r="D274" i="1"/>
  <c r="D169" i="1"/>
  <c r="S198" i="1" a="1"/>
  <c r="S198" i="1" s="1"/>
  <c r="D199" i="1"/>
  <c r="D239" i="1"/>
  <c r="S238" i="1" a="1"/>
  <c r="S238" i="1" s="1"/>
  <c r="H17" i="2"/>
  <c r="T16" i="2"/>
  <c r="V16" i="2" a="1"/>
  <c r="V16" i="2" s="1"/>
  <c r="D20" i="2"/>
  <c r="F24" i="2"/>
  <c r="S23" i="2"/>
  <c r="G18" i="1"/>
  <c r="S17" i="1"/>
  <c r="E19" i="2"/>
  <c r="U18" i="2"/>
  <c r="D22" i="1"/>
  <c r="H52" i="1"/>
  <c r="S51" i="1"/>
  <c r="S91" i="1" l="1" a="1"/>
  <c r="S91" i="1" s="1"/>
  <c r="D92" i="1"/>
  <c r="S274" i="1" a="1"/>
  <c r="S274" i="1" s="1"/>
  <c r="D275" i="1"/>
  <c r="S239" i="1" a="1"/>
  <c r="S239" i="1" s="1"/>
  <c r="D240" i="1"/>
  <c r="S199" i="1" a="1"/>
  <c r="S199" i="1" s="1"/>
  <c r="D200" i="1"/>
  <c r="D129" i="1"/>
  <c r="S128" i="1" a="1"/>
  <c r="S128" i="1" s="1"/>
  <c r="D170" i="1"/>
  <c r="G164" i="1"/>
  <c r="S163" i="1" a="1"/>
  <c r="S163" i="1" s="1"/>
  <c r="H53" i="1"/>
  <c r="S52" i="1"/>
  <c r="F25" i="2"/>
  <c r="S24" i="2"/>
  <c r="D23" i="1"/>
  <c r="D21" i="2"/>
  <c r="E20" i="2"/>
  <c r="U19" i="2"/>
  <c r="G19" i="1"/>
  <c r="S18" i="1"/>
  <c r="H18" i="2"/>
  <c r="T17" i="2"/>
  <c r="V17" i="2" a="1"/>
  <c r="V17" i="2" s="1"/>
  <c r="D241" i="1" l="1"/>
  <c r="S240" i="1" a="1"/>
  <c r="S240" i="1" s="1"/>
  <c r="D201" i="1"/>
  <c r="S200" i="1" a="1"/>
  <c r="S200" i="1" s="1"/>
  <c r="G165" i="1"/>
  <c r="S164" i="1" a="1"/>
  <c r="S164" i="1" s="1"/>
  <c r="D171" i="1"/>
  <c r="D276" i="1"/>
  <c r="S275" i="1" a="1"/>
  <c r="S275" i="1" s="1"/>
  <c r="D93" i="1"/>
  <c r="S92" i="1" a="1"/>
  <c r="S92" i="1" s="1"/>
  <c r="D130" i="1"/>
  <c r="S129" i="1" a="1"/>
  <c r="S129" i="1" s="1"/>
  <c r="H19" i="2"/>
  <c r="T18" i="2"/>
  <c r="V18" i="2" a="1"/>
  <c r="V18" i="2" s="1"/>
  <c r="S25" i="2"/>
  <c r="F26" i="2"/>
  <c r="D24" i="1"/>
  <c r="U20" i="2"/>
  <c r="E21" i="2"/>
  <c r="G20" i="1"/>
  <c r="S19" i="1"/>
  <c r="D22" i="2"/>
  <c r="S53" i="1"/>
  <c r="H54" i="1"/>
  <c r="D131" i="1" l="1"/>
  <c r="S130" i="1" a="1"/>
  <c r="S130" i="1" s="1"/>
  <c r="G166" i="1"/>
  <c r="S165" i="1" a="1"/>
  <c r="S165" i="1" s="1"/>
  <c r="D172" i="1"/>
  <c r="S93" i="1" a="1"/>
  <c r="S93" i="1" s="1"/>
  <c r="D94" i="1"/>
  <c r="S201" i="1" a="1"/>
  <c r="S201" i="1" s="1"/>
  <c r="D202" i="1"/>
  <c r="D277" i="1"/>
  <c r="S276" i="1" a="1"/>
  <c r="S276" i="1" s="1"/>
  <c r="S241" i="1" a="1"/>
  <c r="S241" i="1" s="1"/>
  <c r="D242" i="1"/>
  <c r="D23" i="2"/>
  <c r="D25" i="1"/>
  <c r="G21" i="1"/>
  <c r="S20" i="1"/>
  <c r="E22" i="2"/>
  <c r="U21" i="2"/>
  <c r="H20" i="2"/>
  <c r="V19" i="2" a="1"/>
  <c r="V19" i="2" s="1"/>
  <c r="T19" i="2"/>
  <c r="F27" i="2"/>
  <c r="S26" i="2"/>
  <c r="H55" i="1"/>
  <c r="S54" i="1"/>
  <c r="D173" i="1" l="1"/>
  <c r="S94" i="1" a="1"/>
  <c r="S94" i="1" s="1"/>
  <c r="D95" i="1"/>
  <c r="D278" i="1"/>
  <c r="S277" i="1" a="1"/>
  <c r="S277" i="1" s="1"/>
  <c r="G167" i="1"/>
  <c r="S166" i="1" a="1"/>
  <c r="S166" i="1" s="1"/>
  <c r="D243" i="1"/>
  <c r="S242" i="1" a="1"/>
  <c r="S242" i="1" s="1"/>
  <c r="S202" i="1" a="1"/>
  <c r="S202" i="1" s="1"/>
  <c r="D203" i="1"/>
  <c r="D132" i="1"/>
  <c r="S131" i="1" a="1"/>
  <c r="S131" i="1" s="1"/>
  <c r="U22" i="2"/>
  <c r="E23" i="2"/>
  <c r="H56" i="1"/>
  <c r="S55" i="1"/>
  <c r="D26" i="1"/>
  <c r="D24" i="2"/>
  <c r="H21" i="2"/>
  <c r="T20" i="2"/>
  <c r="V20" i="2" a="1"/>
  <c r="V20" i="2" s="1"/>
  <c r="G22" i="1"/>
  <c r="S21" i="1"/>
  <c r="F28" i="2"/>
  <c r="S27" i="2"/>
  <c r="G168" i="1" l="1"/>
  <c r="S167" i="1" a="1"/>
  <c r="S167" i="1" s="1"/>
  <c r="D279" i="1"/>
  <c r="S278" i="1" a="1"/>
  <c r="S278" i="1" s="1"/>
  <c r="D133" i="1"/>
  <c r="S132" i="1" a="1"/>
  <c r="S132" i="1" s="1"/>
  <c r="D204" i="1"/>
  <c r="S203" i="1" a="1"/>
  <c r="S203" i="1" s="1"/>
  <c r="S95" i="1" a="1"/>
  <c r="S95" i="1" s="1"/>
  <c r="D96" i="1"/>
  <c r="D174" i="1"/>
  <c r="S243" i="1" a="1"/>
  <c r="S243" i="1" s="1"/>
  <c r="D244" i="1"/>
  <c r="G23" i="1"/>
  <c r="S22" i="1"/>
  <c r="D25" i="2"/>
  <c r="S28" i="2"/>
  <c r="F29" i="2"/>
  <c r="D27" i="1"/>
  <c r="H57" i="1"/>
  <c r="S56" i="1"/>
  <c r="H22" i="2"/>
  <c r="T21" i="2"/>
  <c r="V21" i="2" a="1"/>
  <c r="V21" i="2" s="1"/>
  <c r="U23" i="2"/>
  <c r="E24" i="2"/>
  <c r="D205" i="1" l="1"/>
  <c r="S204" i="1" a="1"/>
  <c r="S204" i="1" s="1"/>
  <c r="D134" i="1"/>
  <c r="S133" i="1" a="1"/>
  <c r="S133" i="1" s="1"/>
  <c r="D280" i="1"/>
  <c r="S279" i="1" a="1"/>
  <c r="S279" i="1" s="1"/>
  <c r="S244" i="1" a="1"/>
  <c r="S244" i="1" s="1"/>
  <c r="D245" i="1"/>
  <c r="D175" i="1"/>
  <c r="D97" i="1"/>
  <c r="S96" i="1" a="1"/>
  <c r="S96" i="1" s="1"/>
  <c r="G169" i="1"/>
  <c r="S168" i="1" a="1"/>
  <c r="S168" i="1" s="1"/>
  <c r="U24" i="2"/>
  <c r="E25" i="2"/>
  <c r="F30" i="2"/>
  <c r="S29" i="2"/>
  <c r="D26" i="2"/>
  <c r="H23" i="2"/>
  <c r="T22" i="2"/>
  <c r="V22" i="2" a="1"/>
  <c r="V22" i="2" s="1"/>
  <c r="S57" i="1"/>
  <c r="H58" i="1"/>
  <c r="D28" i="1"/>
  <c r="G24" i="1"/>
  <c r="S23" i="1"/>
  <c r="D246" i="1" l="1"/>
  <c r="S245" i="1" a="1"/>
  <c r="S245" i="1" s="1"/>
  <c r="G170" i="1"/>
  <c r="S169" i="1" a="1"/>
  <c r="S169" i="1" s="1"/>
  <c r="S280" i="1" a="1"/>
  <c r="S280" i="1" s="1"/>
  <c r="D281" i="1"/>
  <c r="S97" i="1" a="1"/>
  <c r="S97" i="1" s="1"/>
  <c r="D98" i="1"/>
  <c r="S134" i="1" a="1"/>
  <c r="S134" i="1" s="1"/>
  <c r="D135" i="1"/>
  <c r="D176" i="1"/>
  <c r="D206" i="1"/>
  <c r="S205" i="1" a="1"/>
  <c r="S205" i="1" s="1"/>
  <c r="D27" i="2"/>
  <c r="F31" i="2"/>
  <c r="S30" i="2"/>
  <c r="E26" i="2"/>
  <c r="U25" i="2"/>
  <c r="G25" i="1"/>
  <c r="S24" i="1"/>
  <c r="D29" i="1"/>
  <c r="S58" i="1"/>
  <c r="H59" i="1"/>
  <c r="H24" i="2"/>
  <c r="T23" i="2"/>
  <c r="V23" i="2" a="1"/>
  <c r="V23" i="2" s="1"/>
  <c r="S281" i="1" l="1" a="1"/>
  <c r="S281" i="1" s="1"/>
  <c r="D282" i="1"/>
  <c r="D136" i="1"/>
  <c r="S135" i="1" a="1"/>
  <c r="S135" i="1" s="1"/>
  <c r="S98" i="1" a="1"/>
  <c r="S98" i="1" s="1"/>
  <c r="D99" i="1"/>
  <c r="D207" i="1"/>
  <c r="S206" i="1" a="1"/>
  <c r="S206" i="1" s="1"/>
  <c r="D177" i="1"/>
  <c r="G171" i="1"/>
  <c r="S170" i="1" a="1"/>
  <c r="S170" i="1" s="1"/>
  <c r="D247" i="1"/>
  <c r="S246" i="1" a="1"/>
  <c r="S246" i="1" s="1"/>
  <c r="G26" i="1"/>
  <c r="S25" i="1"/>
  <c r="F32" i="2"/>
  <c r="S31" i="2"/>
  <c r="H60" i="1"/>
  <c r="S59" i="1"/>
  <c r="H25" i="2"/>
  <c r="T24" i="2"/>
  <c r="V24" i="2" a="1"/>
  <c r="V24" i="2" s="1"/>
  <c r="D30" i="1"/>
  <c r="D28" i="2"/>
  <c r="U26" i="2"/>
  <c r="E27" i="2"/>
  <c r="S99" i="1" l="1" a="1"/>
  <c r="S99" i="1" s="1"/>
  <c r="D100" i="1"/>
  <c r="S247" i="1" a="1"/>
  <c r="S247" i="1" s="1"/>
  <c r="D248" i="1"/>
  <c r="G172" i="1"/>
  <c r="S171" i="1" a="1"/>
  <c r="S171" i="1" s="1"/>
  <c r="S136" i="1" a="1"/>
  <c r="S136" i="1" s="1"/>
  <c r="D137" i="1"/>
  <c r="D178" i="1"/>
  <c r="S282" i="1" a="1"/>
  <c r="S282" i="1" s="1"/>
  <c r="D283" i="1"/>
  <c r="S207" i="1" a="1"/>
  <c r="S207" i="1" s="1"/>
  <c r="D208" i="1"/>
  <c r="H26" i="2"/>
  <c r="V25" i="2" a="1"/>
  <c r="V25" i="2" s="1"/>
  <c r="T25" i="2"/>
  <c r="D29" i="2"/>
  <c r="S60" i="1"/>
  <c r="H61" i="1"/>
  <c r="S32" i="2"/>
  <c r="F33" i="2"/>
  <c r="G27" i="1"/>
  <c r="S26" i="1"/>
  <c r="D31" i="1"/>
  <c r="U27" i="2"/>
  <c r="E28" i="2"/>
  <c r="S137" i="1" l="1" a="1"/>
  <c r="S137" i="1" s="1"/>
  <c r="D138" i="1"/>
  <c r="S208" i="1" a="1"/>
  <c r="S208" i="1" s="1"/>
  <c r="D209" i="1"/>
  <c r="G173" i="1"/>
  <c r="S172" i="1" a="1"/>
  <c r="S172" i="1" s="1"/>
  <c r="S283" i="1" a="1"/>
  <c r="S283" i="1" s="1"/>
  <c r="D284" i="1"/>
  <c r="S248" i="1" a="1"/>
  <c r="S248" i="1" s="1"/>
  <c r="D249" i="1"/>
  <c r="D179" i="1"/>
  <c r="D101" i="1"/>
  <c r="S100" i="1" a="1"/>
  <c r="S100" i="1" s="1"/>
  <c r="E29" i="2"/>
  <c r="U28" i="2"/>
  <c r="D30" i="2"/>
  <c r="D32" i="1"/>
  <c r="H62" i="1"/>
  <c r="S61" i="1"/>
  <c r="G28" i="1"/>
  <c r="S27" i="1"/>
  <c r="F34" i="2"/>
  <c r="S33" i="2"/>
  <c r="H27" i="2"/>
  <c r="T26" i="2"/>
  <c r="V26" i="2" a="1"/>
  <c r="V26" i="2" s="1"/>
  <c r="S284" i="1" l="1" a="1"/>
  <c r="S284" i="1" s="1"/>
  <c r="D285" i="1"/>
  <c r="D102" i="1"/>
  <c r="S101" i="1" a="1"/>
  <c r="S101" i="1" s="1"/>
  <c r="G174" i="1"/>
  <c r="S173" i="1" a="1"/>
  <c r="S173" i="1" s="1"/>
  <c r="D180" i="1"/>
  <c r="S209" i="1" a="1"/>
  <c r="S209" i="1" s="1"/>
  <c r="D210" i="1"/>
  <c r="D250" i="1"/>
  <c r="S249" i="1" a="1"/>
  <c r="S249" i="1" s="1"/>
  <c r="D139" i="1"/>
  <c r="S138" i="1" a="1"/>
  <c r="S138" i="1" s="1"/>
  <c r="S62" i="1"/>
  <c r="H63" i="1"/>
  <c r="H28" i="2"/>
  <c r="V27" i="2" a="1"/>
  <c r="V27" i="2" s="1"/>
  <c r="T27" i="2"/>
  <c r="D31" i="2"/>
  <c r="G29" i="1"/>
  <c r="S28" i="1"/>
  <c r="D33" i="1"/>
  <c r="F35" i="2"/>
  <c r="S34" i="2"/>
  <c r="U29" i="2"/>
  <c r="E30" i="2"/>
  <c r="D181" i="1" l="1"/>
  <c r="D140" i="1"/>
  <c r="S139" i="1" a="1"/>
  <c r="S139" i="1" s="1"/>
  <c r="G175" i="1"/>
  <c r="S174" i="1" a="1"/>
  <c r="S174" i="1" s="1"/>
  <c r="D251" i="1"/>
  <c r="S250" i="1" a="1"/>
  <c r="S250" i="1" s="1"/>
  <c r="S102" i="1" a="1"/>
  <c r="S102" i="1" s="1"/>
  <c r="D103" i="1"/>
  <c r="S210" i="1" a="1"/>
  <c r="S210" i="1" s="1"/>
  <c r="D211" i="1"/>
  <c r="D286" i="1"/>
  <c r="S285" i="1" a="1"/>
  <c r="S285" i="1" s="1"/>
  <c r="D34" i="1"/>
  <c r="U30" i="2"/>
  <c r="E31" i="2"/>
  <c r="D32" i="2"/>
  <c r="H29" i="2"/>
  <c r="T28" i="2"/>
  <c r="V28" i="2" a="1"/>
  <c r="V28" i="2" s="1"/>
  <c r="F36" i="2"/>
  <c r="S35" i="2"/>
  <c r="H64" i="1"/>
  <c r="S63" i="1"/>
  <c r="G30" i="1"/>
  <c r="S29" i="1"/>
  <c r="S140" i="1" l="1" a="1"/>
  <c r="S140" i="1" s="1"/>
  <c r="D141" i="1"/>
  <c r="S286" i="1" a="1"/>
  <c r="S286" i="1" s="1"/>
  <c r="D287" i="1"/>
  <c r="G176" i="1"/>
  <c r="S175" i="1" a="1"/>
  <c r="S175" i="1" s="1"/>
  <c r="D212" i="1"/>
  <c r="S211" i="1" a="1"/>
  <c r="S211" i="1" s="1"/>
  <c r="S103" i="1" a="1"/>
  <c r="S103" i="1" s="1"/>
  <c r="D104" i="1"/>
  <c r="D182" i="1"/>
  <c r="S251" i="1" a="1"/>
  <c r="S251" i="1" s="1"/>
  <c r="D252" i="1"/>
  <c r="H30" i="2"/>
  <c r="T29" i="2"/>
  <c r="V29" i="2" a="1"/>
  <c r="V29" i="2" s="1"/>
  <c r="G31" i="1"/>
  <c r="S30" i="1"/>
  <c r="D33" i="2"/>
  <c r="S64" i="1"/>
  <c r="H65" i="1"/>
  <c r="U31" i="2"/>
  <c r="E32" i="2"/>
  <c r="S36" i="2"/>
  <c r="F37" i="2"/>
  <c r="D35" i="1"/>
  <c r="G177" i="1" l="1"/>
  <c r="S176" i="1" a="1"/>
  <c r="S176" i="1" s="1"/>
  <c r="S287" i="1" a="1"/>
  <c r="S287" i="1" s="1"/>
  <c r="D288" i="1"/>
  <c r="D213" i="1"/>
  <c r="S212" i="1" a="1"/>
  <c r="S212" i="1" s="1"/>
  <c r="D105" i="1"/>
  <c r="S104" i="1" a="1"/>
  <c r="S104" i="1" s="1"/>
  <c r="S141" i="1" a="1"/>
  <c r="S141" i="1" s="1"/>
  <c r="D142" i="1"/>
  <c r="D253" i="1"/>
  <c r="S252" i="1" a="1"/>
  <c r="S252" i="1" s="1"/>
  <c r="E33" i="2"/>
  <c r="U32" i="2"/>
  <c r="G32" i="1"/>
  <c r="S31" i="1"/>
  <c r="D36" i="1"/>
  <c r="D34" i="2"/>
  <c r="S65" i="1"/>
  <c r="H66" i="1"/>
  <c r="F38" i="2"/>
  <c r="S38" i="2" s="1"/>
  <c r="S37" i="2"/>
  <c r="H31" i="2"/>
  <c r="V30" i="2" a="1"/>
  <c r="V30" i="2" s="1"/>
  <c r="T30" i="2"/>
  <c r="S105" i="1" l="1" a="1"/>
  <c r="S105" i="1" s="1"/>
  <c r="D106" i="1"/>
  <c r="D289" i="1"/>
  <c r="S288" i="1" a="1"/>
  <c r="S288" i="1" s="1"/>
  <c r="D214" i="1"/>
  <c r="S213" i="1" a="1"/>
  <c r="S213" i="1" s="1"/>
  <c r="D254" i="1"/>
  <c r="S254" i="1" s="1" a="1"/>
  <c r="S254" i="1" s="1"/>
  <c r="S253" i="1" a="1"/>
  <c r="S253" i="1" s="1"/>
  <c r="S142" i="1" a="1"/>
  <c r="S142" i="1" s="1"/>
  <c r="D143" i="1"/>
  <c r="G178" i="1"/>
  <c r="S177" i="1" a="1"/>
  <c r="S177" i="1" s="1"/>
  <c r="H32" i="2"/>
  <c r="T31" i="2"/>
  <c r="V31" i="2" a="1"/>
  <c r="V31" i="2" s="1"/>
  <c r="G33" i="1"/>
  <c r="S32" i="1"/>
  <c r="D37" i="1"/>
  <c r="U33" i="2"/>
  <c r="E34" i="2"/>
  <c r="S66" i="1"/>
  <c r="H67" i="1"/>
  <c r="D35" i="2"/>
  <c r="D215" i="1" l="1"/>
  <c r="S214" i="1" a="1"/>
  <c r="S214" i="1" s="1"/>
  <c r="G179" i="1"/>
  <c r="S178" i="1" a="1"/>
  <c r="S178" i="1" s="1"/>
  <c r="S289" i="1" a="1"/>
  <c r="S289" i="1" s="1"/>
  <c r="D290" i="1"/>
  <c r="S290" i="1" s="1" a="1"/>
  <c r="S290" i="1" s="1"/>
  <c r="S143" i="1" a="1"/>
  <c r="S143" i="1" s="1"/>
  <c r="D144" i="1"/>
  <c r="D107" i="1"/>
  <c r="S106" i="1" a="1"/>
  <c r="S106" i="1" s="1"/>
  <c r="D36" i="2"/>
  <c r="D38" i="1"/>
  <c r="G34" i="1"/>
  <c r="S33" i="1"/>
  <c r="H68" i="1"/>
  <c r="S67" i="1"/>
  <c r="U34" i="2"/>
  <c r="E35" i="2"/>
  <c r="H33" i="2"/>
  <c r="T32" i="2"/>
  <c r="V32" i="2" a="1"/>
  <c r="V32" i="2" s="1"/>
  <c r="D145" i="1" l="1"/>
  <c r="S144" i="1" a="1"/>
  <c r="S144" i="1" s="1"/>
  <c r="G180" i="1"/>
  <c r="S179" i="1" a="1"/>
  <c r="S179" i="1" s="1"/>
  <c r="D108" i="1"/>
  <c r="S107" i="1" a="1"/>
  <c r="S107" i="1" s="1"/>
  <c r="S215" i="1" a="1"/>
  <c r="S215" i="1" s="1"/>
  <c r="D216" i="1"/>
  <c r="H69" i="1"/>
  <c r="S68" i="1"/>
  <c r="H34" i="2"/>
  <c r="T33" i="2"/>
  <c r="V33" i="2" a="1"/>
  <c r="V33" i="2" s="1"/>
  <c r="U35" i="2"/>
  <c r="E36" i="2"/>
  <c r="D37" i="2"/>
  <c r="G35" i="1"/>
  <c r="S34" i="1"/>
  <c r="S216" i="1" l="1" a="1"/>
  <c r="S216" i="1" s="1"/>
  <c r="D217" i="1"/>
  <c r="S108" i="1" a="1"/>
  <c r="S108" i="1" s="1"/>
  <c r="D109" i="1"/>
  <c r="G181" i="1"/>
  <c r="S180" i="1" a="1"/>
  <c r="S180" i="1" s="1"/>
  <c r="D146" i="1"/>
  <c r="S146" i="1" s="1" a="1"/>
  <c r="S146" i="1" s="1"/>
  <c r="S145" i="1" a="1"/>
  <c r="S145" i="1" s="1"/>
  <c r="G36" i="1"/>
  <c r="S35" i="1"/>
  <c r="E37" i="2"/>
  <c r="U36" i="2"/>
  <c r="H35" i="2"/>
  <c r="V34" i="2" a="1"/>
  <c r="V34" i="2" s="1"/>
  <c r="T34" i="2"/>
  <c r="D38" i="2"/>
  <c r="H70" i="1"/>
  <c r="S69" i="1"/>
  <c r="G182" i="1" l="1"/>
  <c r="S182" i="1" s="1" a="1"/>
  <c r="S182" i="1" s="1"/>
  <c r="S181" i="1" a="1"/>
  <c r="S181" i="1" s="1"/>
  <c r="D110" i="1"/>
  <c r="S110" i="1" s="1" a="1"/>
  <c r="S110" i="1" s="1"/>
  <c r="S109" i="1" a="1"/>
  <c r="S109" i="1" s="1"/>
  <c r="S217" i="1" a="1"/>
  <c r="S217" i="1" s="1"/>
  <c r="D218" i="1"/>
  <c r="S218" i="1" s="1" a="1"/>
  <c r="S218" i="1" s="1"/>
  <c r="H71" i="1"/>
  <c r="S70" i="1"/>
  <c r="H36" i="2"/>
  <c r="T35" i="2"/>
  <c r="V35" i="2" a="1"/>
  <c r="V35" i="2" s="1"/>
  <c r="U37" i="2"/>
  <c r="E38" i="2"/>
  <c r="U38" i="2" s="1"/>
  <c r="G37" i="1"/>
  <c r="S36" i="1"/>
  <c r="H37" i="2" l="1"/>
  <c r="T36" i="2"/>
  <c r="V36" i="2" a="1"/>
  <c r="V36" i="2" s="1"/>
  <c r="G38" i="1"/>
  <c r="S38" i="1" s="1"/>
  <c r="S37" i="1"/>
  <c r="H72" i="1"/>
  <c r="S71" i="1"/>
  <c r="H73" i="1" l="1"/>
  <c r="S72" i="1"/>
  <c r="H38" i="2"/>
  <c r="T37" i="2"/>
  <c r="V37" i="2" a="1"/>
  <c r="V37" i="2" s="1"/>
  <c r="T38" i="2" l="1"/>
  <c r="V38" i="2" a="1"/>
  <c r="V38" i="2" s="1"/>
  <c r="H74" i="1"/>
  <c r="S74" i="1" s="1"/>
  <c r="S7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<sst xmlns="http://schemas.openxmlformats.org/spreadsheetml/2006/main" count="52" uniqueCount="32">
  <si>
    <t>scenario</t>
  </si>
  <si>
    <t>year</t>
  </si>
  <si>
    <t>month</t>
  </si>
  <si>
    <t>Arnot</t>
  </si>
  <si>
    <t>Camden</t>
  </si>
  <si>
    <t>Duvha</t>
  </si>
  <si>
    <t>Grootvlei</t>
  </si>
  <si>
    <t>Hendrina</t>
  </si>
  <si>
    <t>Kelvin</t>
  </si>
  <si>
    <t>Kendal</t>
  </si>
  <si>
    <t>Kriel</t>
  </si>
  <si>
    <t>Kusile</t>
  </si>
  <si>
    <t>Lethabo</t>
  </si>
  <si>
    <t>Majuba</t>
  </si>
  <si>
    <t>Matimba</t>
  </si>
  <si>
    <t>Matla</t>
  </si>
  <si>
    <t>Medupi</t>
  </si>
  <si>
    <t>Tutuka</t>
  </si>
  <si>
    <t>Total</t>
  </si>
  <si>
    <t>ignore</t>
  </si>
  <si>
    <t>ESKOM_2035</t>
  </si>
  <si>
    <t>DELAYED_ESKOM_2035</t>
  </si>
  <si>
    <t>RSA-coal_eskom_low</t>
  </si>
  <si>
    <t>RSA-coal_eskom_med</t>
  </si>
  <si>
    <t>RSA-coal_eskom_high</t>
  </si>
  <si>
    <t>COAL_OFF_2050</t>
  </si>
  <si>
    <t>COAL_OFF_2050_PMR1</t>
  </si>
  <si>
    <t>COAL_OFF_2055_PMR1</t>
  </si>
  <si>
    <t>COAL_OFF_2060_PMR1</t>
  </si>
  <si>
    <t>COAL_OFF_2050_PMR1b</t>
  </si>
  <si>
    <t>COAL_OFF_2055_PMR1b</t>
  </si>
  <si>
    <t>COAL_OFF_2060_PMR1b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</si>
</sst>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</font>
    <font>
      <sz val="11"/>
      <color rgb="FF006100"/>
      <name val="Calibri"/>
    </font>
    <font>
      <b/>
      <sz val="11"/>
      <color theme="1"/>
      <name val="Calibri"/>
    </font>
    <font>
      <sz val="11"/>
      <color theme="0"/>
      <name val="Calibri"/>
    </font>
    <font>
      <sz val="11"/>
      <name val="Calibri"/>
    </font>
    <font>
      <sz val="11"/>
      <color theme="1"/>
      <name val="Calibri"/>
    </font>
    <font>
      <sz val="11"/>
      <color theme="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C6EFCE"/>
        <bgColor rgb="FFE2F0D9"/>
      </patternFill>
    </fill>
    <fill>
      <patternFill patternType="solid">
        <fgColor theme="4" tint="0.79989013336588644"/>
        <bgColor rgb="FFE2F0D9"/>
      </patternFill>
    </fill>
    <fill>
      <patternFill patternType="solid">
        <fgColor theme="9" tint="0.79989013336588644"/>
        <bgColor rgb="FFDEEBF7"/>
      </patternFill>
    </fill>
    <fill>
      <patternFill patternType="solid">
        <fgColor theme="5" tint="0.79989013336588644"/>
        <bgColor rgb="FFE2F0D9"/>
      </patternFill>
    </fill>
    <fill>
      <patternFill patternType="solid">
        <fgColor indexed="5"/>
        <bgColor indexed="5"/>
      </patternFill>
    </fill>
    <fill>
      <patternFill patternType="solid">
        <fgColor theme="8" tint="0.39967040009765925"/>
        <bgColor indexed="44"/>
      </patternFill>
    </fill>
    <fill>
      <patternFill patternType="solid">
        <fgColor theme="0" tint="-0.14999847407452621"/>
        <bgColor rgb="FFDEEBF7"/>
      </patternFill>
    </fill>
    <fill>
      <patternFill patternType="solid">
        <fgColor theme="8" tint="0.39979247413556324"/>
        <bgColor rgb="FF969696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rgb="FF969696"/>
      </patternFill>
    </fill>
    <fill>
      <patternFill patternType="solid">
        <fgColor theme="6" tint="0.39997558519241921"/>
        <bgColor rgb="FF969696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9" fontId="5" fillId="0" borderId="0" applyBorder="0" applyProtection="0"/>
    <xf numFmtId="0" fontId="1" fillId="2" borderId="0" applyBorder="0" applyProtection="0"/>
  </cellStyleXfs>
  <cellXfs count="24">
    <xf numFmtId="0" fontId="0" fillId="0" borderId="0" xfId="0"/>
    <xf numFmtId="0" fontId="2" fillId="0" borderId="0" xfId="0" applyFont="1"/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0" fontId="2" fillId="0" borderId="0" xfId="0" applyFont="1" applyAlignment="1">
      <alignment horizontal="right"/>
    </xf>
    <xf numFmtId="0" fontId="2" fillId="6" borderId="0" xfId="0" applyFont="1" applyFill="1"/>
    <xf numFmtId="0" fontId="3" fillId="7" borderId="0" xfId="2" applyFont="1" applyFill="1" applyAlignment="1" applyProtection="1">
      <alignment horizontal="left" vertical="center"/>
    </xf>
    <xf numFmtId="9" fontId="5" fillId="0" borderId="0" xfId="1" applyProtection="1"/>
    <xf numFmtId="1" fontId="0" fillId="8" borderId="0" xfId="0" applyNumberFormat="1" applyFill="1"/>
    <xf numFmtId="0" fontId="4" fillId="4" borderId="0" xfId="2" applyFont="1" applyFill="1" applyAlignment="1" applyProtection="1">
      <alignment horizontal="left" vertical="center"/>
    </xf>
    <xf numFmtId="10" fontId="5" fillId="0" borderId="0" xfId="1" applyNumberFormat="1" applyProtection="1"/>
    <xf numFmtId="0" fontId="3" fillId="7" borderId="0" xfId="2" applyFont="1" applyFill="1" applyAlignment="1" applyProtection="1">
      <alignment horizontal="right" vertical="center"/>
    </xf>
    <xf numFmtId="9" fontId="5" fillId="5" borderId="0" xfId="1" applyFill="1" applyProtection="1"/>
    <xf numFmtId="0" fontId="6" fillId="9" borderId="0" xfId="2" applyFont="1" applyFill="1" applyBorder="1" applyAlignment="1" applyProtection="1">
      <alignment horizontal="left" vertical="center"/>
    </xf>
    <xf numFmtId="9" fontId="0" fillId="0" borderId="0" xfId="1" applyFont="1"/>
    <xf numFmtId="1" fontId="0" fillId="10" borderId="0" xfId="0" applyNumberFormat="1" applyFill="1"/>
    <xf numFmtId="0" fontId="6" fillId="9" borderId="1" xfId="2" applyFont="1" applyFill="1" applyBorder="1" applyAlignment="1" applyProtection="1">
      <alignment horizontal="left" vertical="center"/>
    </xf>
    <xf numFmtId="0" fontId="0" fillId="0" borderId="1" xfId="0" applyBorder="1"/>
    <xf numFmtId="9" fontId="0" fillId="0" borderId="1" xfId="1" applyFont="1" applyBorder="1"/>
    <xf numFmtId="1" fontId="0" fillId="10" borderId="1" xfId="0" applyNumberFormat="1" applyFill="1" applyBorder="1"/>
    <xf numFmtId="0" fontId="6" fillId="11" borderId="0" xfId="2" applyFont="1" applyFill="1" applyBorder="1" applyAlignment="1" applyProtection="1">
      <alignment horizontal="left" vertical="center"/>
    </xf>
    <xf numFmtId="0" fontId="6" fillId="11" borderId="1" xfId="2" applyFont="1" applyFill="1" applyBorder="1" applyAlignment="1" applyProtection="1">
      <alignment horizontal="left" vertical="center"/>
    </xf>
    <xf numFmtId="0" fontId="6" fillId="12" borderId="0" xfId="2" applyFont="1" applyFill="1" applyBorder="1" applyAlignment="1" applyProtection="1">
      <alignment horizontal="left" vertical="center"/>
    </xf>
  </cellXfs>
  <cellStyles count="3">
    <cellStyle name="Excel Built-in Good" xfId="2" xr:uid="{00000000-0005-0000-0000-000006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en-ZA" sz="1400" b="0" strike="noStrike" spc="-1">
                <a:solidFill>
                  <a:srgbClr val="595959"/>
                </a:solidFill>
                <a:latin typeface="Calibri"/>
              </a:rPr>
              <a:t>Chart Title</a:t>
            </a:r>
            <a:endParaRPr lang="en-ZA"/>
          </a:p>
        </c:rich>
      </c:tx>
      <c:overlay val="0"/>
      <c:spPr>
        <a:prstGeom prst="rect">
          <a:avLst/>
        </a:prstGeom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prstGeom prst="rect">
              <a:avLst/>
            </a:prstGeom>
            <a:ln w="19080" cap="rnd">
              <a:solidFill>
                <a:srgbClr val="5B9BD5"/>
              </a:solidFill>
              <a:round/>
            </a:ln>
          </c:spPr>
          <c:marker>
            <c:symbol val="none"/>
          </c:marker>
          <c:xVal>
            <c:numRef>
              <c:f>schedule!$B$39:$B$74</c:f>
              <c:numCache>
                <c:formatCode>General</c:formatCode>
                <c:ptCount val="3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  <c:pt idx="33">
                  <c:v>2058</c:v>
                </c:pt>
                <c:pt idx="34">
                  <c:v>2059</c:v>
                </c:pt>
                <c:pt idx="35">
                  <c:v>2060</c:v>
                </c:pt>
              </c:numCache>
            </c:numRef>
          </c:xVal>
          <c:yVal>
            <c:numRef>
              <c:f>schedule!$S$39:$S$74</c:f>
              <c:numCache>
                <c:formatCode>0</c:formatCode>
                <c:ptCount val="36"/>
                <c:pt idx="0">
                  <c:v>41419</c:v>
                </c:pt>
                <c:pt idx="1">
                  <c:v>41419</c:v>
                </c:pt>
                <c:pt idx="2">
                  <c:v>41419</c:v>
                </c:pt>
                <c:pt idx="3">
                  <c:v>41419</c:v>
                </c:pt>
                <c:pt idx="4">
                  <c:v>41419</c:v>
                </c:pt>
                <c:pt idx="5">
                  <c:v>33810</c:v>
                </c:pt>
                <c:pt idx="6">
                  <c:v>32220</c:v>
                </c:pt>
                <c:pt idx="7">
                  <c:v>30495</c:v>
                </c:pt>
                <c:pt idx="8">
                  <c:v>29345</c:v>
                </c:pt>
                <c:pt idx="9">
                  <c:v>27620</c:v>
                </c:pt>
                <c:pt idx="10">
                  <c:v>26460</c:v>
                </c:pt>
                <c:pt idx="11">
                  <c:v>26460</c:v>
                </c:pt>
                <c:pt idx="12">
                  <c:v>25274</c:v>
                </c:pt>
                <c:pt idx="13">
                  <c:v>22926</c:v>
                </c:pt>
                <c:pt idx="14">
                  <c:v>20518</c:v>
                </c:pt>
                <c:pt idx="15">
                  <c:v>18670</c:v>
                </c:pt>
                <c:pt idx="16">
                  <c:v>17445</c:v>
                </c:pt>
                <c:pt idx="17">
                  <c:v>16237</c:v>
                </c:pt>
                <c:pt idx="18">
                  <c:v>13727</c:v>
                </c:pt>
                <c:pt idx="19">
                  <c:v>13087</c:v>
                </c:pt>
                <c:pt idx="20">
                  <c:v>12447</c:v>
                </c:pt>
                <c:pt idx="21">
                  <c:v>11812.5</c:v>
                </c:pt>
                <c:pt idx="22">
                  <c:v>11178</c:v>
                </c:pt>
                <c:pt idx="23">
                  <c:v>10543.5</c:v>
                </c:pt>
                <c:pt idx="24">
                  <c:v>9909</c:v>
                </c:pt>
                <c:pt idx="25">
                  <c:v>9274.5</c:v>
                </c:pt>
                <c:pt idx="26">
                  <c:v>8640</c:v>
                </c:pt>
                <c:pt idx="27">
                  <c:v>8640</c:v>
                </c:pt>
                <c:pt idx="28">
                  <c:v>8640</c:v>
                </c:pt>
                <c:pt idx="29">
                  <c:v>8640</c:v>
                </c:pt>
                <c:pt idx="30">
                  <c:v>8640</c:v>
                </c:pt>
                <c:pt idx="31">
                  <c:v>8640</c:v>
                </c:pt>
                <c:pt idx="32">
                  <c:v>8640</c:v>
                </c:pt>
                <c:pt idx="33">
                  <c:v>8640</c:v>
                </c:pt>
                <c:pt idx="34">
                  <c:v>8640</c:v>
                </c:pt>
                <c:pt idx="35">
                  <c:v>8640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CF-40B5-B168-DBFA6C84F492}"/>
            </c:ext>
          </c:extLst>
        </c:ser>
        <c:ser>
          <c:idx val="1"/>
          <c:order val="1"/>
          <c:spPr>
            <a:prstGeom prst="rect">
              <a:avLst/>
            </a:prstGeom>
            <a:ln w="19080" cap="rnd">
              <a:solidFill>
                <a:srgbClr val="ED7D31"/>
              </a:solidFill>
              <a:round/>
            </a:ln>
          </c:spPr>
          <c:marker>
            <c:symbol val="none"/>
          </c:marker>
          <c:xVal>
            <c:numRef>
              <c:f>schedule!$B$75:$B$107</c:f>
              <c:numCache>
                <c:formatCode>General</c:formatCode>
                <c:ptCount val="33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2037</c:v>
                </c:pt>
                <c:pt idx="13">
                  <c:v>2038</c:v>
                </c:pt>
                <c:pt idx="14">
                  <c:v>2039</c:v>
                </c:pt>
                <c:pt idx="15">
                  <c:v>2040</c:v>
                </c:pt>
                <c:pt idx="16">
                  <c:v>2041</c:v>
                </c:pt>
                <c:pt idx="17">
                  <c:v>2042</c:v>
                </c:pt>
                <c:pt idx="18">
                  <c:v>2043</c:v>
                </c:pt>
                <c:pt idx="19">
                  <c:v>2044</c:v>
                </c:pt>
                <c:pt idx="20">
                  <c:v>2045</c:v>
                </c:pt>
                <c:pt idx="21">
                  <c:v>2046</c:v>
                </c:pt>
                <c:pt idx="22">
                  <c:v>2047</c:v>
                </c:pt>
                <c:pt idx="23">
                  <c:v>2048</c:v>
                </c:pt>
                <c:pt idx="24">
                  <c:v>2049</c:v>
                </c:pt>
                <c:pt idx="25">
                  <c:v>2050</c:v>
                </c:pt>
                <c:pt idx="26">
                  <c:v>2051</c:v>
                </c:pt>
                <c:pt idx="27">
                  <c:v>2052</c:v>
                </c:pt>
                <c:pt idx="28">
                  <c:v>2053</c:v>
                </c:pt>
                <c:pt idx="29">
                  <c:v>2054</c:v>
                </c:pt>
                <c:pt idx="30">
                  <c:v>2055</c:v>
                </c:pt>
                <c:pt idx="31">
                  <c:v>2056</c:v>
                </c:pt>
                <c:pt idx="32">
                  <c:v>2057</c:v>
                </c:pt>
              </c:numCache>
            </c:numRef>
          </c:xVal>
          <c:yVal>
            <c:numRef>
              <c:f>schedule!$S$75:$S$107</c:f>
              <c:numCache>
                <c:formatCode>0</c:formatCode>
                <c:ptCount val="33"/>
                <c:pt idx="0">
                  <c:v>41419</c:v>
                </c:pt>
                <c:pt idx="1">
                  <c:v>41419</c:v>
                </c:pt>
                <c:pt idx="2">
                  <c:v>41419</c:v>
                </c:pt>
                <c:pt idx="3">
                  <c:v>41419</c:v>
                </c:pt>
                <c:pt idx="4">
                  <c:v>41419</c:v>
                </c:pt>
                <c:pt idx="5">
                  <c:v>34460.5</c:v>
                </c:pt>
                <c:pt idx="6">
                  <c:v>33290.5</c:v>
                </c:pt>
                <c:pt idx="7">
                  <c:v>31380.375</c:v>
                </c:pt>
                <c:pt idx="8">
                  <c:v>29890</c:v>
                </c:pt>
                <c:pt idx="9">
                  <c:v>28135</c:v>
                </c:pt>
                <c:pt idx="10">
                  <c:v>26985</c:v>
                </c:pt>
                <c:pt idx="11">
                  <c:v>25260</c:v>
                </c:pt>
                <c:pt idx="12">
                  <c:v>23535</c:v>
                </c:pt>
                <c:pt idx="13">
                  <c:v>22255</c:v>
                </c:pt>
                <c:pt idx="14">
                  <c:v>20429</c:v>
                </c:pt>
                <c:pt idx="15">
                  <c:v>19243</c:v>
                </c:pt>
                <c:pt idx="16">
                  <c:v>17442</c:v>
                </c:pt>
                <c:pt idx="17">
                  <c:v>15522</c:v>
                </c:pt>
                <c:pt idx="18">
                  <c:v>13657.5</c:v>
                </c:pt>
                <c:pt idx="19">
                  <c:v>11793</c:v>
                </c:pt>
                <c:pt idx="20">
                  <c:v>9909</c:v>
                </c:pt>
                <c:pt idx="21">
                  <c:v>7920</c:v>
                </c:pt>
                <c:pt idx="22">
                  <c:v>5760</c:v>
                </c:pt>
                <c:pt idx="23">
                  <c:v>3600</c:v>
                </c:pt>
                <c:pt idx="24">
                  <c:v>2160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CF-40B5-B168-DBFA6C84F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756767"/>
        <c:axId val="48871561"/>
      </c:scatterChart>
      <c:valAx>
        <c:axId val="21756767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prstGeom prst="rect">
            <a:avLst/>
          </a:prstGeom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48871561"/>
        <c:crosses val="autoZero"/>
        <c:crossBetween val="midCat"/>
      </c:valAx>
      <c:valAx>
        <c:axId val="48871561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360">
              <a:solidFill>
                <a:srgbClr val="D9D9D9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prstGeom prst="rect">
            <a:avLst/>
          </a:prstGeom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21756767"/>
        <c:crosses val="autoZero"/>
        <c:crossBetween val="midCat"/>
      </c:valAx>
      <c:spPr>
        <a:prstGeom prst="rect">
          <a:avLst/>
        </a:prstGeom>
        <a:noFill/>
        <a:ln w="0">
          <a:noFill/>
        </a:ln>
      </c:spPr>
    </c:plotArea>
    <c:plotVisOnly val="1"/>
    <c:dispBlanksAs val="gap"/>
    <c:showDLblsOverMax val="0"/>
  </c:chart>
  <c:spPr>
    <a:xfrm>
      <a:off x="12955802" y="6477044"/>
      <a:ext cx="4363797" cy="2667517"/>
    </a:xfrm>
    <a:prstGeom prst="rect">
      <a:avLst/>
    </a:prstGeom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60840</xdr:colOff>
      <xdr:row>0</xdr:row>
      <xdr:rowOff>12600</xdr:rowOff>
    </xdr:from>
    <xdr:to>
      <xdr:col>43</xdr:col>
      <xdr:colOff>178200</xdr:colOff>
      <xdr:row>36</xdr:row>
      <xdr:rowOff>24480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 bwMode="auto">
        <a:xfrm>
          <a:off x="13147560" y="12600"/>
          <a:ext cx="14181840" cy="68076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1802</xdr:colOff>
      <xdr:row>35</xdr:row>
      <xdr:rowOff>87357</xdr:rowOff>
    </xdr:from>
    <xdr:to>
      <xdr:col>28</xdr:col>
      <xdr:colOff>309537</xdr:colOff>
      <xdr:row>50</xdr:row>
      <xdr:rowOff>16437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90"/>
  <sheetViews>
    <sheetView tabSelected="1" zoomScale="120" workbookViewId="0">
      <selection activeCell="A108" sqref="A108"/>
    </sheetView>
  </sheetViews>
  <sheetFormatPr defaultColWidth="8.6328125" defaultRowHeight="14.5" x14ac:dyDescent="0.35"/>
  <cols>
    <col min="1" max="1" width="21.453125" customWidth="1"/>
    <col min="3" max="3" width="6.81640625" customWidth="1"/>
    <col min="4" max="4" width="7" customWidth="1"/>
    <col min="5" max="5" width="9.1796875" customWidth="1"/>
    <col min="7" max="7" width="10.1796875" customWidth="1"/>
    <col min="19" max="19" width="9.54296875" customWidth="1"/>
  </cols>
  <sheetData>
    <row r="1" spans="1:19" x14ac:dyDescent="0.35">
      <c r="A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5" t="s">
        <v>18</v>
      </c>
    </row>
    <row r="2" spans="1:19" x14ac:dyDescent="0.35">
      <c r="A2" s="1" t="s">
        <v>19</v>
      </c>
      <c r="B2" s="1"/>
      <c r="C2" s="1"/>
      <c r="D2" s="1">
        <v>2100</v>
      </c>
      <c r="E2" s="1">
        <v>1481</v>
      </c>
      <c r="F2" s="1">
        <v>2875</v>
      </c>
      <c r="G2" s="1">
        <v>570</v>
      </c>
      <c r="H2" s="1">
        <v>1098</v>
      </c>
      <c r="I2" s="1">
        <v>160</v>
      </c>
      <c r="J2" s="1">
        <v>3840</v>
      </c>
      <c r="K2" s="1">
        <v>2640</v>
      </c>
      <c r="L2" s="1">
        <v>4320</v>
      </c>
      <c r="M2" s="1">
        <v>3558</v>
      </c>
      <c r="N2" s="6">
        <v>3807</v>
      </c>
      <c r="O2" s="1">
        <v>3690</v>
      </c>
      <c r="P2" s="1">
        <v>3450</v>
      </c>
      <c r="Q2" s="1">
        <v>4320</v>
      </c>
      <c r="R2" s="1">
        <v>3510</v>
      </c>
      <c r="S2" s="1">
        <f>SUM(D2:R2)</f>
        <v>41419</v>
      </c>
    </row>
    <row r="3" spans="1:19" x14ac:dyDescent="0.35">
      <c r="A3" s="7" t="s">
        <v>20</v>
      </c>
      <c r="B3">
        <v>2025</v>
      </c>
      <c r="C3">
        <v>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9">
        <f t="shared" ref="S3:S34" si="0">SUMPRODUCT((1-D3:R3),$D$2:$R$2)</f>
        <v>41419</v>
      </c>
    </row>
    <row r="4" spans="1:19" x14ac:dyDescent="0.35">
      <c r="A4" s="7" t="str">
        <f t="shared" ref="A4:A10" si="1">A3</f>
        <v>ESKOM_2035</v>
      </c>
      <c r="B4">
        <f t="shared" ref="B4:B10" si="2">B3+1</f>
        <v>2026</v>
      </c>
      <c r="C4">
        <v>1</v>
      </c>
      <c r="D4" s="8">
        <v>0</v>
      </c>
      <c r="E4" s="8">
        <v>0</v>
      </c>
      <c r="F4" s="8">
        <v>0</v>
      </c>
      <c r="G4" s="8">
        <f>1/3</f>
        <v>0.33333333333333331</v>
      </c>
      <c r="H4" s="8">
        <v>0</v>
      </c>
      <c r="I4" s="8">
        <v>0</v>
      </c>
      <c r="J4" s="8">
        <v>0</v>
      </c>
      <c r="K4" s="8">
        <f>1/6</f>
        <v>0.16666666666666666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9">
        <f t="shared" si="0"/>
        <v>40789</v>
      </c>
    </row>
    <row r="5" spans="1:19" x14ac:dyDescent="0.35">
      <c r="A5" s="7" t="str">
        <f t="shared" si="1"/>
        <v>ESKOM_2035</v>
      </c>
      <c r="B5">
        <f t="shared" si="2"/>
        <v>2027</v>
      </c>
      <c r="C5">
        <v>1</v>
      </c>
      <c r="D5" s="8">
        <f t="shared" ref="D5:D6" si="3">4/6</f>
        <v>0.66666666666666663</v>
      </c>
      <c r="E5" s="8">
        <v>0</v>
      </c>
      <c r="F5" s="8">
        <v>0</v>
      </c>
      <c r="G5" s="8">
        <f>2/3</f>
        <v>0.66666666666666663</v>
      </c>
      <c r="H5" s="8">
        <v>0</v>
      </c>
      <c r="I5" s="8">
        <v>0</v>
      </c>
      <c r="J5" s="8">
        <v>0</v>
      </c>
      <c r="K5" s="8">
        <f t="shared" ref="K5:K8" si="4">K4+1/6</f>
        <v>0.33333333333333331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9">
        <f t="shared" si="0"/>
        <v>38759</v>
      </c>
    </row>
    <row r="6" spans="1:19" x14ac:dyDescent="0.35">
      <c r="A6" s="7" t="str">
        <f t="shared" si="1"/>
        <v>ESKOM_2035</v>
      </c>
      <c r="B6">
        <f t="shared" si="2"/>
        <v>2028</v>
      </c>
      <c r="C6">
        <v>1</v>
      </c>
      <c r="D6" s="8">
        <f t="shared" si="3"/>
        <v>0.66666666666666663</v>
      </c>
      <c r="E6" s="8">
        <v>0</v>
      </c>
      <c r="F6" s="8">
        <v>0</v>
      </c>
      <c r="G6" s="8">
        <v>1</v>
      </c>
      <c r="H6" s="8">
        <v>0</v>
      </c>
      <c r="I6" s="8">
        <v>0</v>
      </c>
      <c r="J6" s="8">
        <v>0</v>
      </c>
      <c r="K6" s="8">
        <f t="shared" si="4"/>
        <v>0.5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9">
        <f t="shared" si="0"/>
        <v>38129</v>
      </c>
    </row>
    <row r="7" spans="1:19" x14ac:dyDescent="0.35">
      <c r="A7" s="7" t="str">
        <f t="shared" si="1"/>
        <v>ESKOM_2035</v>
      </c>
      <c r="B7">
        <f t="shared" si="2"/>
        <v>2029</v>
      </c>
      <c r="C7">
        <v>1</v>
      </c>
      <c r="D7" s="8">
        <f>5/6</f>
        <v>0.83333333333333337</v>
      </c>
      <c r="E7" s="8">
        <v>0</v>
      </c>
      <c r="F7" s="8">
        <v>0</v>
      </c>
      <c r="G7" s="8">
        <v>1</v>
      </c>
      <c r="H7" s="8">
        <v>0</v>
      </c>
      <c r="I7" s="8">
        <v>0</v>
      </c>
      <c r="J7" s="8">
        <v>0</v>
      </c>
      <c r="K7" s="8">
        <f t="shared" si="4"/>
        <v>0.66666666666666663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9">
        <f t="shared" si="0"/>
        <v>37339</v>
      </c>
    </row>
    <row r="8" spans="1:19" x14ac:dyDescent="0.35">
      <c r="A8" s="7" t="str">
        <f t="shared" si="1"/>
        <v>ESKOM_2035</v>
      </c>
      <c r="B8">
        <f t="shared" si="2"/>
        <v>2030</v>
      </c>
      <c r="C8">
        <v>1</v>
      </c>
      <c r="D8" s="8">
        <v>1</v>
      </c>
      <c r="E8" s="8">
        <f t="shared" ref="E8:E9" si="5">4/6</f>
        <v>0.66666666666666663</v>
      </c>
      <c r="F8" s="8">
        <v>0</v>
      </c>
      <c r="G8" s="8">
        <v>1</v>
      </c>
      <c r="H8" s="8">
        <v>1</v>
      </c>
      <c r="I8" s="8">
        <v>1</v>
      </c>
      <c r="J8" s="8">
        <v>0</v>
      </c>
      <c r="K8" s="8">
        <f t="shared" si="4"/>
        <v>0.83333333333333326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f>4/6</f>
        <v>0.66666666666666663</v>
      </c>
      <c r="S8" s="9">
        <f t="shared" si="0"/>
        <v>31963.666666666668</v>
      </c>
    </row>
    <row r="9" spans="1:19" x14ac:dyDescent="0.35">
      <c r="A9" s="7" t="str">
        <f t="shared" si="1"/>
        <v>ESKOM_2035</v>
      </c>
      <c r="B9">
        <f t="shared" si="2"/>
        <v>2031</v>
      </c>
      <c r="C9">
        <v>1</v>
      </c>
      <c r="D9" s="8">
        <v>1</v>
      </c>
      <c r="E9" s="8">
        <f t="shared" si="5"/>
        <v>0.66666666666666663</v>
      </c>
      <c r="F9" s="8">
        <v>0</v>
      </c>
      <c r="G9" s="8">
        <f t="shared" ref="G9:G10" si="6">G8</f>
        <v>1</v>
      </c>
      <c r="H9" s="8">
        <f t="shared" ref="H9:H10" si="7">H8</f>
        <v>1</v>
      </c>
      <c r="I9" s="8">
        <f t="shared" ref="I9:I10" si="8">I8</f>
        <v>1</v>
      </c>
      <c r="J9" s="8">
        <v>0</v>
      </c>
      <c r="K9" s="8">
        <v>1</v>
      </c>
      <c r="L9" s="8">
        <v>0</v>
      </c>
      <c r="M9" s="8">
        <v>0</v>
      </c>
      <c r="N9" s="8">
        <v>0</v>
      </c>
      <c r="O9" s="8">
        <v>0</v>
      </c>
      <c r="P9" s="8">
        <f>2/6</f>
        <v>0.33333333333333331</v>
      </c>
      <c r="Q9" s="8">
        <v>0</v>
      </c>
      <c r="R9" s="8">
        <v>1</v>
      </c>
      <c r="S9" s="9">
        <f t="shared" si="0"/>
        <v>29203.666666666668</v>
      </c>
    </row>
    <row r="10" spans="1:19" x14ac:dyDescent="0.35">
      <c r="A10" s="7" t="str">
        <f t="shared" si="1"/>
        <v>ESKOM_2035</v>
      </c>
      <c r="B10">
        <f t="shared" si="2"/>
        <v>2032</v>
      </c>
      <c r="C10">
        <v>1</v>
      </c>
      <c r="D10" s="8">
        <v>1</v>
      </c>
      <c r="E10" s="8">
        <f>E9+1/6</f>
        <v>0.83333333333333326</v>
      </c>
      <c r="F10" s="8">
        <f>2/5</f>
        <v>0.4</v>
      </c>
      <c r="G10" s="8">
        <f t="shared" si="6"/>
        <v>1</v>
      </c>
      <c r="H10" s="8">
        <f t="shared" si="7"/>
        <v>1</v>
      </c>
      <c r="I10" s="8">
        <f t="shared" si="8"/>
        <v>1</v>
      </c>
      <c r="J10" s="8">
        <v>0</v>
      </c>
      <c r="K10" s="8">
        <f>K9</f>
        <v>1</v>
      </c>
      <c r="L10" s="8">
        <v>0</v>
      </c>
      <c r="M10" s="8">
        <v>0</v>
      </c>
      <c r="N10" s="8">
        <v>0</v>
      </c>
      <c r="O10" s="8">
        <v>0</v>
      </c>
      <c r="P10" s="8">
        <f>P9+1/6</f>
        <v>0.5</v>
      </c>
      <c r="Q10" s="8">
        <v>0</v>
      </c>
      <c r="R10" s="8">
        <v>1</v>
      </c>
      <c r="S10" s="9">
        <f t="shared" si="0"/>
        <v>27231.833333333336</v>
      </c>
    </row>
    <row r="11" spans="1:19" x14ac:dyDescent="0.35">
      <c r="A11" s="7" t="str">
        <f t="shared" ref="A11:A74" si="9">A10</f>
        <v>ESKOM_2035</v>
      </c>
      <c r="B11">
        <f t="shared" ref="B11:B74" si="10">B10+1</f>
        <v>2033</v>
      </c>
      <c r="C11">
        <v>1</v>
      </c>
      <c r="D11" s="8">
        <v>1</v>
      </c>
      <c r="E11" s="8">
        <v>1</v>
      </c>
      <c r="F11" s="8">
        <f>4/5</f>
        <v>0.8</v>
      </c>
      <c r="G11" s="8">
        <f t="shared" ref="G11:G38" si="11">G10</f>
        <v>1</v>
      </c>
      <c r="H11" s="8">
        <f t="shared" ref="H11:H74" si="12">H10</f>
        <v>1</v>
      </c>
      <c r="I11" s="8">
        <f t="shared" ref="I11:I74" si="13">I10</f>
        <v>1</v>
      </c>
      <c r="J11" s="8">
        <v>0</v>
      </c>
      <c r="K11" s="8">
        <f t="shared" ref="K11:K38" si="14">K10</f>
        <v>1</v>
      </c>
      <c r="L11" s="8">
        <v>0</v>
      </c>
      <c r="M11" s="8">
        <v>0</v>
      </c>
      <c r="N11" s="8">
        <v>0</v>
      </c>
      <c r="O11" s="8">
        <v>0</v>
      </c>
      <c r="P11" s="8">
        <f t="shared" ref="P11:P12" si="15">P10+1/6</f>
        <v>0.66666666666666663</v>
      </c>
      <c r="Q11" s="8">
        <v>0</v>
      </c>
      <c r="R11" s="8">
        <v>1</v>
      </c>
      <c r="S11" s="9">
        <f t="shared" si="0"/>
        <v>25260</v>
      </c>
    </row>
    <row r="12" spans="1:19" x14ac:dyDescent="0.35">
      <c r="A12" s="7" t="str">
        <f t="shared" si="9"/>
        <v>ESKOM_2035</v>
      </c>
      <c r="B12">
        <f t="shared" si="10"/>
        <v>2034</v>
      </c>
      <c r="C12">
        <v>1</v>
      </c>
      <c r="D12" s="8">
        <f t="shared" ref="D12:D38" si="16">D11</f>
        <v>1</v>
      </c>
      <c r="E12" s="8">
        <f t="shared" ref="E12:E38" si="17">E11</f>
        <v>1</v>
      </c>
      <c r="F12" s="8">
        <v>1</v>
      </c>
      <c r="G12" s="8">
        <f t="shared" si="11"/>
        <v>1</v>
      </c>
      <c r="H12" s="8">
        <f t="shared" si="12"/>
        <v>1</v>
      </c>
      <c r="I12" s="8">
        <f t="shared" si="13"/>
        <v>1</v>
      </c>
      <c r="J12" s="8">
        <v>0</v>
      </c>
      <c r="K12" s="8">
        <f t="shared" si="14"/>
        <v>1</v>
      </c>
      <c r="L12" s="8">
        <v>0</v>
      </c>
      <c r="M12" s="8">
        <v>0</v>
      </c>
      <c r="N12" s="8">
        <v>0</v>
      </c>
      <c r="O12" s="8">
        <v>0</v>
      </c>
      <c r="P12" s="8">
        <f t="shared" si="15"/>
        <v>0.83333333333333326</v>
      </c>
      <c r="Q12" s="8">
        <v>0</v>
      </c>
      <c r="R12" s="8">
        <v>1</v>
      </c>
      <c r="S12" s="9">
        <f t="shared" si="0"/>
        <v>24110</v>
      </c>
    </row>
    <row r="13" spans="1:19" x14ac:dyDescent="0.35">
      <c r="A13" s="7" t="str">
        <f t="shared" si="9"/>
        <v>ESKOM_2035</v>
      </c>
      <c r="B13">
        <f t="shared" si="10"/>
        <v>2035</v>
      </c>
      <c r="C13">
        <v>1</v>
      </c>
      <c r="D13" s="8">
        <f t="shared" si="16"/>
        <v>1</v>
      </c>
      <c r="E13" s="8">
        <f t="shared" si="17"/>
        <v>1</v>
      </c>
      <c r="F13" s="8">
        <v>1</v>
      </c>
      <c r="G13" s="8">
        <f t="shared" si="11"/>
        <v>1</v>
      </c>
      <c r="H13" s="8">
        <f t="shared" si="12"/>
        <v>1</v>
      </c>
      <c r="I13" s="8">
        <f t="shared" si="13"/>
        <v>1</v>
      </c>
      <c r="J13" s="8">
        <v>0</v>
      </c>
      <c r="K13" s="8">
        <f t="shared" si="14"/>
        <v>1</v>
      </c>
      <c r="L13" s="8">
        <v>0</v>
      </c>
      <c r="M13" s="8">
        <v>0</v>
      </c>
      <c r="N13" s="8">
        <v>0</v>
      </c>
      <c r="O13" s="8">
        <v>0</v>
      </c>
      <c r="P13" s="8">
        <v>1</v>
      </c>
      <c r="Q13" s="8">
        <v>0</v>
      </c>
      <c r="R13" s="8">
        <f t="shared" ref="R13:R38" si="18">R12</f>
        <v>1</v>
      </c>
      <c r="S13" s="9">
        <f t="shared" si="0"/>
        <v>23535</v>
      </c>
    </row>
    <row r="14" spans="1:19" x14ac:dyDescent="0.35">
      <c r="A14" s="7" t="str">
        <f t="shared" si="9"/>
        <v>ESKOM_2035</v>
      </c>
      <c r="B14">
        <f t="shared" si="10"/>
        <v>2036</v>
      </c>
      <c r="C14">
        <v>1</v>
      </c>
      <c r="D14" s="8">
        <f t="shared" si="16"/>
        <v>1</v>
      </c>
      <c r="E14" s="8">
        <f t="shared" si="17"/>
        <v>1</v>
      </c>
      <c r="F14" s="8">
        <v>1</v>
      </c>
      <c r="G14" s="8">
        <f t="shared" si="11"/>
        <v>1</v>
      </c>
      <c r="H14" s="8">
        <f t="shared" si="12"/>
        <v>1</v>
      </c>
      <c r="I14" s="8">
        <f t="shared" si="13"/>
        <v>1</v>
      </c>
      <c r="J14" s="8">
        <v>0</v>
      </c>
      <c r="K14" s="8">
        <f t="shared" si="14"/>
        <v>1</v>
      </c>
      <c r="L14" s="8">
        <v>0</v>
      </c>
      <c r="M14" s="8">
        <v>0</v>
      </c>
      <c r="N14" s="8">
        <v>0</v>
      </c>
      <c r="O14" s="8">
        <v>0</v>
      </c>
      <c r="P14" s="8">
        <v>1</v>
      </c>
      <c r="Q14" s="8">
        <v>0</v>
      </c>
      <c r="R14" s="8">
        <f t="shared" si="18"/>
        <v>1</v>
      </c>
      <c r="S14" s="9">
        <f t="shared" si="0"/>
        <v>23535</v>
      </c>
    </row>
    <row r="15" spans="1:19" x14ac:dyDescent="0.35">
      <c r="A15" s="7" t="str">
        <f t="shared" si="9"/>
        <v>ESKOM_2035</v>
      </c>
      <c r="B15">
        <f t="shared" si="10"/>
        <v>2037</v>
      </c>
      <c r="C15">
        <v>1</v>
      </c>
      <c r="D15" s="8">
        <f t="shared" si="16"/>
        <v>1</v>
      </c>
      <c r="E15" s="8">
        <f t="shared" si="17"/>
        <v>1</v>
      </c>
      <c r="F15" s="8">
        <f t="shared" ref="F15:F38" si="19">F14</f>
        <v>1</v>
      </c>
      <c r="G15" s="8">
        <f t="shared" si="11"/>
        <v>1</v>
      </c>
      <c r="H15" s="8">
        <f t="shared" si="12"/>
        <v>1</v>
      </c>
      <c r="I15" s="8">
        <f t="shared" si="13"/>
        <v>1</v>
      </c>
      <c r="J15" s="8">
        <v>0</v>
      </c>
      <c r="K15" s="8">
        <f t="shared" si="14"/>
        <v>1</v>
      </c>
      <c r="L15" s="8">
        <v>0</v>
      </c>
      <c r="M15" s="8">
        <f>2/6</f>
        <v>0.33333333333333331</v>
      </c>
      <c r="N15" s="8">
        <v>0</v>
      </c>
      <c r="O15" s="8">
        <v>0</v>
      </c>
      <c r="P15" s="8">
        <v>1</v>
      </c>
      <c r="Q15" s="8">
        <v>0</v>
      </c>
      <c r="R15" s="8">
        <f t="shared" si="18"/>
        <v>1</v>
      </c>
      <c r="S15" s="9">
        <f t="shared" si="0"/>
        <v>22349</v>
      </c>
    </row>
    <row r="16" spans="1:19" x14ac:dyDescent="0.35">
      <c r="A16" s="7" t="str">
        <f t="shared" si="9"/>
        <v>ESKOM_2035</v>
      </c>
      <c r="B16">
        <f t="shared" si="10"/>
        <v>2038</v>
      </c>
      <c r="C16">
        <v>1</v>
      </c>
      <c r="D16" s="8">
        <f t="shared" si="16"/>
        <v>1</v>
      </c>
      <c r="E16" s="8">
        <f t="shared" si="17"/>
        <v>1</v>
      </c>
      <c r="F16" s="8">
        <f t="shared" si="19"/>
        <v>1</v>
      </c>
      <c r="G16" s="8">
        <f t="shared" si="11"/>
        <v>1</v>
      </c>
      <c r="H16" s="8">
        <f t="shared" si="12"/>
        <v>1</v>
      </c>
      <c r="I16" s="8">
        <f t="shared" si="13"/>
        <v>1</v>
      </c>
      <c r="J16" s="8">
        <v>0</v>
      </c>
      <c r="K16" s="8">
        <f t="shared" si="14"/>
        <v>1</v>
      </c>
      <c r="L16" s="8">
        <v>0</v>
      </c>
      <c r="M16" s="8">
        <f t="shared" ref="M16:M18" si="20">M15+1/6</f>
        <v>0.5</v>
      </c>
      <c r="N16" s="8">
        <v>0</v>
      </c>
      <c r="O16" s="8">
        <v>0</v>
      </c>
      <c r="P16" s="8">
        <f t="shared" ref="P16:P38" si="21">P15</f>
        <v>1</v>
      </c>
      <c r="Q16" s="8">
        <v>0</v>
      </c>
      <c r="R16" s="8">
        <f t="shared" si="18"/>
        <v>1</v>
      </c>
      <c r="S16" s="9">
        <f t="shared" si="0"/>
        <v>21756</v>
      </c>
    </row>
    <row r="17" spans="1:19" x14ac:dyDescent="0.35">
      <c r="A17" s="7" t="str">
        <f t="shared" si="9"/>
        <v>ESKOM_2035</v>
      </c>
      <c r="B17">
        <f t="shared" si="10"/>
        <v>2039</v>
      </c>
      <c r="C17">
        <v>1</v>
      </c>
      <c r="D17" s="8">
        <f t="shared" si="16"/>
        <v>1</v>
      </c>
      <c r="E17" s="8">
        <f t="shared" si="17"/>
        <v>1</v>
      </c>
      <c r="F17" s="8">
        <f t="shared" si="19"/>
        <v>1</v>
      </c>
      <c r="G17" s="8">
        <f t="shared" si="11"/>
        <v>1</v>
      </c>
      <c r="H17" s="8">
        <f t="shared" si="12"/>
        <v>1</v>
      </c>
      <c r="I17" s="8">
        <f t="shared" si="13"/>
        <v>1</v>
      </c>
      <c r="J17" s="8">
        <v>0</v>
      </c>
      <c r="K17" s="8">
        <f t="shared" si="14"/>
        <v>1</v>
      </c>
      <c r="L17" s="8">
        <v>0</v>
      </c>
      <c r="M17" s="8">
        <f t="shared" si="20"/>
        <v>0.66666666666666663</v>
      </c>
      <c r="N17" s="8">
        <v>0</v>
      </c>
      <c r="O17" s="8">
        <f>2/6</f>
        <v>0.33333333333333331</v>
      </c>
      <c r="P17" s="8">
        <f t="shared" si="21"/>
        <v>1</v>
      </c>
      <c r="Q17" s="8">
        <v>0</v>
      </c>
      <c r="R17" s="8">
        <f t="shared" si="18"/>
        <v>1</v>
      </c>
      <c r="S17" s="9">
        <f t="shared" si="0"/>
        <v>19933</v>
      </c>
    </row>
    <row r="18" spans="1:19" x14ac:dyDescent="0.35">
      <c r="A18" s="7" t="str">
        <f t="shared" si="9"/>
        <v>ESKOM_2035</v>
      </c>
      <c r="B18">
        <f t="shared" si="10"/>
        <v>2040</v>
      </c>
      <c r="C18">
        <v>1</v>
      </c>
      <c r="D18" s="8">
        <f t="shared" si="16"/>
        <v>1</v>
      </c>
      <c r="E18" s="8">
        <f t="shared" si="17"/>
        <v>1</v>
      </c>
      <c r="F18" s="8">
        <f t="shared" si="19"/>
        <v>1</v>
      </c>
      <c r="G18" s="8">
        <f t="shared" si="11"/>
        <v>1</v>
      </c>
      <c r="H18" s="8">
        <f t="shared" si="12"/>
        <v>1</v>
      </c>
      <c r="I18" s="8">
        <f t="shared" si="13"/>
        <v>1</v>
      </c>
      <c r="J18" s="8">
        <f>1/6</f>
        <v>0.16666666666666666</v>
      </c>
      <c r="K18" s="8">
        <f t="shared" si="14"/>
        <v>1</v>
      </c>
      <c r="L18" s="8">
        <v>0</v>
      </c>
      <c r="M18" s="8">
        <f t="shared" si="20"/>
        <v>0.83333333333333326</v>
      </c>
      <c r="N18" s="8">
        <v>0</v>
      </c>
      <c r="O18" s="8">
        <f t="shared" ref="O18:O20" si="22">O17+1/6</f>
        <v>0.5</v>
      </c>
      <c r="P18" s="8">
        <f t="shared" si="21"/>
        <v>1</v>
      </c>
      <c r="Q18" s="8">
        <v>0</v>
      </c>
      <c r="R18" s="8">
        <f t="shared" si="18"/>
        <v>1</v>
      </c>
      <c r="S18" s="9">
        <f t="shared" si="0"/>
        <v>18085</v>
      </c>
    </row>
    <row r="19" spans="1:19" x14ac:dyDescent="0.35">
      <c r="A19" s="7" t="str">
        <f t="shared" si="9"/>
        <v>ESKOM_2035</v>
      </c>
      <c r="B19">
        <f t="shared" si="10"/>
        <v>2041</v>
      </c>
      <c r="C19">
        <v>1</v>
      </c>
      <c r="D19" s="8">
        <f t="shared" si="16"/>
        <v>1</v>
      </c>
      <c r="E19" s="8">
        <f t="shared" si="17"/>
        <v>1</v>
      </c>
      <c r="F19" s="8">
        <f t="shared" si="19"/>
        <v>1</v>
      </c>
      <c r="G19" s="8">
        <f t="shared" si="11"/>
        <v>1</v>
      </c>
      <c r="H19" s="8">
        <f t="shared" si="12"/>
        <v>1</v>
      </c>
      <c r="I19" s="8">
        <f t="shared" si="13"/>
        <v>1</v>
      </c>
      <c r="J19" s="8">
        <f>J18+1/6</f>
        <v>0.33333333333333331</v>
      </c>
      <c r="K19" s="8">
        <f t="shared" si="14"/>
        <v>1</v>
      </c>
      <c r="L19" s="8">
        <v>0</v>
      </c>
      <c r="M19" s="8">
        <f>M18</f>
        <v>0.83333333333333326</v>
      </c>
      <c r="N19" s="8">
        <v>0</v>
      </c>
      <c r="O19" s="8">
        <f t="shared" si="22"/>
        <v>0.66666666666666663</v>
      </c>
      <c r="P19" s="8">
        <f t="shared" si="21"/>
        <v>1</v>
      </c>
      <c r="Q19" s="8">
        <v>0</v>
      </c>
      <c r="R19" s="8">
        <f t="shared" si="18"/>
        <v>1</v>
      </c>
      <c r="S19" s="9">
        <f t="shared" si="0"/>
        <v>16830</v>
      </c>
    </row>
    <row r="20" spans="1:19" x14ac:dyDescent="0.35">
      <c r="A20" s="7" t="str">
        <f t="shared" si="9"/>
        <v>ESKOM_2035</v>
      </c>
      <c r="B20">
        <f t="shared" si="10"/>
        <v>2042</v>
      </c>
      <c r="C20">
        <v>1</v>
      </c>
      <c r="D20" s="8">
        <f t="shared" si="16"/>
        <v>1</v>
      </c>
      <c r="E20" s="8">
        <f t="shared" si="17"/>
        <v>1</v>
      </c>
      <c r="F20" s="8">
        <f t="shared" si="19"/>
        <v>1</v>
      </c>
      <c r="G20" s="8">
        <f t="shared" si="11"/>
        <v>1</v>
      </c>
      <c r="H20" s="8">
        <f t="shared" si="12"/>
        <v>1</v>
      </c>
      <c r="I20" s="8">
        <f t="shared" si="13"/>
        <v>1</v>
      </c>
      <c r="J20" s="8">
        <f>J19</f>
        <v>0.33333333333333331</v>
      </c>
      <c r="K20" s="8">
        <f t="shared" si="14"/>
        <v>1</v>
      </c>
      <c r="L20" s="8">
        <v>0</v>
      </c>
      <c r="M20" s="8">
        <v>1</v>
      </c>
      <c r="N20" s="8">
        <v>0</v>
      </c>
      <c r="O20" s="8">
        <f t="shared" si="22"/>
        <v>0.83333333333333326</v>
      </c>
      <c r="P20" s="8">
        <f t="shared" si="21"/>
        <v>1</v>
      </c>
      <c r="Q20" s="8">
        <v>0</v>
      </c>
      <c r="R20" s="8">
        <f t="shared" si="18"/>
        <v>1</v>
      </c>
      <c r="S20" s="9">
        <f t="shared" si="0"/>
        <v>15622</v>
      </c>
    </row>
    <row r="21" spans="1:19" x14ac:dyDescent="0.35">
      <c r="A21" s="7" t="str">
        <f t="shared" si="9"/>
        <v>ESKOM_2035</v>
      </c>
      <c r="B21">
        <f t="shared" si="10"/>
        <v>2043</v>
      </c>
      <c r="C21">
        <v>1</v>
      </c>
      <c r="D21" s="8">
        <f t="shared" si="16"/>
        <v>1</v>
      </c>
      <c r="E21" s="8">
        <f t="shared" si="17"/>
        <v>1</v>
      </c>
      <c r="F21" s="8">
        <f t="shared" si="19"/>
        <v>1</v>
      </c>
      <c r="G21" s="8">
        <f t="shared" si="11"/>
        <v>1</v>
      </c>
      <c r="H21" s="8">
        <f t="shared" si="12"/>
        <v>1</v>
      </c>
      <c r="I21" s="8">
        <f t="shared" si="13"/>
        <v>1</v>
      </c>
      <c r="J21" s="8">
        <f>J20+2/6</f>
        <v>0.66666666666666663</v>
      </c>
      <c r="K21" s="8">
        <f t="shared" si="14"/>
        <v>1</v>
      </c>
      <c r="L21" s="8">
        <v>0</v>
      </c>
      <c r="M21" s="8">
        <f t="shared" ref="M21:M38" si="23">M20</f>
        <v>1</v>
      </c>
      <c r="N21" s="8">
        <v>0</v>
      </c>
      <c r="O21" s="8">
        <v>1</v>
      </c>
      <c r="P21" s="8">
        <f t="shared" si="21"/>
        <v>1</v>
      </c>
      <c r="Q21" s="8">
        <v>0</v>
      </c>
      <c r="R21" s="8">
        <f t="shared" si="18"/>
        <v>1</v>
      </c>
      <c r="S21" s="9">
        <f t="shared" si="0"/>
        <v>13727</v>
      </c>
    </row>
    <row r="22" spans="1:19" x14ac:dyDescent="0.35">
      <c r="A22" s="7" t="str">
        <f t="shared" si="9"/>
        <v>ESKOM_2035</v>
      </c>
      <c r="B22">
        <f t="shared" si="10"/>
        <v>2044</v>
      </c>
      <c r="C22">
        <v>1</v>
      </c>
      <c r="D22" s="8">
        <f t="shared" si="16"/>
        <v>1</v>
      </c>
      <c r="E22" s="8">
        <f t="shared" si="17"/>
        <v>1</v>
      </c>
      <c r="F22" s="8">
        <f t="shared" si="19"/>
        <v>1</v>
      </c>
      <c r="G22" s="8">
        <f t="shared" si="11"/>
        <v>1</v>
      </c>
      <c r="H22" s="8">
        <f t="shared" si="12"/>
        <v>1</v>
      </c>
      <c r="I22" s="8">
        <f t="shared" si="13"/>
        <v>1</v>
      </c>
      <c r="J22" s="8">
        <f>J21+1/6</f>
        <v>0.83333333333333326</v>
      </c>
      <c r="K22" s="8">
        <f t="shared" si="14"/>
        <v>1</v>
      </c>
      <c r="L22" s="8">
        <v>0</v>
      </c>
      <c r="M22" s="8">
        <f t="shared" si="23"/>
        <v>1</v>
      </c>
      <c r="N22" s="8">
        <v>0</v>
      </c>
      <c r="O22" s="8">
        <v>1</v>
      </c>
      <c r="P22" s="8">
        <f t="shared" si="21"/>
        <v>1</v>
      </c>
      <c r="Q22" s="8">
        <v>0</v>
      </c>
      <c r="R22" s="8">
        <f t="shared" si="18"/>
        <v>1</v>
      </c>
      <c r="S22" s="9">
        <f t="shared" si="0"/>
        <v>13087</v>
      </c>
    </row>
    <row r="23" spans="1:19" x14ac:dyDescent="0.35">
      <c r="A23" s="7" t="str">
        <f t="shared" si="9"/>
        <v>ESKOM_2035</v>
      </c>
      <c r="B23">
        <f t="shared" si="10"/>
        <v>2045</v>
      </c>
      <c r="C23">
        <v>1</v>
      </c>
      <c r="D23" s="8">
        <f t="shared" si="16"/>
        <v>1</v>
      </c>
      <c r="E23" s="8">
        <f t="shared" si="17"/>
        <v>1</v>
      </c>
      <c r="F23" s="8">
        <f t="shared" si="19"/>
        <v>1</v>
      </c>
      <c r="G23" s="8">
        <f t="shared" si="11"/>
        <v>1</v>
      </c>
      <c r="H23" s="8">
        <f t="shared" si="12"/>
        <v>1</v>
      </c>
      <c r="I23" s="8">
        <f t="shared" si="13"/>
        <v>1</v>
      </c>
      <c r="J23" s="8">
        <v>1</v>
      </c>
      <c r="K23" s="8">
        <f t="shared" si="14"/>
        <v>1</v>
      </c>
      <c r="L23" s="8">
        <v>0</v>
      </c>
      <c r="M23" s="8">
        <f t="shared" si="23"/>
        <v>1</v>
      </c>
      <c r="N23" s="8">
        <v>0</v>
      </c>
      <c r="O23" s="8">
        <v>1</v>
      </c>
      <c r="P23" s="8">
        <f t="shared" si="21"/>
        <v>1</v>
      </c>
      <c r="Q23" s="8">
        <v>0</v>
      </c>
      <c r="R23" s="8">
        <f t="shared" si="18"/>
        <v>1</v>
      </c>
      <c r="S23" s="9">
        <f t="shared" si="0"/>
        <v>12447</v>
      </c>
    </row>
    <row r="24" spans="1:19" x14ac:dyDescent="0.35">
      <c r="A24" s="7" t="str">
        <f t="shared" si="9"/>
        <v>ESKOM_2035</v>
      </c>
      <c r="B24">
        <f t="shared" si="10"/>
        <v>2046</v>
      </c>
      <c r="C24">
        <v>1</v>
      </c>
      <c r="D24" s="8">
        <f t="shared" si="16"/>
        <v>1</v>
      </c>
      <c r="E24" s="8">
        <f t="shared" si="17"/>
        <v>1</v>
      </c>
      <c r="F24" s="8">
        <f t="shared" si="19"/>
        <v>1</v>
      </c>
      <c r="G24" s="8">
        <f t="shared" si="11"/>
        <v>1</v>
      </c>
      <c r="H24" s="8">
        <f t="shared" si="12"/>
        <v>1</v>
      </c>
      <c r="I24" s="8">
        <f t="shared" si="13"/>
        <v>1</v>
      </c>
      <c r="J24" s="8">
        <f t="shared" ref="J24:J38" si="24">J23</f>
        <v>1</v>
      </c>
      <c r="K24" s="8">
        <f t="shared" si="14"/>
        <v>1</v>
      </c>
      <c r="L24" s="8">
        <v>0</v>
      </c>
      <c r="M24" s="8">
        <f t="shared" si="23"/>
        <v>1</v>
      </c>
      <c r="N24" s="8">
        <f>1/6</f>
        <v>0.16666666666666666</v>
      </c>
      <c r="O24" s="8">
        <f t="shared" ref="O24:O38" si="25">O23</f>
        <v>1</v>
      </c>
      <c r="P24" s="8">
        <f t="shared" si="21"/>
        <v>1</v>
      </c>
      <c r="Q24" s="8">
        <v>0</v>
      </c>
      <c r="R24" s="8">
        <f t="shared" si="18"/>
        <v>1</v>
      </c>
      <c r="S24" s="9">
        <f t="shared" si="0"/>
        <v>11812.5</v>
      </c>
    </row>
    <row r="25" spans="1:19" x14ac:dyDescent="0.35">
      <c r="A25" s="7" t="str">
        <f t="shared" si="9"/>
        <v>ESKOM_2035</v>
      </c>
      <c r="B25">
        <f t="shared" si="10"/>
        <v>2047</v>
      </c>
      <c r="C25">
        <v>1</v>
      </c>
      <c r="D25" s="8">
        <f t="shared" si="16"/>
        <v>1</v>
      </c>
      <c r="E25" s="8">
        <f t="shared" si="17"/>
        <v>1</v>
      </c>
      <c r="F25" s="8">
        <f t="shared" si="19"/>
        <v>1</v>
      </c>
      <c r="G25" s="8">
        <f t="shared" si="11"/>
        <v>1</v>
      </c>
      <c r="H25" s="8">
        <f t="shared" si="12"/>
        <v>1</v>
      </c>
      <c r="I25" s="8">
        <f t="shared" si="13"/>
        <v>1</v>
      </c>
      <c r="J25" s="8">
        <f t="shared" si="24"/>
        <v>1</v>
      </c>
      <c r="K25" s="8">
        <f t="shared" si="14"/>
        <v>1</v>
      </c>
      <c r="L25" s="8">
        <v>0</v>
      </c>
      <c r="M25" s="8">
        <f t="shared" si="23"/>
        <v>1</v>
      </c>
      <c r="N25" s="8">
        <f t="shared" ref="N25:N28" si="26">N24+1/6</f>
        <v>0.33333333333333331</v>
      </c>
      <c r="O25" s="8">
        <f t="shared" si="25"/>
        <v>1</v>
      </c>
      <c r="P25" s="8">
        <f t="shared" si="21"/>
        <v>1</v>
      </c>
      <c r="Q25" s="8">
        <v>0</v>
      </c>
      <c r="R25" s="8">
        <f t="shared" si="18"/>
        <v>1</v>
      </c>
      <c r="S25" s="9">
        <f t="shared" si="0"/>
        <v>11178</v>
      </c>
    </row>
    <row r="26" spans="1:19" x14ac:dyDescent="0.35">
      <c r="A26" s="7" t="str">
        <f t="shared" si="9"/>
        <v>ESKOM_2035</v>
      </c>
      <c r="B26">
        <f t="shared" si="10"/>
        <v>2048</v>
      </c>
      <c r="C26">
        <v>1</v>
      </c>
      <c r="D26" s="8">
        <f t="shared" si="16"/>
        <v>1</v>
      </c>
      <c r="E26" s="8">
        <f t="shared" si="17"/>
        <v>1</v>
      </c>
      <c r="F26" s="8">
        <f t="shared" si="19"/>
        <v>1</v>
      </c>
      <c r="G26" s="8">
        <f t="shared" si="11"/>
        <v>1</v>
      </c>
      <c r="H26" s="8">
        <f t="shared" si="12"/>
        <v>1</v>
      </c>
      <c r="I26" s="8">
        <f t="shared" si="13"/>
        <v>1</v>
      </c>
      <c r="J26" s="8">
        <f t="shared" si="24"/>
        <v>1</v>
      </c>
      <c r="K26" s="8">
        <f t="shared" si="14"/>
        <v>1</v>
      </c>
      <c r="L26" s="8">
        <v>0</v>
      </c>
      <c r="M26" s="8">
        <f t="shared" si="23"/>
        <v>1</v>
      </c>
      <c r="N26" s="8">
        <f t="shared" si="26"/>
        <v>0.5</v>
      </c>
      <c r="O26" s="8">
        <f t="shared" si="25"/>
        <v>1</v>
      </c>
      <c r="P26" s="8">
        <f t="shared" si="21"/>
        <v>1</v>
      </c>
      <c r="Q26" s="8">
        <v>0</v>
      </c>
      <c r="R26" s="8">
        <f t="shared" si="18"/>
        <v>1</v>
      </c>
      <c r="S26" s="9">
        <f t="shared" si="0"/>
        <v>10543.5</v>
      </c>
    </row>
    <row r="27" spans="1:19" x14ac:dyDescent="0.35">
      <c r="A27" s="7" t="str">
        <f t="shared" si="9"/>
        <v>ESKOM_2035</v>
      </c>
      <c r="B27">
        <f t="shared" si="10"/>
        <v>2049</v>
      </c>
      <c r="C27">
        <v>1</v>
      </c>
      <c r="D27" s="8">
        <f t="shared" si="16"/>
        <v>1</v>
      </c>
      <c r="E27" s="8">
        <f t="shared" si="17"/>
        <v>1</v>
      </c>
      <c r="F27" s="8">
        <f t="shared" si="19"/>
        <v>1</v>
      </c>
      <c r="G27" s="8">
        <f t="shared" si="11"/>
        <v>1</v>
      </c>
      <c r="H27" s="8">
        <f t="shared" si="12"/>
        <v>1</v>
      </c>
      <c r="I27" s="8">
        <f t="shared" si="13"/>
        <v>1</v>
      </c>
      <c r="J27" s="8">
        <f t="shared" si="24"/>
        <v>1</v>
      </c>
      <c r="K27" s="8">
        <f t="shared" si="14"/>
        <v>1</v>
      </c>
      <c r="L27" s="8">
        <v>0</v>
      </c>
      <c r="M27" s="8">
        <f t="shared" si="23"/>
        <v>1</v>
      </c>
      <c r="N27" s="8">
        <f t="shared" si="26"/>
        <v>0.66666666666666663</v>
      </c>
      <c r="O27" s="8">
        <f t="shared" si="25"/>
        <v>1</v>
      </c>
      <c r="P27" s="8">
        <f t="shared" si="21"/>
        <v>1</v>
      </c>
      <c r="Q27" s="8">
        <f>Q26</f>
        <v>0</v>
      </c>
      <c r="R27" s="8">
        <f t="shared" si="18"/>
        <v>1</v>
      </c>
      <c r="S27" s="9">
        <f t="shared" si="0"/>
        <v>9909</v>
      </c>
    </row>
    <row r="28" spans="1:19" x14ac:dyDescent="0.35">
      <c r="A28" s="7" t="str">
        <f t="shared" si="9"/>
        <v>ESKOM_2035</v>
      </c>
      <c r="B28">
        <f t="shared" si="10"/>
        <v>2050</v>
      </c>
      <c r="C28">
        <v>1</v>
      </c>
      <c r="D28" s="8">
        <f t="shared" si="16"/>
        <v>1</v>
      </c>
      <c r="E28" s="8">
        <f t="shared" si="17"/>
        <v>1</v>
      </c>
      <c r="F28" s="8">
        <f t="shared" si="19"/>
        <v>1</v>
      </c>
      <c r="G28" s="8">
        <f t="shared" si="11"/>
        <v>1</v>
      </c>
      <c r="H28" s="8">
        <f t="shared" si="12"/>
        <v>1</v>
      </c>
      <c r="I28" s="8">
        <f t="shared" si="13"/>
        <v>1</v>
      </c>
      <c r="J28" s="8">
        <f t="shared" si="24"/>
        <v>1</v>
      </c>
      <c r="K28" s="8">
        <f t="shared" si="14"/>
        <v>1</v>
      </c>
      <c r="L28" s="8">
        <v>0</v>
      </c>
      <c r="M28" s="8">
        <f t="shared" si="23"/>
        <v>1</v>
      </c>
      <c r="N28" s="8">
        <f t="shared" si="26"/>
        <v>0.83333333333333326</v>
      </c>
      <c r="O28" s="8">
        <f t="shared" si="25"/>
        <v>1</v>
      </c>
      <c r="P28" s="8">
        <f t="shared" si="21"/>
        <v>1</v>
      </c>
      <c r="Q28" s="8">
        <v>0</v>
      </c>
      <c r="R28" s="8">
        <f t="shared" si="18"/>
        <v>1</v>
      </c>
      <c r="S28" s="9">
        <f t="shared" si="0"/>
        <v>9274.5</v>
      </c>
    </row>
    <row r="29" spans="1:19" x14ac:dyDescent="0.35">
      <c r="A29" s="7" t="str">
        <f t="shared" si="9"/>
        <v>ESKOM_2035</v>
      </c>
      <c r="B29">
        <f t="shared" si="10"/>
        <v>2051</v>
      </c>
      <c r="C29">
        <v>1</v>
      </c>
      <c r="D29" s="8">
        <f t="shared" si="16"/>
        <v>1</v>
      </c>
      <c r="E29" s="8">
        <f t="shared" si="17"/>
        <v>1</v>
      </c>
      <c r="F29" s="8">
        <f t="shared" si="19"/>
        <v>1</v>
      </c>
      <c r="G29" s="8">
        <f t="shared" si="11"/>
        <v>1</v>
      </c>
      <c r="H29" s="8">
        <f t="shared" si="12"/>
        <v>1</v>
      </c>
      <c r="I29" s="8">
        <f t="shared" si="13"/>
        <v>1</v>
      </c>
      <c r="J29" s="8">
        <f t="shared" si="24"/>
        <v>1</v>
      </c>
      <c r="K29" s="8">
        <f t="shared" si="14"/>
        <v>1</v>
      </c>
      <c r="L29" s="8">
        <f t="shared" ref="L29:L74" si="27">L28</f>
        <v>0</v>
      </c>
      <c r="M29" s="8">
        <f t="shared" si="23"/>
        <v>1</v>
      </c>
      <c r="N29" s="8">
        <v>1</v>
      </c>
      <c r="O29" s="8">
        <f t="shared" si="25"/>
        <v>1</v>
      </c>
      <c r="P29" s="8">
        <f t="shared" si="21"/>
        <v>1</v>
      </c>
      <c r="Q29" s="8">
        <f t="shared" ref="Q29:Q74" si="28">Q28</f>
        <v>0</v>
      </c>
      <c r="R29" s="8">
        <f t="shared" si="18"/>
        <v>1</v>
      </c>
      <c r="S29" s="9">
        <f t="shared" si="0"/>
        <v>8640</v>
      </c>
    </row>
    <row r="30" spans="1:19" x14ac:dyDescent="0.35">
      <c r="A30" s="7" t="str">
        <f t="shared" si="9"/>
        <v>ESKOM_2035</v>
      </c>
      <c r="B30">
        <f t="shared" si="10"/>
        <v>2052</v>
      </c>
      <c r="C30">
        <v>1</v>
      </c>
      <c r="D30" s="8">
        <f t="shared" si="16"/>
        <v>1</v>
      </c>
      <c r="E30" s="8">
        <f t="shared" si="17"/>
        <v>1</v>
      </c>
      <c r="F30" s="8">
        <f t="shared" si="19"/>
        <v>1</v>
      </c>
      <c r="G30" s="8">
        <f t="shared" si="11"/>
        <v>1</v>
      </c>
      <c r="H30" s="8">
        <f t="shared" si="12"/>
        <v>1</v>
      </c>
      <c r="I30" s="8">
        <f t="shared" si="13"/>
        <v>1</v>
      </c>
      <c r="J30" s="8">
        <f t="shared" si="24"/>
        <v>1</v>
      </c>
      <c r="K30" s="8">
        <f t="shared" si="14"/>
        <v>1</v>
      </c>
      <c r="L30" s="8">
        <f t="shared" si="27"/>
        <v>0</v>
      </c>
      <c r="M30" s="8">
        <f t="shared" si="23"/>
        <v>1</v>
      </c>
      <c r="N30" s="8">
        <f t="shared" ref="N30:N38" si="29">N29</f>
        <v>1</v>
      </c>
      <c r="O30" s="8">
        <f t="shared" si="25"/>
        <v>1</v>
      </c>
      <c r="P30" s="8">
        <f t="shared" si="21"/>
        <v>1</v>
      </c>
      <c r="Q30" s="8">
        <f t="shared" si="28"/>
        <v>0</v>
      </c>
      <c r="R30" s="8">
        <f t="shared" si="18"/>
        <v>1</v>
      </c>
      <c r="S30" s="9">
        <f t="shared" si="0"/>
        <v>8640</v>
      </c>
    </row>
    <row r="31" spans="1:19" x14ac:dyDescent="0.35">
      <c r="A31" s="7" t="str">
        <f t="shared" si="9"/>
        <v>ESKOM_2035</v>
      </c>
      <c r="B31">
        <f t="shared" si="10"/>
        <v>2053</v>
      </c>
      <c r="C31">
        <v>1</v>
      </c>
      <c r="D31" s="8">
        <f t="shared" si="16"/>
        <v>1</v>
      </c>
      <c r="E31" s="8">
        <f t="shared" si="17"/>
        <v>1</v>
      </c>
      <c r="F31" s="8">
        <f t="shared" si="19"/>
        <v>1</v>
      </c>
      <c r="G31" s="8">
        <f t="shared" si="11"/>
        <v>1</v>
      </c>
      <c r="H31" s="8">
        <f t="shared" si="12"/>
        <v>1</v>
      </c>
      <c r="I31" s="8">
        <f t="shared" si="13"/>
        <v>1</v>
      </c>
      <c r="J31" s="8">
        <f t="shared" si="24"/>
        <v>1</v>
      </c>
      <c r="K31" s="8">
        <f t="shared" si="14"/>
        <v>1</v>
      </c>
      <c r="L31" s="8">
        <f t="shared" si="27"/>
        <v>0</v>
      </c>
      <c r="M31" s="8">
        <f t="shared" si="23"/>
        <v>1</v>
      </c>
      <c r="N31" s="8">
        <f t="shared" si="29"/>
        <v>1</v>
      </c>
      <c r="O31" s="8">
        <f t="shared" si="25"/>
        <v>1</v>
      </c>
      <c r="P31" s="8">
        <f t="shared" si="21"/>
        <v>1</v>
      </c>
      <c r="Q31" s="8">
        <f t="shared" si="28"/>
        <v>0</v>
      </c>
      <c r="R31" s="8">
        <f t="shared" si="18"/>
        <v>1</v>
      </c>
      <c r="S31" s="9">
        <f t="shared" si="0"/>
        <v>8640</v>
      </c>
    </row>
    <row r="32" spans="1:19" x14ac:dyDescent="0.35">
      <c r="A32" s="7" t="str">
        <f t="shared" si="9"/>
        <v>ESKOM_2035</v>
      </c>
      <c r="B32">
        <f t="shared" si="10"/>
        <v>2054</v>
      </c>
      <c r="C32">
        <v>1</v>
      </c>
      <c r="D32" s="8">
        <f t="shared" si="16"/>
        <v>1</v>
      </c>
      <c r="E32" s="8">
        <f t="shared" si="17"/>
        <v>1</v>
      </c>
      <c r="F32" s="8">
        <f t="shared" si="19"/>
        <v>1</v>
      </c>
      <c r="G32" s="8">
        <f t="shared" si="11"/>
        <v>1</v>
      </c>
      <c r="H32" s="8">
        <f t="shared" si="12"/>
        <v>1</v>
      </c>
      <c r="I32" s="8">
        <f t="shared" si="13"/>
        <v>1</v>
      </c>
      <c r="J32" s="8">
        <f t="shared" si="24"/>
        <v>1</v>
      </c>
      <c r="K32" s="8">
        <f t="shared" si="14"/>
        <v>1</v>
      </c>
      <c r="L32" s="8">
        <f t="shared" si="27"/>
        <v>0</v>
      </c>
      <c r="M32" s="8">
        <f t="shared" si="23"/>
        <v>1</v>
      </c>
      <c r="N32" s="8">
        <f t="shared" si="29"/>
        <v>1</v>
      </c>
      <c r="O32" s="8">
        <f t="shared" si="25"/>
        <v>1</v>
      </c>
      <c r="P32" s="8">
        <f t="shared" si="21"/>
        <v>1</v>
      </c>
      <c r="Q32" s="8">
        <f t="shared" si="28"/>
        <v>0</v>
      </c>
      <c r="R32" s="8">
        <f t="shared" si="18"/>
        <v>1</v>
      </c>
      <c r="S32" s="9">
        <f t="shared" si="0"/>
        <v>8640</v>
      </c>
    </row>
    <row r="33" spans="1:19" x14ac:dyDescent="0.35">
      <c r="A33" s="7" t="str">
        <f t="shared" si="9"/>
        <v>ESKOM_2035</v>
      </c>
      <c r="B33">
        <f t="shared" si="10"/>
        <v>2055</v>
      </c>
      <c r="C33">
        <v>1</v>
      </c>
      <c r="D33" s="8">
        <f t="shared" si="16"/>
        <v>1</v>
      </c>
      <c r="E33" s="8">
        <f t="shared" si="17"/>
        <v>1</v>
      </c>
      <c r="F33" s="8">
        <f t="shared" si="19"/>
        <v>1</v>
      </c>
      <c r="G33" s="8">
        <f t="shared" si="11"/>
        <v>1</v>
      </c>
      <c r="H33" s="8">
        <f t="shared" si="12"/>
        <v>1</v>
      </c>
      <c r="I33" s="8">
        <f t="shared" si="13"/>
        <v>1</v>
      </c>
      <c r="J33" s="8">
        <f t="shared" si="24"/>
        <v>1</v>
      </c>
      <c r="K33" s="8">
        <f t="shared" si="14"/>
        <v>1</v>
      </c>
      <c r="L33" s="8">
        <f t="shared" si="27"/>
        <v>0</v>
      </c>
      <c r="M33" s="8">
        <f t="shared" si="23"/>
        <v>1</v>
      </c>
      <c r="N33" s="8">
        <f t="shared" si="29"/>
        <v>1</v>
      </c>
      <c r="O33" s="8">
        <f t="shared" si="25"/>
        <v>1</v>
      </c>
      <c r="P33" s="8">
        <f t="shared" si="21"/>
        <v>1</v>
      </c>
      <c r="Q33" s="8">
        <f t="shared" si="28"/>
        <v>0</v>
      </c>
      <c r="R33" s="8">
        <f t="shared" si="18"/>
        <v>1</v>
      </c>
      <c r="S33" s="9">
        <f t="shared" si="0"/>
        <v>8640</v>
      </c>
    </row>
    <row r="34" spans="1:19" x14ac:dyDescent="0.35">
      <c r="A34" s="7" t="str">
        <f t="shared" si="9"/>
        <v>ESKOM_2035</v>
      </c>
      <c r="B34">
        <f t="shared" si="10"/>
        <v>2056</v>
      </c>
      <c r="C34">
        <v>1</v>
      </c>
      <c r="D34" s="8">
        <f t="shared" si="16"/>
        <v>1</v>
      </c>
      <c r="E34" s="8">
        <f t="shared" si="17"/>
        <v>1</v>
      </c>
      <c r="F34" s="8">
        <f t="shared" si="19"/>
        <v>1</v>
      </c>
      <c r="G34" s="8">
        <f t="shared" si="11"/>
        <v>1</v>
      </c>
      <c r="H34" s="8">
        <f t="shared" si="12"/>
        <v>1</v>
      </c>
      <c r="I34" s="8">
        <f t="shared" si="13"/>
        <v>1</v>
      </c>
      <c r="J34" s="8">
        <f t="shared" si="24"/>
        <v>1</v>
      </c>
      <c r="K34" s="8">
        <f t="shared" si="14"/>
        <v>1</v>
      </c>
      <c r="L34" s="8">
        <f t="shared" si="27"/>
        <v>0</v>
      </c>
      <c r="M34" s="8">
        <f t="shared" si="23"/>
        <v>1</v>
      </c>
      <c r="N34" s="8">
        <f t="shared" si="29"/>
        <v>1</v>
      </c>
      <c r="O34" s="8">
        <f t="shared" si="25"/>
        <v>1</v>
      </c>
      <c r="P34" s="8">
        <f t="shared" si="21"/>
        <v>1</v>
      </c>
      <c r="Q34" s="8">
        <f t="shared" si="28"/>
        <v>0</v>
      </c>
      <c r="R34" s="8">
        <f t="shared" si="18"/>
        <v>1</v>
      </c>
      <c r="S34" s="9">
        <f t="shared" si="0"/>
        <v>8640</v>
      </c>
    </row>
    <row r="35" spans="1:19" x14ac:dyDescent="0.35">
      <c r="A35" s="7" t="str">
        <f t="shared" si="9"/>
        <v>ESKOM_2035</v>
      </c>
      <c r="B35">
        <f t="shared" si="10"/>
        <v>2057</v>
      </c>
      <c r="C35">
        <v>1</v>
      </c>
      <c r="D35" s="8">
        <f t="shared" si="16"/>
        <v>1</v>
      </c>
      <c r="E35" s="8">
        <f t="shared" si="17"/>
        <v>1</v>
      </c>
      <c r="F35" s="8">
        <f t="shared" si="19"/>
        <v>1</v>
      </c>
      <c r="G35" s="8">
        <f t="shared" si="11"/>
        <v>1</v>
      </c>
      <c r="H35" s="8">
        <f t="shared" si="12"/>
        <v>1</v>
      </c>
      <c r="I35" s="8">
        <f t="shared" si="13"/>
        <v>1</v>
      </c>
      <c r="J35" s="8">
        <f t="shared" si="24"/>
        <v>1</v>
      </c>
      <c r="K35" s="8">
        <f t="shared" si="14"/>
        <v>1</v>
      </c>
      <c r="L35" s="8">
        <f t="shared" si="27"/>
        <v>0</v>
      </c>
      <c r="M35" s="8">
        <f t="shared" si="23"/>
        <v>1</v>
      </c>
      <c r="N35" s="8">
        <f t="shared" si="29"/>
        <v>1</v>
      </c>
      <c r="O35" s="8">
        <f t="shared" si="25"/>
        <v>1</v>
      </c>
      <c r="P35" s="8">
        <f t="shared" si="21"/>
        <v>1</v>
      </c>
      <c r="Q35" s="8">
        <f t="shared" si="28"/>
        <v>0</v>
      </c>
      <c r="R35" s="8">
        <f t="shared" si="18"/>
        <v>1</v>
      </c>
      <c r="S35" s="9">
        <f t="shared" ref="S35:S66" si="30">SUMPRODUCT((1-D35:R35),$D$2:$R$2)</f>
        <v>8640</v>
      </c>
    </row>
    <row r="36" spans="1:19" x14ac:dyDescent="0.35">
      <c r="A36" s="7" t="str">
        <f t="shared" si="9"/>
        <v>ESKOM_2035</v>
      </c>
      <c r="B36">
        <f t="shared" si="10"/>
        <v>2058</v>
      </c>
      <c r="C36">
        <v>1</v>
      </c>
      <c r="D36" s="8">
        <f t="shared" si="16"/>
        <v>1</v>
      </c>
      <c r="E36" s="8">
        <f t="shared" si="17"/>
        <v>1</v>
      </c>
      <c r="F36" s="8">
        <f t="shared" si="19"/>
        <v>1</v>
      </c>
      <c r="G36" s="8">
        <f t="shared" si="11"/>
        <v>1</v>
      </c>
      <c r="H36" s="8">
        <f t="shared" si="12"/>
        <v>1</v>
      </c>
      <c r="I36" s="8">
        <f t="shared" si="13"/>
        <v>1</v>
      </c>
      <c r="J36" s="8">
        <f t="shared" si="24"/>
        <v>1</v>
      </c>
      <c r="K36" s="8">
        <f t="shared" si="14"/>
        <v>1</v>
      </c>
      <c r="L36" s="8">
        <f t="shared" si="27"/>
        <v>0</v>
      </c>
      <c r="M36" s="8">
        <f t="shared" si="23"/>
        <v>1</v>
      </c>
      <c r="N36" s="8">
        <f t="shared" si="29"/>
        <v>1</v>
      </c>
      <c r="O36" s="8">
        <f t="shared" si="25"/>
        <v>1</v>
      </c>
      <c r="P36" s="8">
        <f t="shared" si="21"/>
        <v>1</v>
      </c>
      <c r="Q36" s="8">
        <f t="shared" si="28"/>
        <v>0</v>
      </c>
      <c r="R36" s="8">
        <f t="shared" si="18"/>
        <v>1</v>
      </c>
      <c r="S36" s="9">
        <f t="shared" si="30"/>
        <v>8640</v>
      </c>
    </row>
    <row r="37" spans="1:19" x14ac:dyDescent="0.35">
      <c r="A37" s="7" t="str">
        <f t="shared" si="9"/>
        <v>ESKOM_2035</v>
      </c>
      <c r="B37">
        <f t="shared" si="10"/>
        <v>2059</v>
      </c>
      <c r="C37">
        <v>1</v>
      </c>
      <c r="D37" s="8">
        <f t="shared" si="16"/>
        <v>1</v>
      </c>
      <c r="E37" s="8">
        <f t="shared" si="17"/>
        <v>1</v>
      </c>
      <c r="F37" s="8">
        <f t="shared" si="19"/>
        <v>1</v>
      </c>
      <c r="G37" s="8">
        <f t="shared" si="11"/>
        <v>1</v>
      </c>
      <c r="H37" s="8">
        <f t="shared" si="12"/>
        <v>1</v>
      </c>
      <c r="I37" s="8">
        <f t="shared" si="13"/>
        <v>1</v>
      </c>
      <c r="J37" s="8">
        <f t="shared" si="24"/>
        <v>1</v>
      </c>
      <c r="K37" s="8">
        <f t="shared" si="14"/>
        <v>1</v>
      </c>
      <c r="L37" s="8">
        <f t="shared" si="27"/>
        <v>0</v>
      </c>
      <c r="M37" s="8">
        <f t="shared" si="23"/>
        <v>1</v>
      </c>
      <c r="N37" s="8">
        <f t="shared" si="29"/>
        <v>1</v>
      </c>
      <c r="O37" s="8">
        <f t="shared" si="25"/>
        <v>1</v>
      </c>
      <c r="P37" s="8">
        <f t="shared" si="21"/>
        <v>1</v>
      </c>
      <c r="Q37" s="8">
        <f t="shared" si="28"/>
        <v>0</v>
      </c>
      <c r="R37" s="8">
        <f t="shared" si="18"/>
        <v>1</v>
      </c>
      <c r="S37" s="9">
        <f t="shared" si="30"/>
        <v>8640</v>
      </c>
    </row>
    <row r="38" spans="1:19" x14ac:dyDescent="0.35">
      <c r="A38" s="7" t="str">
        <f t="shared" si="9"/>
        <v>ESKOM_2035</v>
      </c>
      <c r="B38">
        <f t="shared" si="10"/>
        <v>2060</v>
      </c>
      <c r="C38">
        <v>1</v>
      </c>
      <c r="D38" s="8">
        <f t="shared" si="16"/>
        <v>1</v>
      </c>
      <c r="E38" s="8">
        <f t="shared" si="17"/>
        <v>1</v>
      </c>
      <c r="F38" s="8">
        <f t="shared" si="19"/>
        <v>1</v>
      </c>
      <c r="G38" s="8">
        <f t="shared" si="11"/>
        <v>1</v>
      </c>
      <c r="H38" s="8">
        <f t="shared" si="12"/>
        <v>1</v>
      </c>
      <c r="I38" s="8">
        <f t="shared" si="13"/>
        <v>1</v>
      </c>
      <c r="J38" s="8">
        <f t="shared" si="24"/>
        <v>1</v>
      </c>
      <c r="K38" s="8">
        <f t="shared" si="14"/>
        <v>1</v>
      </c>
      <c r="L38" s="8">
        <f t="shared" si="27"/>
        <v>0</v>
      </c>
      <c r="M38" s="8">
        <f t="shared" si="23"/>
        <v>1</v>
      </c>
      <c r="N38" s="8">
        <f t="shared" si="29"/>
        <v>1</v>
      </c>
      <c r="O38" s="8">
        <f t="shared" si="25"/>
        <v>1</v>
      </c>
      <c r="P38" s="8">
        <f t="shared" si="21"/>
        <v>1</v>
      </c>
      <c r="Q38" s="8">
        <f t="shared" si="28"/>
        <v>0</v>
      </c>
      <c r="R38" s="8">
        <f t="shared" si="18"/>
        <v>1</v>
      </c>
      <c r="S38" s="9">
        <f t="shared" si="30"/>
        <v>8640</v>
      </c>
    </row>
    <row r="39" spans="1:19" x14ac:dyDescent="0.35">
      <c r="A39" s="10" t="s">
        <v>21</v>
      </c>
      <c r="B39">
        <v>2025</v>
      </c>
      <c r="C39">
        <v>1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9">
        <f t="shared" si="30"/>
        <v>41419</v>
      </c>
    </row>
    <row r="40" spans="1:19" x14ac:dyDescent="0.35">
      <c r="A40" s="10" t="str">
        <f t="shared" si="9"/>
        <v>DELAYED_ESKOM_2035</v>
      </c>
      <c r="B40">
        <f t="shared" si="10"/>
        <v>2026</v>
      </c>
      <c r="C40">
        <v>1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9">
        <f t="shared" si="30"/>
        <v>41419</v>
      </c>
    </row>
    <row r="41" spans="1:19" x14ac:dyDescent="0.35">
      <c r="A41" s="10" t="str">
        <f t="shared" si="9"/>
        <v>DELAYED_ESKOM_2035</v>
      </c>
      <c r="B41">
        <f t="shared" si="10"/>
        <v>2027</v>
      </c>
      <c r="C41">
        <v>1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9">
        <f t="shared" si="30"/>
        <v>41419</v>
      </c>
    </row>
    <row r="42" spans="1:19" x14ac:dyDescent="0.35">
      <c r="A42" s="10" t="str">
        <f t="shared" si="9"/>
        <v>DELAYED_ESKOM_2035</v>
      </c>
      <c r="B42">
        <f t="shared" si="10"/>
        <v>2028</v>
      </c>
      <c r="C42">
        <v>1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9">
        <f t="shared" si="30"/>
        <v>41419</v>
      </c>
    </row>
    <row r="43" spans="1:19" x14ac:dyDescent="0.35">
      <c r="A43" s="10" t="str">
        <f t="shared" si="9"/>
        <v>DELAYED_ESKOM_2035</v>
      </c>
      <c r="B43">
        <f t="shared" si="10"/>
        <v>2029</v>
      </c>
      <c r="C43">
        <v>1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9">
        <f t="shared" si="30"/>
        <v>41419</v>
      </c>
    </row>
    <row r="44" spans="1:19" x14ac:dyDescent="0.35">
      <c r="A44" s="10" t="str">
        <f t="shared" si="9"/>
        <v>DELAYED_ESKOM_2035</v>
      </c>
      <c r="B44">
        <f t="shared" si="10"/>
        <v>2030</v>
      </c>
      <c r="C44">
        <v>1</v>
      </c>
      <c r="D44" s="8">
        <v>1</v>
      </c>
      <c r="E44" s="8">
        <v>1</v>
      </c>
      <c r="F44" s="8">
        <v>0</v>
      </c>
      <c r="G44" s="8">
        <v>1</v>
      </c>
      <c r="H44" s="8">
        <v>1</v>
      </c>
      <c r="I44" s="8">
        <v>1</v>
      </c>
      <c r="J44" s="8">
        <v>0</v>
      </c>
      <c r="K44" s="8">
        <f>5/6</f>
        <v>0.83333333333333337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9">
        <f t="shared" si="30"/>
        <v>33810</v>
      </c>
    </row>
    <row r="45" spans="1:19" x14ac:dyDescent="0.35">
      <c r="A45" s="10" t="str">
        <f t="shared" si="9"/>
        <v>DELAYED_ESKOM_2035</v>
      </c>
      <c r="B45">
        <f t="shared" si="10"/>
        <v>2031</v>
      </c>
      <c r="C45">
        <v>1</v>
      </c>
      <c r="D45" s="8">
        <v>1</v>
      </c>
      <c r="E45" s="8">
        <v>1</v>
      </c>
      <c r="F45" s="8">
        <v>0</v>
      </c>
      <c r="G45" s="8">
        <v>1</v>
      </c>
      <c r="H45" s="8">
        <f t="shared" si="12"/>
        <v>1</v>
      </c>
      <c r="I45" s="8">
        <f t="shared" si="13"/>
        <v>1</v>
      </c>
      <c r="J45" s="8">
        <v>0</v>
      </c>
      <c r="K45" s="8">
        <v>1</v>
      </c>
      <c r="L45" s="8">
        <v>0</v>
      </c>
      <c r="M45" s="8">
        <v>0</v>
      </c>
      <c r="N45" s="8">
        <v>0</v>
      </c>
      <c r="O45" s="8">
        <v>0</v>
      </c>
      <c r="P45" s="8">
        <f>2/6</f>
        <v>0.33333333333333331</v>
      </c>
      <c r="Q45" s="8">
        <v>0</v>
      </c>
      <c r="R45" s="8">
        <v>0</v>
      </c>
      <c r="S45" s="9">
        <f t="shared" si="30"/>
        <v>32220</v>
      </c>
    </row>
    <row r="46" spans="1:19" x14ac:dyDescent="0.35">
      <c r="A46" s="10" t="str">
        <f t="shared" si="9"/>
        <v>DELAYED_ESKOM_2035</v>
      </c>
      <c r="B46">
        <f t="shared" si="10"/>
        <v>2032</v>
      </c>
      <c r="C46">
        <v>1</v>
      </c>
      <c r="D46" s="8">
        <v>1</v>
      </c>
      <c r="E46" s="8">
        <v>1</v>
      </c>
      <c r="F46" s="8">
        <f>2/5</f>
        <v>0.4</v>
      </c>
      <c r="G46" s="8">
        <v>1</v>
      </c>
      <c r="H46" s="8">
        <f t="shared" si="12"/>
        <v>1</v>
      </c>
      <c r="I46" s="8">
        <f t="shared" si="13"/>
        <v>1</v>
      </c>
      <c r="J46" s="8">
        <v>0</v>
      </c>
      <c r="K46" s="8">
        <f t="shared" ref="K46:K74" si="31">K45</f>
        <v>1</v>
      </c>
      <c r="L46" s="8">
        <v>0</v>
      </c>
      <c r="M46" s="8">
        <v>0</v>
      </c>
      <c r="N46" s="8">
        <v>0</v>
      </c>
      <c r="O46" s="8">
        <v>0</v>
      </c>
      <c r="P46" s="8">
        <f t="shared" ref="P46:P48" si="32">P45+1/6</f>
        <v>0.5</v>
      </c>
      <c r="Q46" s="8">
        <v>0</v>
      </c>
      <c r="R46" s="8">
        <v>0</v>
      </c>
      <c r="S46" s="9">
        <f t="shared" si="30"/>
        <v>30495</v>
      </c>
    </row>
    <row r="47" spans="1:19" x14ac:dyDescent="0.35">
      <c r="A47" s="10" t="str">
        <f t="shared" si="9"/>
        <v>DELAYED_ESKOM_2035</v>
      </c>
      <c r="B47">
        <f t="shared" si="10"/>
        <v>2033</v>
      </c>
      <c r="C47">
        <v>1</v>
      </c>
      <c r="D47" s="8">
        <v>1</v>
      </c>
      <c r="E47" s="8">
        <v>1</v>
      </c>
      <c r="F47" s="8">
        <f>3/5</f>
        <v>0.6</v>
      </c>
      <c r="G47" s="8">
        <v>1</v>
      </c>
      <c r="H47" s="8">
        <f t="shared" si="12"/>
        <v>1</v>
      </c>
      <c r="I47" s="8">
        <f t="shared" si="13"/>
        <v>1</v>
      </c>
      <c r="J47" s="8">
        <v>0</v>
      </c>
      <c r="K47" s="8">
        <f t="shared" si="31"/>
        <v>1</v>
      </c>
      <c r="L47" s="8">
        <v>0</v>
      </c>
      <c r="M47" s="8">
        <v>0</v>
      </c>
      <c r="N47" s="8">
        <v>0</v>
      </c>
      <c r="O47" s="8">
        <v>0</v>
      </c>
      <c r="P47" s="8">
        <f t="shared" si="32"/>
        <v>0.66666666666666663</v>
      </c>
      <c r="Q47" s="8">
        <v>0</v>
      </c>
      <c r="R47" s="8">
        <v>0</v>
      </c>
      <c r="S47" s="9">
        <f t="shared" si="30"/>
        <v>29345</v>
      </c>
    </row>
    <row r="48" spans="1:19" x14ac:dyDescent="0.35">
      <c r="A48" s="10" t="str">
        <f t="shared" si="9"/>
        <v>DELAYED_ESKOM_2035</v>
      </c>
      <c r="B48">
        <f t="shared" si="10"/>
        <v>2034</v>
      </c>
      <c r="C48">
        <v>1</v>
      </c>
      <c r="D48" s="8">
        <v>1</v>
      </c>
      <c r="E48" s="8">
        <v>1</v>
      </c>
      <c r="F48" s="8">
        <v>1</v>
      </c>
      <c r="G48" s="8">
        <v>1</v>
      </c>
      <c r="H48" s="8">
        <f t="shared" si="12"/>
        <v>1</v>
      </c>
      <c r="I48" s="8">
        <f t="shared" si="13"/>
        <v>1</v>
      </c>
      <c r="J48" s="8">
        <v>0</v>
      </c>
      <c r="K48" s="8">
        <f t="shared" si="31"/>
        <v>1</v>
      </c>
      <c r="L48" s="8">
        <v>0</v>
      </c>
      <c r="M48" s="8">
        <v>0</v>
      </c>
      <c r="N48" s="8">
        <v>0</v>
      </c>
      <c r="O48" s="8">
        <v>0</v>
      </c>
      <c r="P48" s="8">
        <f t="shared" si="32"/>
        <v>0.83333333333333326</v>
      </c>
      <c r="Q48" s="8">
        <v>0</v>
      </c>
      <c r="R48" s="8">
        <v>0</v>
      </c>
      <c r="S48" s="9">
        <f t="shared" si="30"/>
        <v>27620</v>
      </c>
    </row>
    <row r="49" spans="1:19" x14ac:dyDescent="0.35">
      <c r="A49" s="10" t="str">
        <f t="shared" si="9"/>
        <v>DELAYED_ESKOM_2035</v>
      </c>
      <c r="B49">
        <f t="shared" si="10"/>
        <v>2035</v>
      </c>
      <c r="C49">
        <v>1</v>
      </c>
      <c r="D49" s="8">
        <v>1</v>
      </c>
      <c r="E49" s="8">
        <v>1</v>
      </c>
      <c r="F49" s="8">
        <v>1</v>
      </c>
      <c r="G49" s="8">
        <v>1</v>
      </c>
      <c r="H49" s="8">
        <f t="shared" si="12"/>
        <v>1</v>
      </c>
      <c r="I49" s="8">
        <f t="shared" si="13"/>
        <v>1</v>
      </c>
      <c r="J49" s="8">
        <v>0</v>
      </c>
      <c r="K49" s="8">
        <f t="shared" si="31"/>
        <v>1</v>
      </c>
      <c r="L49" s="8">
        <v>0</v>
      </c>
      <c r="M49" s="8">
        <v>0</v>
      </c>
      <c r="N49" s="8">
        <v>0</v>
      </c>
      <c r="O49" s="8">
        <v>0</v>
      </c>
      <c r="P49" s="8">
        <v>1</v>
      </c>
      <c r="Q49" s="8">
        <v>0</v>
      </c>
      <c r="R49" s="8">
        <f t="shared" ref="R49:R51" si="33">1/6</f>
        <v>0.16666666666666666</v>
      </c>
      <c r="S49" s="9">
        <f t="shared" si="30"/>
        <v>26460</v>
      </c>
    </row>
    <row r="50" spans="1:19" x14ac:dyDescent="0.35">
      <c r="A50" s="10" t="str">
        <f t="shared" si="9"/>
        <v>DELAYED_ESKOM_2035</v>
      </c>
      <c r="B50">
        <f t="shared" si="10"/>
        <v>2036</v>
      </c>
      <c r="C50">
        <v>1</v>
      </c>
      <c r="D50" s="8">
        <v>1</v>
      </c>
      <c r="E50" s="8">
        <v>1</v>
      </c>
      <c r="F50" s="8">
        <v>1</v>
      </c>
      <c r="G50" s="8">
        <v>1</v>
      </c>
      <c r="H50" s="8">
        <f t="shared" si="12"/>
        <v>1</v>
      </c>
      <c r="I50" s="8">
        <f t="shared" si="13"/>
        <v>1</v>
      </c>
      <c r="J50" s="8">
        <v>0</v>
      </c>
      <c r="K50" s="8">
        <f t="shared" si="31"/>
        <v>1</v>
      </c>
      <c r="L50" s="8">
        <v>0</v>
      </c>
      <c r="M50" s="8">
        <v>0</v>
      </c>
      <c r="N50" s="8">
        <v>0</v>
      </c>
      <c r="O50" s="8">
        <v>0</v>
      </c>
      <c r="P50" s="8">
        <v>1</v>
      </c>
      <c r="Q50" s="8">
        <v>0</v>
      </c>
      <c r="R50" s="8">
        <f t="shared" si="33"/>
        <v>0.16666666666666666</v>
      </c>
      <c r="S50" s="9">
        <f t="shared" si="30"/>
        <v>26460</v>
      </c>
    </row>
    <row r="51" spans="1:19" x14ac:dyDescent="0.35">
      <c r="A51" s="10" t="str">
        <f t="shared" si="9"/>
        <v>DELAYED_ESKOM_2035</v>
      </c>
      <c r="B51">
        <f t="shared" si="10"/>
        <v>2037</v>
      </c>
      <c r="C51">
        <v>1</v>
      </c>
      <c r="D51" s="8">
        <v>1</v>
      </c>
      <c r="E51" s="8">
        <v>1</v>
      </c>
      <c r="F51" s="8">
        <v>1</v>
      </c>
      <c r="G51" s="8">
        <v>1</v>
      </c>
      <c r="H51" s="8">
        <f t="shared" si="12"/>
        <v>1</v>
      </c>
      <c r="I51" s="8">
        <f t="shared" si="13"/>
        <v>1</v>
      </c>
      <c r="J51" s="8">
        <v>0</v>
      </c>
      <c r="K51" s="8">
        <f t="shared" si="31"/>
        <v>1</v>
      </c>
      <c r="L51" s="8">
        <v>0</v>
      </c>
      <c r="M51" s="8">
        <f>2/6</f>
        <v>0.33333333333333331</v>
      </c>
      <c r="N51" s="8">
        <v>0</v>
      </c>
      <c r="O51" s="8">
        <v>0</v>
      </c>
      <c r="P51" s="8">
        <v>1</v>
      </c>
      <c r="Q51" s="8">
        <v>0</v>
      </c>
      <c r="R51" s="8">
        <f t="shared" si="33"/>
        <v>0.16666666666666666</v>
      </c>
      <c r="S51" s="9">
        <f t="shared" si="30"/>
        <v>25274</v>
      </c>
    </row>
    <row r="52" spans="1:19" x14ac:dyDescent="0.35">
      <c r="A52" s="10" t="str">
        <f t="shared" si="9"/>
        <v>DELAYED_ESKOM_2035</v>
      </c>
      <c r="B52">
        <f t="shared" si="10"/>
        <v>2038</v>
      </c>
      <c r="C52">
        <v>1</v>
      </c>
      <c r="D52" s="8">
        <v>1</v>
      </c>
      <c r="E52" s="8">
        <v>1</v>
      </c>
      <c r="F52" s="8">
        <v>1</v>
      </c>
      <c r="G52" s="8">
        <v>1</v>
      </c>
      <c r="H52" s="8">
        <f t="shared" si="12"/>
        <v>1</v>
      </c>
      <c r="I52" s="8">
        <f t="shared" si="13"/>
        <v>1</v>
      </c>
      <c r="J52" s="8">
        <v>0</v>
      </c>
      <c r="K52" s="8">
        <f t="shared" si="31"/>
        <v>1</v>
      </c>
      <c r="L52" s="8">
        <v>0</v>
      </c>
      <c r="M52" s="8">
        <f t="shared" ref="M52:M54" si="34">M51+1/6</f>
        <v>0.5</v>
      </c>
      <c r="N52" s="8">
        <v>0</v>
      </c>
      <c r="O52" s="8">
        <v>0</v>
      </c>
      <c r="P52" s="8">
        <f t="shared" ref="P52:P74" si="35">P51</f>
        <v>1</v>
      </c>
      <c r="Q52" s="8">
        <v>0</v>
      </c>
      <c r="R52" s="8">
        <f>4/6</f>
        <v>0.66666666666666663</v>
      </c>
      <c r="S52" s="9">
        <f t="shared" si="30"/>
        <v>22926</v>
      </c>
    </row>
    <row r="53" spans="1:19" x14ac:dyDescent="0.35">
      <c r="A53" s="10" t="str">
        <f t="shared" si="9"/>
        <v>DELAYED_ESKOM_2035</v>
      </c>
      <c r="B53">
        <f t="shared" si="10"/>
        <v>2039</v>
      </c>
      <c r="C53">
        <v>1</v>
      </c>
      <c r="D53" s="8">
        <v>1</v>
      </c>
      <c r="E53" s="8">
        <v>1</v>
      </c>
      <c r="F53" s="8">
        <v>1</v>
      </c>
      <c r="G53" s="8">
        <v>1</v>
      </c>
      <c r="H53" s="8">
        <f t="shared" si="12"/>
        <v>1</v>
      </c>
      <c r="I53" s="8">
        <f t="shared" si="13"/>
        <v>1</v>
      </c>
      <c r="J53" s="8">
        <v>0</v>
      </c>
      <c r="K53" s="8">
        <f t="shared" si="31"/>
        <v>1</v>
      </c>
      <c r="L53" s="8">
        <v>0</v>
      </c>
      <c r="M53" s="8">
        <f t="shared" si="34"/>
        <v>0.66666666666666663</v>
      </c>
      <c r="N53" s="8">
        <v>0</v>
      </c>
      <c r="O53" s="8">
        <f>2/6</f>
        <v>0.33333333333333331</v>
      </c>
      <c r="P53" s="8">
        <f t="shared" si="35"/>
        <v>1</v>
      </c>
      <c r="Q53" s="8">
        <v>0</v>
      </c>
      <c r="R53" s="8">
        <f t="shared" ref="R53:R54" si="36">5/6</f>
        <v>0.83333333333333337</v>
      </c>
      <c r="S53" s="9">
        <f t="shared" si="30"/>
        <v>20518</v>
      </c>
    </row>
    <row r="54" spans="1:19" x14ac:dyDescent="0.35">
      <c r="A54" s="10" t="str">
        <f t="shared" si="9"/>
        <v>DELAYED_ESKOM_2035</v>
      </c>
      <c r="B54">
        <f t="shared" si="10"/>
        <v>2040</v>
      </c>
      <c r="C54">
        <v>1</v>
      </c>
      <c r="D54" s="8">
        <v>1</v>
      </c>
      <c r="E54" s="8">
        <v>1</v>
      </c>
      <c r="F54" s="8">
        <v>1</v>
      </c>
      <c r="G54" s="8">
        <v>1</v>
      </c>
      <c r="H54" s="8">
        <f t="shared" si="12"/>
        <v>1</v>
      </c>
      <c r="I54" s="8">
        <f t="shared" si="13"/>
        <v>1</v>
      </c>
      <c r="J54" s="8">
        <f>1/6</f>
        <v>0.16666666666666666</v>
      </c>
      <c r="K54" s="8">
        <f t="shared" si="31"/>
        <v>1</v>
      </c>
      <c r="L54" s="8">
        <v>0</v>
      </c>
      <c r="M54" s="8">
        <f t="shared" si="34"/>
        <v>0.83333333333333326</v>
      </c>
      <c r="N54" s="8">
        <v>0</v>
      </c>
      <c r="O54" s="8">
        <f>O53+1/6</f>
        <v>0.5</v>
      </c>
      <c r="P54" s="8">
        <f t="shared" si="35"/>
        <v>1</v>
      </c>
      <c r="Q54" s="8">
        <v>0</v>
      </c>
      <c r="R54" s="11">
        <f t="shared" si="36"/>
        <v>0.83333333333333337</v>
      </c>
      <c r="S54" s="9">
        <f t="shared" si="30"/>
        <v>18670</v>
      </c>
    </row>
    <row r="55" spans="1:19" x14ac:dyDescent="0.35">
      <c r="A55" s="10" t="str">
        <f t="shared" si="9"/>
        <v>DELAYED_ESKOM_2035</v>
      </c>
      <c r="B55">
        <f t="shared" si="10"/>
        <v>2041</v>
      </c>
      <c r="C55">
        <v>1</v>
      </c>
      <c r="D55" s="8">
        <v>1</v>
      </c>
      <c r="E55" s="8">
        <v>1</v>
      </c>
      <c r="F55" s="8">
        <v>1</v>
      </c>
      <c r="G55" s="8">
        <v>1</v>
      </c>
      <c r="H55" s="8">
        <f t="shared" si="12"/>
        <v>1</v>
      </c>
      <c r="I55" s="8">
        <f t="shared" si="13"/>
        <v>1</v>
      </c>
      <c r="J55" s="8">
        <f>J54+1/6</f>
        <v>0.33333333333333331</v>
      </c>
      <c r="K55" s="8">
        <f t="shared" si="31"/>
        <v>1</v>
      </c>
      <c r="L55" s="8">
        <v>0</v>
      </c>
      <c r="M55" s="8">
        <f>M54</f>
        <v>0.83333333333333326</v>
      </c>
      <c r="N55" s="8">
        <v>0</v>
      </c>
      <c r="O55" s="8">
        <v>0.5</v>
      </c>
      <c r="P55" s="8">
        <f t="shared" si="35"/>
        <v>1</v>
      </c>
      <c r="Q55" s="8">
        <v>0</v>
      </c>
      <c r="R55" s="8">
        <v>1</v>
      </c>
      <c r="S55" s="9">
        <f t="shared" si="30"/>
        <v>17445</v>
      </c>
    </row>
    <row r="56" spans="1:19" x14ac:dyDescent="0.35">
      <c r="A56" s="10" t="str">
        <f t="shared" si="9"/>
        <v>DELAYED_ESKOM_2035</v>
      </c>
      <c r="B56">
        <f t="shared" si="10"/>
        <v>2042</v>
      </c>
      <c r="C56">
        <v>1</v>
      </c>
      <c r="D56" s="8">
        <v>1</v>
      </c>
      <c r="E56" s="8">
        <v>1</v>
      </c>
      <c r="F56" s="8">
        <v>1</v>
      </c>
      <c r="G56" s="8">
        <v>1</v>
      </c>
      <c r="H56" s="8">
        <f t="shared" si="12"/>
        <v>1</v>
      </c>
      <c r="I56" s="8">
        <f t="shared" si="13"/>
        <v>1</v>
      </c>
      <c r="J56" s="8">
        <f>J55</f>
        <v>0.33333333333333331</v>
      </c>
      <c r="K56" s="8">
        <f t="shared" si="31"/>
        <v>1</v>
      </c>
      <c r="L56" s="8">
        <v>0</v>
      </c>
      <c r="M56" s="8">
        <v>1</v>
      </c>
      <c r="N56" s="8">
        <v>0</v>
      </c>
      <c r="O56" s="8">
        <f>O55+1/6</f>
        <v>0.66666666666666663</v>
      </c>
      <c r="P56" s="8">
        <f t="shared" si="35"/>
        <v>1</v>
      </c>
      <c r="Q56" s="8">
        <v>0</v>
      </c>
      <c r="R56" s="8">
        <f t="shared" ref="R56:R74" si="37">R55</f>
        <v>1</v>
      </c>
      <c r="S56" s="9">
        <f t="shared" si="30"/>
        <v>16237</v>
      </c>
    </row>
    <row r="57" spans="1:19" x14ac:dyDescent="0.35">
      <c r="A57" s="10" t="str">
        <f t="shared" si="9"/>
        <v>DELAYED_ESKOM_2035</v>
      </c>
      <c r="B57">
        <f t="shared" si="10"/>
        <v>2043</v>
      </c>
      <c r="C57">
        <v>1</v>
      </c>
      <c r="D57" s="8">
        <v>1</v>
      </c>
      <c r="E57" s="8">
        <v>1</v>
      </c>
      <c r="F57" s="8">
        <v>1</v>
      </c>
      <c r="G57" s="8">
        <v>1</v>
      </c>
      <c r="H57" s="8">
        <f t="shared" si="12"/>
        <v>1</v>
      </c>
      <c r="I57" s="8">
        <f t="shared" si="13"/>
        <v>1</v>
      </c>
      <c r="J57" s="8">
        <f>J56+2/6</f>
        <v>0.66666666666666663</v>
      </c>
      <c r="K57" s="8">
        <f t="shared" si="31"/>
        <v>1</v>
      </c>
      <c r="L57" s="8">
        <v>0</v>
      </c>
      <c r="M57" s="8">
        <f t="shared" ref="M57:M74" si="38">M56</f>
        <v>1</v>
      </c>
      <c r="N57" s="8">
        <v>0</v>
      </c>
      <c r="O57" s="8">
        <v>1</v>
      </c>
      <c r="P57" s="8">
        <f t="shared" si="35"/>
        <v>1</v>
      </c>
      <c r="Q57" s="8">
        <v>0</v>
      </c>
      <c r="R57" s="8">
        <f t="shared" si="37"/>
        <v>1</v>
      </c>
      <c r="S57" s="9">
        <f t="shared" si="30"/>
        <v>13727</v>
      </c>
    </row>
    <row r="58" spans="1:19" x14ac:dyDescent="0.35">
      <c r="A58" s="10" t="str">
        <f t="shared" si="9"/>
        <v>DELAYED_ESKOM_2035</v>
      </c>
      <c r="B58">
        <f t="shared" si="10"/>
        <v>2044</v>
      </c>
      <c r="C58">
        <v>1</v>
      </c>
      <c r="D58" s="8">
        <v>1</v>
      </c>
      <c r="E58" s="8">
        <v>1</v>
      </c>
      <c r="F58" s="8">
        <v>1</v>
      </c>
      <c r="G58" s="8">
        <v>1</v>
      </c>
      <c r="H58" s="8">
        <f t="shared" si="12"/>
        <v>1</v>
      </c>
      <c r="I58" s="8">
        <f t="shared" si="13"/>
        <v>1</v>
      </c>
      <c r="J58" s="8">
        <f>J57+1/6</f>
        <v>0.83333333333333326</v>
      </c>
      <c r="K58" s="8">
        <f t="shared" si="31"/>
        <v>1</v>
      </c>
      <c r="L58" s="8">
        <v>0</v>
      </c>
      <c r="M58" s="8">
        <f t="shared" si="38"/>
        <v>1</v>
      </c>
      <c r="N58" s="8">
        <v>0</v>
      </c>
      <c r="O58" s="8">
        <v>1</v>
      </c>
      <c r="P58" s="8">
        <f t="shared" si="35"/>
        <v>1</v>
      </c>
      <c r="Q58" s="8">
        <v>0</v>
      </c>
      <c r="R58" s="8">
        <f t="shared" si="37"/>
        <v>1</v>
      </c>
      <c r="S58" s="9">
        <f t="shared" si="30"/>
        <v>13087</v>
      </c>
    </row>
    <row r="59" spans="1:19" x14ac:dyDescent="0.35">
      <c r="A59" s="10" t="str">
        <f t="shared" si="9"/>
        <v>DELAYED_ESKOM_2035</v>
      </c>
      <c r="B59">
        <f t="shared" si="10"/>
        <v>2045</v>
      </c>
      <c r="C59">
        <v>1</v>
      </c>
      <c r="D59" s="8">
        <v>1</v>
      </c>
      <c r="E59" s="8">
        <v>1</v>
      </c>
      <c r="F59" s="8">
        <v>1</v>
      </c>
      <c r="G59" s="8">
        <v>1</v>
      </c>
      <c r="H59" s="8">
        <f t="shared" si="12"/>
        <v>1</v>
      </c>
      <c r="I59" s="8">
        <f t="shared" si="13"/>
        <v>1</v>
      </c>
      <c r="J59" s="8">
        <v>1</v>
      </c>
      <c r="K59" s="8">
        <f t="shared" si="31"/>
        <v>1</v>
      </c>
      <c r="L59" s="8">
        <v>0</v>
      </c>
      <c r="M59" s="8">
        <f t="shared" si="38"/>
        <v>1</v>
      </c>
      <c r="N59" s="8">
        <v>0</v>
      </c>
      <c r="O59" s="8">
        <v>1</v>
      </c>
      <c r="P59" s="8">
        <f t="shared" si="35"/>
        <v>1</v>
      </c>
      <c r="Q59" s="8">
        <v>0</v>
      </c>
      <c r="R59" s="8">
        <f t="shared" si="37"/>
        <v>1</v>
      </c>
      <c r="S59" s="9">
        <f t="shared" si="30"/>
        <v>12447</v>
      </c>
    </row>
    <row r="60" spans="1:19" x14ac:dyDescent="0.35">
      <c r="A60" s="10" t="str">
        <f t="shared" si="9"/>
        <v>DELAYED_ESKOM_2035</v>
      </c>
      <c r="B60">
        <f t="shared" si="10"/>
        <v>2046</v>
      </c>
      <c r="C60">
        <v>1</v>
      </c>
      <c r="D60" s="8">
        <v>1</v>
      </c>
      <c r="E60" s="8">
        <v>1</v>
      </c>
      <c r="F60" s="8">
        <v>1</v>
      </c>
      <c r="G60" s="8">
        <v>1</v>
      </c>
      <c r="H60" s="8">
        <f t="shared" si="12"/>
        <v>1</v>
      </c>
      <c r="I60" s="8">
        <f t="shared" si="13"/>
        <v>1</v>
      </c>
      <c r="J60" s="8">
        <f t="shared" ref="J60:J74" si="39">J59</f>
        <v>1</v>
      </c>
      <c r="K60" s="8">
        <f t="shared" si="31"/>
        <v>1</v>
      </c>
      <c r="L60" s="8">
        <v>0</v>
      </c>
      <c r="M60" s="8">
        <f t="shared" si="38"/>
        <v>1</v>
      </c>
      <c r="N60" s="8">
        <f>1/6</f>
        <v>0.16666666666666666</v>
      </c>
      <c r="O60" s="8">
        <f t="shared" ref="O60:O74" si="40">O59</f>
        <v>1</v>
      </c>
      <c r="P60" s="8">
        <f t="shared" si="35"/>
        <v>1</v>
      </c>
      <c r="Q60" s="8">
        <v>0</v>
      </c>
      <c r="R60" s="8">
        <f t="shared" si="37"/>
        <v>1</v>
      </c>
      <c r="S60" s="9">
        <f t="shared" si="30"/>
        <v>11812.5</v>
      </c>
    </row>
    <row r="61" spans="1:19" x14ac:dyDescent="0.35">
      <c r="A61" s="10" t="str">
        <f t="shared" si="9"/>
        <v>DELAYED_ESKOM_2035</v>
      </c>
      <c r="B61">
        <f t="shared" si="10"/>
        <v>2047</v>
      </c>
      <c r="C61">
        <v>1</v>
      </c>
      <c r="D61" s="8">
        <v>1</v>
      </c>
      <c r="E61" s="8">
        <v>1</v>
      </c>
      <c r="F61" s="8">
        <v>1</v>
      </c>
      <c r="G61" s="8">
        <v>1</v>
      </c>
      <c r="H61" s="8">
        <f t="shared" si="12"/>
        <v>1</v>
      </c>
      <c r="I61" s="8">
        <f t="shared" si="13"/>
        <v>1</v>
      </c>
      <c r="J61" s="8">
        <f t="shared" si="39"/>
        <v>1</v>
      </c>
      <c r="K61" s="8">
        <f t="shared" si="31"/>
        <v>1</v>
      </c>
      <c r="L61" s="8">
        <v>0</v>
      </c>
      <c r="M61" s="8">
        <f t="shared" si="38"/>
        <v>1</v>
      </c>
      <c r="N61" s="8">
        <f t="shared" ref="N61:N64" si="41">N60+1/6</f>
        <v>0.33333333333333331</v>
      </c>
      <c r="O61" s="8">
        <f t="shared" si="40"/>
        <v>1</v>
      </c>
      <c r="P61" s="8">
        <f t="shared" si="35"/>
        <v>1</v>
      </c>
      <c r="Q61" s="8">
        <v>0</v>
      </c>
      <c r="R61" s="8">
        <f t="shared" si="37"/>
        <v>1</v>
      </c>
      <c r="S61" s="9">
        <f t="shared" si="30"/>
        <v>11178</v>
      </c>
    </row>
    <row r="62" spans="1:19" x14ac:dyDescent="0.35">
      <c r="A62" s="10" t="str">
        <f t="shared" si="9"/>
        <v>DELAYED_ESKOM_2035</v>
      </c>
      <c r="B62">
        <f t="shared" si="10"/>
        <v>2048</v>
      </c>
      <c r="C62">
        <v>1</v>
      </c>
      <c r="D62" s="8">
        <v>1</v>
      </c>
      <c r="E62" s="8">
        <v>1</v>
      </c>
      <c r="F62" s="8">
        <v>1</v>
      </c>
      <c r="G62" s="8">
        <v>1</v>
      </c>
      <c r="H62" s="8">
        <f t="shared" si="12"/>
        <v>1</v>
      </c>
      <c r="I62" s="8">
        <f t="shared" si="13"/>
        <v>1</v>
      </c>
      <c r="J62" s="8">
        <f t="shared" si="39"/>
        <v>1</v>
      </c>
      <c r="K62" s="8">
        <f t="shared" si="31"/>
        <v>1</v>
      </c>
      <c r="L62" s="8">
        <v>0</v>
      </c>
      <c r="M62" s="8">
        <f t="shared" si="38"/>
        <v>1</v>
      </c>
      <c r="N62" s="8">
        <f t="shared" si="41"/>
        <v>0.5</v>
      </c>
      <c r="O62" s="8">
        <f t="shared" si="40"/>
        <v>1</v>
      </c>
      <c r="P62" s="8">
        <f t="shared" si="35"/>
        <v>1</v>
      </c>
      <c r="Q62" s="8">
        <v>0</v>
      </c>
      <c r="R62" s="8">
        <f t="shared" si="37"/>
        <v>1</v>
      </c>
      <c r="S62" s="9">
        <f t="shared" si="30"/>
        <v>10543.5</v>
      </c>
    </row>
    <row r="63" spans="1:19" x14ac:dyDescent="0.35">
      <c r="A63" s="10" t="str">
        <f t="shared" si="9"/>
        <v>DELAYED_ESKOM_2035</v>
      </c>
      <c r="B63">
        <f t="shared" si="10"/>
        <v>2049</v>
      </c>
      <c r="C63">
        <v>1</v>
      </c>
      <c r="D63" s="8">
        <v>1</v>
      </c>
      <c r="E63" s="8">
        <v>1</v>
      </c>
      <c r="F63" s="8">
        <v>1</v>
      </c>
      <c r="G63" s="8">
        <v>1</v>
      </c>
      <c r="H63" s="8">
        <f t="shared" si="12"/>
        <v>1</v>
      </c>
      <c r="I63" s="8">
        <f t="shared" si="13"/>
        <v>1</v>
      </c>
      <c r="J63" s="8">
        <f t="shared" si="39"/>
        <v>1</v>
      </c>
      <c r="K63" s="8">
        <f t="shared" si="31"/>
        <v>1</v>
      </c>
      <c r="L63" s="8">
        <v>0</v>
      </c>
      <c r="M63" s="8">
        <f t="shared" si="38"/>
        <v>1</v>
      </c>
      <c r="N63" s="8">
        <f t="shared" si="41"/>
        <v>0.66666666666666663</v>
      </c>
      <c r="O63" s="8">
        <f t="shared" si="40"/>
        <v>1</v>
      </c>
      <c r="P63" s="8">
        <f t="shared" si="35"/>
        <v>1</v>
      </c>
      <c r="Q63" s="8">
        <f t="shared" si="28"/>
        <v>0</v>
      </c>
      <c r="R63" s="8">
        <f t="shared" si="37"/>
        <v>1</v>
      </c>
      <c r="S63" s="9">
        <f t="shared" si="30"/>
        <v>9909</v>
      </c>
    </row>
    <row r="64" spans="1:19" x14ac:dyDescent="0.35">
      <c r="A64" s="10" t="str">
        <f t="shared" si="9"/>
        <v>DELAYED_ESKOM_2035</v>
      </c>
      <c r="B64">
        <f t="shared" si="10"/>
        <v>2050</v>
      </c>
      <c r="C64">
        <v>1</v>
      </c>
      <c r="D64" s="8">
        <v>1</v>
      </c>
      <c r="E64" s="8">
        <v>1</v>
      </c>
      <c r="F64" s="8">
        <v>1</v>
      </c>
      <c r="G64" s="8">
        <v>1</v>
      </c>
      <c r="H64" s="8">
        <f t="shared" si="12"/>
        <v>1</v>
      </c>
      <c r="I64" s="8">
        <f t="shared" si="13"/>
        <v>1</v>
      </c>
      <c r="J64" s="8">
        <f t="shared" si="39"/>
        <v>1</v>
      </c>
      <c r="K64" s="8">
        <f t="shared" si="31"/>
        <v>1</v>
      </c>
      <c r="L64" s="8">
        <v>0</v>
      </c>
      <c r="M64" s="8">
        <f t="shared" si="38"/>
        <v>1</v>
      </c>
      <c r="N64" s="8">
        <f t="shared" si="41"/>
        <v>0.83333333333333326</v>
      </c>
      <c r="O64" s="8">
        <f t="shared" si="40"/>
        <v>1</v>
      </c>
      <c r="P64" s="8">
        <f t="shared" si="35"/>
        <v>1</v>
      </c>
      <c r="Q64" s="8">
        <f t="shared" si="28"/>
        <v>0</v>
      </c>
      <c r="R64" s="8">
        <f t="shared" si="37"/>
        <v>1</v>
      </c>
      <c r="S64" s="9">
        <f t="shared" si="30"/>
        <v>9274.5</v>
      </c>
    </row>
    <row r="65" spans="1:19" x14ac:dyDescent="0.35">
      <c r="A65" s="10" t="str">
        <f t="shared" si="9"/>
        <v>DELAYED_ESKOM_2035</v>
      </c>
      <c r="B65">
        <f t="shared" si="10"/>
        <v>2051</v>
      </c>
      <c r="C65">
        <v>1</v>
      </c>
      <c r="D65" s="8">
        <v>1</v>
      </c>
      <c r="E65" s="8">
        <v>1</v>
      </c>
      <c r="F65" s="8">
        <v>1</v>
      </c>
      <c r="G65" s="8">
        <v>1</v>
      </c>
      <c r="H65" s="8">
        <f t="shared" si="12"/>
        <v>1</v>
      </c>
      <c r="I65" s="8">
        <f t="shared" si="13"/>
        <v>1</v>
      </c>
      <c r="J65" s="8">
        <f t="shared" si="39"/>
        <v>1</v>
      </c>
      <c r="K65" s="8">
        <f t="shared" si="31"/>
        <v>1</v>
      </c>
      <c r="L65" s="8">
        <f t="shared" si="27"/>
        <v>0</v>
      </c>
      <c r="M65" s="8">
        <f t="shared" si="38"/>
        <v>1</v>
      </c>
      <c r="N65" s="8">
        <v>1</v>
      </c>
      <c r="O65" s="8">
        <f t="shared" si="40"/>
        <v>1</v>
      </c>
      <c r="P65" s="8">
        <f t="shared" si="35"/>
        <v>1</v>
      </c>
      <c r="Q65" s="8">
        <f t="shared" si="28"/>
        <v>0</v>
      </c>
      <c r="R65" s="8">
        <f t="shared" si="37"/>
        <v>1</v>
      </c>
      <c r="S65" s="9">
        <f t="shared" si="30"/>
        <v>8640</v>
      </c>
    </row>
    <row r="66" spans="1:19" x14ac:dyDescent="0.35">
      <c r="A66" s="10" t="str">
        <f t="shared" si="9"/>
        <v>DELAYED_ESKOM_2035</v>
      </c>
      <c r="B66">
        <f t="shared" si="10"/>
        <v>2052</v>
      </c>
      <c r="C66">
        <v>1</v>
      </c>
      <c r="D66" s="8">
        <v>1</v>
      </c>
      <c r="E66" s="8">
        <v>1</v>
      </c>
      <c r="F66" s="8">
        <v>1</v>
      </c>
      <c r="G66" s="8">
        <v>1</v>
      </c>
      <c r="H66" s="8">
        <f t="shared" si="12"/>
        <v>1</v>
      </c>
      <c r="I66" s="8">
        <f t="shared" si="13"/>
        <v>1</v>
      </c>
      <c r="J66" s="8">
        <f t="shared" si="39"/>
        <v>1</v>
      </c>
      <c r="K66" s="8">
        <f t="shared" si="31"/>
        <v>1</v>
      </c>
      <c r="L66" s="8">
        <f t="shared" si="27"/>
        <v>0</v>
      </c>
      <c r="M66" s="8">
        <f t="shared" si="38"/>
        <v>1</v>
      </c>
      <c r="N66" s="8">
        <f t="shared" ref="N66:N74" si="42">N65</f>
        <v>1</v>
      </c>
      <c r="O66" s="8">
        <f t="shared" si="40"/>
        <v>1</v>
      </c>
      <c r="P66" s="8">
        <f t="shared" si="35"/>
        <v>1</v>
      </c>
      <c r="Q66" s="8">
        <f t="shared" si="28"/>
        <v>0</v>
      </c>
      <c r="R66" s="8">
        <f t="shared" si="37"/>
        <v>1</v>
      </c>
      <c r="S66" s="9">
        <f t="shared" si="30"/>
        <v>8640</v>
      </c>
    </row>
    <row r="67" spans="1:19" x14ac:dyDescent="0.35">
      <c r="A67" s="10" t="str">
        <f t="shared" si="9"/>
        <v>DELAYED_ESKOM_2035</v>
      </c>
      <c r="B67">
        <f t="shared" si="10"/>
        <v>2053</v>
      </c>
      <c r="C67">
        <v>1</v>
      </c>
      <c r="D67" s="8">
        <v>1</v>
      </c>
      <c r="E67" s="8">
        <v>1</v>
      </c>
      <c r="F67" s="8">
        <v>1</v>
      </c>
      <c r="G67" s="8">
        <v>1</v>
      </c>
      <c r="H67" s="8">
        <f t="shared" si="12"/>
        <v>1</v>
      </c>
      <c r="I67" s="8">
        <f t="shared" si="13"/>
        <v>1</v>
      </c>
      <c r="J67" s="8">
        <f t="shared" si="39"/>
        <v>1</v>
      </c>
      <c r="K67" s="8">
        <f t="shared" si="31"/>
        <v>1</v>
      </c>
      <c r="L67" s="8">
        <f t="shared" si="27"/>
        <v>0</v>
      </c>
      <c r="M67" s="8">
        <f t="shared" si="38"/>
        <v>1</v>
      </c>
      <c r="N67" s="8">
        <f t="shared" si="42"/>
        <v>1</v>
      </c>
      <c r="O67" s="8">
        <f t="shared" si="40"/>
        <v>1</v>
      </c>
      <c r="P67" s="8">
        <f t="shared" si="35"/>
        <v>1</v>
      </c>
      <c r="Q67" s="8">
        <f t="shared" si="28"/>
        <v>0</v>
      </c>
      <c r="R67" s="8">
        <f t="shared" si="37"/>
        <v>1</v>
      </c>
      <c r="S67" s="9">
        <f t="shared" ref="S67:S74" si="43">SUMPRODUCT((1-D67:R67),$D$2:$R$2)</f>
        <v>8640</v>
      </c>
    </row>
    <row r="68" spans="1:19" x14ac:dyDescent="0.35">
      <c r="A68" s="10" t="str">
        <f t="shared" si="9"/>
        <v>DELAYED_ESKOM_2035</v>
      </c>
      <c r="B68">
        <f t="shared" si="10"/>
        <v>2054</v>
      </c>
      <c r="C68">
        <v>1</v>
      </c>
      <c r="D68" s="8">
        <v>1</v>
      </c>
      <c r="E68" s="8">
        <v>1</v>
      </c>
      <c r="F68" s="8">
        <v>1</v>
      </c>
      <c r="G68" s="8">
        <v>1</v>
      </c>
      <c r="H68" s="8">
        <f t="shared" si="12"/>
        <v>1</v>
      </c>
      <c r="I68" s="8">
        <f t="shared" si="13"/>
        <v>1</v>
      </c>
      <c r="J68" s="8">
        <f t="shared" si="39"/>
        <v>1</v>
      </c>
      <c r="K68" s="8">
        <f t="shared" si="31"/>
        <v>1</v>
      </c>
      <c r="L68" s="8">
        <f t="shared" si="27"/>
        <v>0</v>
      </c>
      <c r="M68" s="8">
        <f t="shared" si="38"/>
        <v>1</v>
      </c>
      <c r="N68" s="8">
        <f t="shared" si="42"/>
        <v>1</v>
      </c>
      <c r="O68" s="8">
        <f t="shared" si="40"/>
        <v>1</v>
      </c>
      <c r="P68" s="8">
        <f t="shared" si="35"/>
        <v>1</v>
      </c>
      <c r="Q68" s="8">
        <f t="shared" si="28"/>
        <v>0</v>
      </c>
      <c r="R68" s="8">
        <f t="shared" si="37"/>
        <v>1</v>
      </c>
      <c r="S68" s="9">
        <f t="shared" si="43"/>
        <v>8640</v>
      </c>
    </row>
    <row r="69" spans="1:19" x14ac:dyDescent="0.35">
      <c r="A69" s="10" t="str">
        <f t="shared" si="9"/>
        <v>DELAYED_ESKOM_2035</v>
      </c>
      <c r="B69">
        <f t="shared" si="10"/>
        <v>2055</v>
      </c>
      <c r="C69">
        <v>1</v>
      </c>
      <c r="D69" s="8">
        <v>1</v>
      </c>
      <c r="E69" s="8">
        <v>1</v>
      </c>
      <c r="F69" s="8">
        <v>1</v>
      </c>
      <c r="G69" s="8">
        <v>1</v>
      </c>
      <c r="H69" s="8">
        <f t="shared" si="12"/>
        <v>1</v>
      </c>
      <c r="I69" s="8">
        <f t="shared" si="13"/>
        <v>1</v>
      </c>
      <c r="J69" s="8">
        <f t="shared" si="39"/>
        <v>1</v>
      </c>
      <c r="K69" s="8">
        <f t="shared" si="31"/>
        <v>1</v>
      </c>
      <c r="L69" s="8">
        <f t="shared" si="27"/>
        <v>0</v>
      </c>
      <c r="M69" s="8">
        <f t="shared" si="38"/>
        <v>1</v>
      </c>
      <c r="N69" s="8">
        <f t="shared" si="42"/>
        <v>1</v>
      </c>
      <c r="O69" s="8">
        <f t="shared" si="40"/>
        <v>1</v>
      </c>
      <c r="P69" s="8">
        <f t="shared" si="35"/>
        <v>1</v>
      </c>
      <c r="Q69" s="8">
        <f t="shared" si="28"/>
        <v>0</v>
      </c>
      <c r="R69" s="8">
        <f t="shared" si="37"/>
        <v>1</v>
      </c>
      <c r="S69" s="9">
        <f t="shared" si="43"/>
        <v>8640</v>
      </c>
    </row>
    <row r="70" spans="1:19" x14ac:dyDescent="0.35">
      <c r="A70" s="10" t="str">
        <f t="shared" si="9"/>
        <v>DELAYED_ESKOM_2035</v>
      </c>
      <c r="B70">
        <f t="shared" si="10"/>
        <v>2056</v>
      </c>
      <c r="C70">
        <v>1</v>
      </c>
      <c r="D70" s="8">
        <v>1</v>
      </c>
      <c r="E70" s="8">
        <v>1</v>
      </c>
      <c r="F70" s="8">
        <v>1</v>
      </c>
      <c r="G70" s="8">
        <v>1</v>
      </c>
      <c r="H70" s="8">
        <f t="shared" si="12"/>
        <v>1</v>
      </c>
      <c r="I70" s="8">
        <f t="shared" si="13"/>
        <v>1</v>
      </c>
      <c r="J70" s="8">
        <f t="shared" si="39"/>
        <v>1</v>
      </c>
      <c r="K70" s="8">
        <f t="shared" si="31"/>
        <v>1</v>
      </c>
      <c r="L70" s="8">
        <f t="shared" si="27"/>
        <v>0</v>
      </c>
      <c r="M70" s="8">
        <f t="shared" si="38"/>
        <v>1</v>
      </c>
      <c r="N70" s="8">
        <f t="shared" si="42"/>
        <v>1</v>
      </c>
      <c r="O70" s="8">
        <f t="shared" si="40"/>
        <v>1</v>
      </c>
      <c r="P70" s="8">
        <f t="shared" si="35"/>
        <v>1</v>
      </c>
      <c r="Q70" s="8">
        <f t="shared" si="28"/>
        <v>0</v>
      </c>
      <c r="R70" s="8">
        <f t="shared" si="37"/>
        <v>1</v>
      </c>
      <c r="S70" s="9">
        <f t="shared" si="43"/>
        <v>8640</v>
      </c>
    </row>
    <row r="71" spans="1:19" x14ac:dyDescent="0.35">
      <c r="A71" s="10" t="str">
        <f t="shared" si="9"/>
        <v>DELAYED_ESKOM_2035</v>
      </c>
      <c r="B71">
        <f t="shared" si="10"/>
        <v>2057</v>
      </c>
      <c r="C71">
        <v>1</v>
      </c>
      <c r="D71" s="8">
        <v>1</v>
      </c>
      <c r="E71" s="8">
        <v>1</v>
      </c>
      <c r="F71" s="8">
        <v>1</v>
      </c>
      <c r="G71" s="8">
        <v>1</v>
      </c>
      <c r="H71" s="8">
        <f t="shared" si="12"/>
        <v>1</v>
      </c>
      <c r="I71" s="8">
        <f t="shared" si="13"/>
        <v>1</v>
      </c>
      <c r="J71" s="8">
        <f t="shared" si="39"/>
        <v>1</v>
      </c>
      <c r="K71" s="8">
        <f t="shared" si="31"/>
        <v>1</v>
      </c>
      <c r="L71" s="8">
        <f t="shared" si="27"/>
        <v>0</v>
      </c>
      <c r="M71" s="8">
        <f t="shared" si="38"/>
        <v>1</v>
      </c>
      <c r="N71" s="8">
        <f t="shared" si="42"/>
        <v>1</v>
      </c>
      <c r="O71" s="8">
        <f t="shared" si="40"/>
        <v>1</v>
      </c>
      <c r="P71" s="8">
        <f t="shared" si="35"/>
        <v>1</v>
      </c>
      <c r="Q71" s="8">
        <f t="shared" si="28"/>
        <v>0</v>
      </c>
      <c r="R71" s="8">
        <f t="shared" si="37"/>
        <v>1</v>
      </c>
      <c r="S71" s="9">
        <f t="shared" si="43"/>
        <v>8640</v>
      </c>
    </row>
    <row r="72" spans="1:19" x14ac:dyDescent="0.35">
      <c r="A72" s="10" t="str">
        <f t="shared" si="9"/>
        <v>DELAYED_ESKOM_2035</v>
      </c>
      <c r="B72">
        <f t="shared" si="10"/>
        <v>2058</v>
      </c>
      <c r="C72">
        <v>1</v>
      </c>
      <c r="D72" s="8">
        <v>1</v>
      </c>
      <c r="E72" s="8">
        <v>1</v>
      </c>
      <c r="F72" s="8">
        <v>1</v>
      </c>
      <c r="G72" s="8">
        <v>1</v>
      </c>
      <c r="H72" s="8">
        <f t="shared" si="12"/>
        <v>1</v>
      </c>
      <c r="I72" s="8">
        <f t="shared" si="13"/>
        <v>1</v>
      </c>
      <c r="J72" s="8">
        <f t="shared" si="39"/>
        <v>1</v>
      </c>
      <c r="K72" s="8">
        <f t="shared" si="31"/>
        <v>1</v>
      </c>
      <c r="L72" s="8">
        <f t="shared" si="27"/>
        <v>0</v>
      </c>
      <c r="M72" s="8">
        <f t="shared" si="38"/>
        <v>1</v>
      </c>
      <c r="N72" s="8">
        <f t="shared" si="42"/>
        <v>1</v>
      </c>
      <c r="O72" s="8">
        <f t="shared" si="40"/>
        <v>1</v>
      </c>
      <c r="P72" s="8">
        <f t="shared" si="35"/>
        <v>1</v>
      </c>
      <c r="Q72" s="8">
        <f t="shared" si="28"/>
        <v>0</v>
      </c>
      <c r="R72" s="8">
        <f t="shared" si="37"/>
        <v>1</v>
      </c>
      <c r="S72" s="9">
        <f t="shared" si="43"/>
        <v>8640</v>
      </c>
    </row>
    <row r="73" spans="1:19" x14ac:dyDescent="0.35">
      <c r="A73" s="10" t="str">
        <f t="shared" si="9"/>
        <v>DELAYED_ESKOM_2035</v>
      </c>
      <c r="B73">
        <f t="shared" si="10"/>
        <v>2059</v>
      </c>
      <c r="C73">
        <v>1</v>
      </c>
      <c r="D73" s="8">
        <v>1</v>
      </c>
      <c r="E73" s="8">
        <v>1</v>
      </c>
      <c r="F73" s="8">
        <v>1</v>
      </c>
      <c r="G73" s="8">
        <v>1</v>
      </c>
      <c r="H73" s="8">
        <f t="shared" si="12"/>
        <v>1</v>
      </c>
      <c r="I73" s="8">
        <f t="shared" si="13"/>
        <v>1</v>
      </c>
      <c r="J73" s="8">
        <f t="shared" si="39"/>
        <v>1</v>
      </c>
      <c r="K73" s="8">
        <f t="shared" si="31"/>
        <v>1</v>
      </c>
      <c r="L73" s="8">
        <f t="shared" si="27"/>
        <v>0</v>
      </c>
      <c r="M73" s="8">
        <f t="shared" si="38"/>
        <v>1</v>
      </c>
      <c r="N73" s="8">
        <f t="shared" si="42"/>
        <v>1</v>
      </c>
      <c r="O73" s="8">
        <f t="shared" si="40"/>
        <v>1</v>
      </c>
      <c r="P73" s="8">
        <f t="shared" si="35"/>
        <v>1</v>
      </c>
      <c r="Q73" s="8">
        <f t="shared" si="28"/>
        <v>0</v>
      </c>
      <c r="R73" s="8">
        <f t="shared" si="37"/>
        <v>1</v>
      </c>
      <c r="S73" s="9">
        <f t="shared" si="43"/>
        <v>8640</v>
      </c>
    </row>
    <row r="74" spans="1:19" x14ac:dyDescent="0.35">
      <c r="A74" s="10" t="str">
        <f t="shared" si="9"/>
        <v>DELAYED_ESKOM_2035</v>
      </c>
      <c r="B74">
        <f t="shared" si="10"/>
        <v>2060</v>
      </c>
      <c r="C74">
        <v>1</v>
      </c>
      <c r="D74" s="8">
        <v>1</v>
      </c>
      <c r="E74" s="8">
        <v>1</v>
      </c>
      <c r="F74" s="8">
        <v>1</v>
      </c>
      <c r="G74" s="8">
        <v>1</v>
      </c>
      <c r="H74" s="8">
        <f t="shared" si="12"/>
        <v>1</v>
      </c>
      <c r="I74" s="8">
        <f t="shared" si="13"/>
        <v>1</v>
      </c>
      <c r="J74" s="8">
        <f t="shared" si="39"/>
        <v>1</v>
      </c>
      <c r="K74" s="8">
        <f t="shared" si="31"/>
        <v>1</v>
      </c>
      <c r="L74" s="8">
        <f t="shared" si="27"/>
        <v>0</v>
      </c>
      <c r="M74" s="8">
        <f t="shared" si="38"/>
        <v>1</v>
      </c>
      <c r="N74" s="8">
        <f t="shared" si="42"/>
        <v>1</v>
      </c>
      <c r="O74" s="8">
        <f t="shared" si="40"/>
        <v>1</v>
      </c>
      <c r="P74" s="8">
        <f t="shared" si="35"/>
        <v>1</v>
      </c>
      <c r="Q74" s="8">
        <f t="shared" si="28"/>
        <v>0</v>
      </c>
      <c r="R74" s="8">
        <f t="shared" si="37"/>
        <v>1</v>
      </c>
      <c r="S74" s="9">
        <f t="shared" si="43"/>
        <v>8640</v>
      </c>
    </row>
    <row r="75" spans="1:19" x14ac:dyDescent="0.35">
      <c r="A75" s="14" t="s">
        <v>26</v>
      </c>
      <c r="B75">
        <v>2025</v>
      </c>
      <c r="C75">
        <v>1</v>
      </c>
      <c r="D75" s="15">
        <v>0</v>
      </c>
      <c r="E75" s="15">
        <v>0</v>
      </c>
      <c r="F75" s="15">
        <v>0</v>
      </c>
      <c r="G75" s="15">
        <v>0</v>
      </c>
      <c r="H75" s="15">
        <v>0</v>
      </c>
      <c r="I75" s="15">
        <v>0</v>
      </c>
      <c r="J75" s="15">
        <v>0</v>
      </c>
      <c r="K75" s="15">
        <v>0</v>
      </c>
      <c r="L75" s="15">
        <v>0</v>
      </c>
      <c r="M75" s="15">
        <v>0</v>
      </c>
      <c r="N75" s="15">
        <v>0</v>
      </c>
      <c r="O75" s="15">
        <v>0</v>
      </c>
      <c r="P75" s="15">
        <v>0</v>
      </c>
      <c r="Q75" s="15">
        <v>0</v>
      </c>
      <c r="R75" s="15">
        <v>0</v>
      </c>
      <c r="S75" s="16" cm="1">
        <f t="array" ref="S75">SUMPRODUCT((1-D75:R75),$D$2:$R$2)</f>
        <v>41419</v>
      </c>
    </row>
    <row r="76" spans="1:19" x14ac:dyDescent="0.35">
      <c r="A76" s="14" t="str">
        <f>A75</f>
        <v>COAL_OFF_2050_PMR1</v>
      </c>
      <c r="B76">
        <f>B75+1</f>
        <v>2026</v>
      </c>
      <c r="C76">
        <v>1</v>
      </c>
      <c r="D76" s="15">
        <v>0</v>
      </c>
      <c r="E76" s="15">
        <v>0</v>
      </c>
      <c r="F76" s="15">
        <v>0</v>
      </c>
      <c r="G76" s="15">
        <v>0</v>
      </c>
      <c r="H76" s="15">
        <v>0</v>
      </c>
      <c r="I76" s="15">
        <v>0</v>
      </c>
      <c r="J76" s="15">
        <v>0</v>
      </c>
      <c r="K76" s="15">
        <v>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6" cm="1">
        <f t="array" ref="S76">SUMPRODUCT((1-D76:R76),$D$2:$R$2)</f>
        <v>41419</v>
      </c>
    </row>
    <row r="77" spans="1:19" x14ac:dyDescent="0.35">
      <c r="A77" s="14" t="str">
        <f t="shared" ref="A77:A110" si="44">A76</f>
        <v>COAL_OFF_2050_PMR1</v>
      </c>
      <c r="B77">
        <f t="shared" ref="B77:B95" si="45">B76+1</f>
        <v>2027</v>
      </c>
      <c r="C77">
        <v>1</v>
      </c>
      <c r="D77" s="15">
        <v>0</v>
      </c>
      <c r="E77" s="15">
        <v>0</v>
      </c>
      <c r="F77" s="15">
        <v>0</v>
      </c>
      <c r="G77" s="15">
        <v>0</v>
      </c>
      <c r="H77" s="15">
        <v>0</v>
      </c>
      <c r="I77" s="15">
        <v>0</v>
      </c>
      <c r="J77" s="15">
        <v>0</v>
      </c>
      <c r="K77" s="15">
        <v>0</v>
      </c>
      <c r="L77" s="15">
        <v>0</v>
      </c>
      <c r="M77" s="15">
        <v>0</v>
      </c>
      <c r="N77" s="15">
        <v>0</v>
      </c>
      <c r="O77" s="15">
        <v>0</v>
      </c>
      <c r="P77" s="15">
        <v>0</v>
      </c>
      <c r="Q77" s="15">
        <v>0</v>
      </c>
      <c r="R77" s="15">
        <v>0</v>
      </c>
      <c r="S77" s="16" cm="1">
        <f t="array" ref="S77">SUMPRODUCT((1-D77:R77),$D$2:$R$2)</f>
        <v>41419</v>
      </c>
    </row>
    <row r="78" spans="1:19" x14ac:dyDescent="0.35">
      <c r="A78" s="14" t="str">
        <f t="shared" si="44"/>
        <v>COAL_OFF_2050_PMR1</v>
      </c>
      <c r="B78">
        <f t="shared" si="45"/>
        <v>2028</v>
      </c>
      <c r="C78">
        <v>1</v>
      </c>
      <c r="D78" s="15">
        <v>0</v>
      </c>
      <c r="E78" s="15">
        <v>0</v>
      </c>
      <c r="F78" s="15">
        <v>0</v>
      </c>
      <c r="G78" s="15">
        <v>0</v>
      </c>
      <c r="H78" s="15">
        <v>0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6" cm="1">
        <f t="array" ref="S78">SUMPRODUCT((1-D78:R78),$D$2:$R$2)</f>
        <v>41419</v>
      </c>
    </row>
    <row r="79" spans="1:19" x14ac:dyDescent="0.35">
      <c r="A79" s="14" t="str">
        <f t="shared" si="44"/>
        <v>COAL_OFF_2050_PMR1</v>
      </c>
      <c r="B79">
        <f t="shared" si="45"/>
        <v>2029</v>
      </c>
      <c r="C79">
        <v>1</v>
      </c>
      <c r="D79" s="15">
        <v>0</v>
      </c>
      <c r="E79" s="15">
        <v>0</v>
      </c>
      <c r="F79" s="15">
        <v>0</v>
      </c>
      <c r="G79" s="15">
        <v>0</v>
      </c>
      <c r="H79" s="15">
        <v>0</v>
      </c>
      <c r="I79" s="15">
        <v>0</v>
      </c>
      <c r="J79" s="15">
        <v>0</v>
      </c>
      <c r="K79" s="15">
        <v>0</v>
      </c>
      <c r="L79" s="15">
        <v>0</v>
      </c>
      <c r="M79" s="15">
        <v>0</v>
      </c>
      <c r="N79" s="15">
        <v>0</v>
      </c>
      <c r="O79" s="15">
        <v>0</v>
      </c>
      <c r="P79" s="15">
        <v>0</v>
      </c>
      <c r="Q79" s="15">
        <v>0</v>
      </c>
      <c r="R79" s="15">
        <v>0</v>
      </c>
      <c r="S79" s="16" cm="1">
        <f t="array" ref="S79">SUMPRODUCT((1-D79:R79),$D$2:$R$2)</f>
        <v>41419</v>
      </c>
    </row>
    <row r="80" spans="1:19" x14ac:dyDescent="0.35">
      <c r="A80" s="14" t="str">
        <f t="shared" si="44"/>
        <v>COAL_OFF_2050_PMR1</v>
      </c>
      <c r="B80">
        <f t="shared" si="45"/>
        <v>2030</v>
      </c>
      <c r="C80">
        <v>1</v>
      </c>
      <c r="D80" s="15">
        <f>5/6</f>
        <v>0.83333333333333337</v>
      </c>
      <c r="E80" s="15">
        <f>4/8</f>
        <v>0.5</v>
      </c>
      <c r="F80" s="15">
        <v>0</v>
      </c>
      <c r="G80" s="15">
        <v>1</v>
      </c>
      <c r="H80" s="15">
        <v>1</v>
      </c>
      <c r="I80" s="15">
        <v>1</v>
      </c>
      <c r="J80" s="15">
        <v>0</v>
      </c>
      <c r="K80" s="15">
        <v>1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6" cm="1">
        <f t="array" ref="S80">SUMPRODUCT((1-D80:R80),$D$2:$R$2)</f>
        <v>34460.5</v>
      </c>
    </row>
    <row r="81" spans="1:19" x14ac:dyDescent="0.35">
      <c r="A81" s="14" t="str">
        <f t="shared" si="44"/>
        <v>COAL_OFF_2050_PMR1</v>
      </c>
      <c r="B81">
        <f t="shared" si="45"/>
        <v>2031</v>
      </c>
      <c r="C81">
        <v>1</v>
      </c>
      <c r="D81" s="15">
        <f>5/6</f>
        <v>0.83333333333333337</v>
      </c>
      <c r="E81" s="15">
        <f>4/8</f>
        <v>0.5</v>
      </c>
      <c r="F81" s="15">
        <v>0</v>
      </c>
      <c r="G81" s="15">
        <f>G80</f>
        <v>1</v>
      </c>
      <c r="H81" s="15">
        <f>H80</f>
        <v>1</v>
      </c>
      <c r="I81" s="15">
        <f>I80</f>
        <v>1</v>
      </c>
      <c r="J81" s="15">
        <v>0</v>
      </c>
      <c r="K81" s="15">
        <f>K80</f>
        <v>1</v>
      </c>
      <c r="L81" s="15">
        <v>0</v>
      </c>
      <c r="M81" s="15">
        <v>0</v>
      </c>
      <c r="N81" s="15">
        <v>0</v>
      </c>
      <c r="O81" s="15">
        <v>0</v>
      </c>
      <c r="P81" s="15">
        <v>0</v>
      </c>
      <c r="Q81" s="15">
        <v>0</v>
      </c>
      <c r="R81" s="15">
        <f>2/6</f>
        <v>0.33333333333333331</v>
      </c>
      <c r="S81" s="16" cm="1">
        <f t="array" ref="S81">SUMPRODUCT((1-D81:R81),$D$2:$R$2)</f>
        <v>33290.5</v>
      </c>
    </row>
    <row r="82" spans="1:19" x14ac:dyDescent="0.35">
      <c r="A82" s="14" t="str">
        <f t="shared" si="44"/>
        <v>COAL_OFF_2050_PMR1</v>
      </c>
      <c r="B82">
        <f t="shared" si="45"/>
        <v>2032</v>
      </c>
      <c r="C82">
        <v>1</v>
      </c>
      <c r="D82" s="15">
        <f>5/6</f>
        <v>0.83333333333333337</v>
      </c>
      <c r="E82" s="15">
        <f>E81+1/8</f>
        <v>0.625</v>
      </c>
      <c r="F82" s="15">
        <v>0</v>
      </c>
      <c r="G82" s="15">
        <f t="shared" ref="G82:J97" si="46">G81</f>
        <v>1</v>
      </c>
      <c r="H82" s="15">
        <f t="shared" si="46"/>
        <v>1</v>
      </c>
      <c r="I82" s="15">
        <f t="shared" si="46"/>
        <v>1</v>
      </c>
      <c r="J82" s="15">
        <v>0</v>
      </c>
      <c r="K82" s="15">
        <f t="shared" ref="K82:L102" si="47">K81</f>
        <v>1</v>
      </c>
      <c r="L82" s="15">
        <v>0</v>
      </c>
      <c r="M82" s="15">
        <v>0</v>
      </c>
      <c r="N82" s="15">
        <v>0</v>
      </c>
      <c r="O82" s="15">
        <v>0</v>
      </c>
      <c r="P82" s="15">
        <f>0.5</f>
        <v>0.5</v>
      </c>
      <c r="Q82" s="15">
        <v>0</v>
      </c>
      <c r="R82" s="15">
        <f>R81</f>
        <v>0.33333333333333331</v>
      </c>
      <c r="S82" s="16" cm="1">
        <f t="array" ref="S82">SUMPRODUCT((1-D82:R82),$D$2:$R$2)</f>
        <v>31380.375</v>
      </c>
    </row>
    <row r="83" spans="1:19" x14ac:dyDescent="0.35">
      <c r="A83" s="14" t="str">
        <f t="shared" si="44"/>
        <v>COAL_OFF_2050_PMR1</v>
      </c>
      <c r="B83">
        <f t="shared" si="45"/>
        <v>2033</v>
      </c>
      <c r="C83">
        <v>1</v>
      </c>
      <c r="D83" s="15">
        <v>1</v>
      </c>
      <c r="E83" s="15">
        <v>1</v>
      </c>
      <c r="F83" s="15">
        <v>0</v>
      </c>
      <c r="G83" s="15">
        <f t="shared" si="46"/>
        <v>1</v>
      </c>
      <c r="H83" s="15">
        <f t="shared" si="46"/>
        <v>1</v>
      </c>
      <c r="I83" s="15">
        <f t="shared" si="46"/>
        <v>1</v>
      </c>
      <c r="J83" s="15">
        <v>0</v>
      </c>
      <c r="K83" s="15">
        <f t="shared" si="47"/>
        <v>1</v>
      </c>
      <c r="L83" s="15">
        <v>0</v>
      </c>
      <c r="M83" s="15">
        <v>0</v>
      </c>
      <c r="N83" s="15">
        <v>0</v>
      </c>
      <c r="O83" s="15">
        <v>0</v>
      </c>
      <c r="P83" s="15">
        <f t="shared" ref="P83:P86" si="48">0.5</f>
        <v>0.5</v>
      </c>
      <c r="Q83" s="15">
        <v>0</v>
      </c>
      <c r="R83" s="15">
        <f>3/6</f>
        <v>0.5</v>
      </c>
      <c r="S83" s="16" cm="1">
        <f t="array" ref="S83">SUMPRODUCT((1-D83:R83),$D$2:$R$2)</f>
        <v>29890</v>
      </c>
    </row>
    <row r="84" spans="1:19" x14ac:dyDescent="0.35">
      <c r="A84" s="14" t="str">
        <f t="shared" si="44"/>
        <v>COAL_OFF_2050_PMR1</v>
      </c>
      <c r="B84">
        <f t="shared" si="45"/>
        <v>2034</v>
      </c>
      <c r="C84">
        <v>1</v>
      </c>
      <c r="D84" s="15">
        <f>D83</f>
        <v>1</v>
      </c>
      <c r="E84" s="15">
        <f>E83</f>
        <v>1</v>
      </c>
      <c r="F84" s="15">
        <v>0</v>
      </c>
      <c r="G84" s="15">
        <f t="shared" si="46"/>
        <v>1</v>
      </c>
      <c r="H84" s="15">
        <f t="shared" si="46"/>
        <v>1</v>
      </c>
      <c r="I84" s="15">
        <f t="shared" si="46"/>
        <v>1</v>
      </c>
      <c r="J84" s="15">
        <v>0</v>
      </c>
      <c r="K84" s="15">
        <f t="shared" si="47"/>
        <v>1</v>
      </c>
      <c r="L84" s="15">
        <v>0</v>
      </c>
      <c r="M84" s="15">
        <v>0</v>
      </c>
      <c r="N84" s="15">
        <v>0</v>
      </c>
      <c r="O84" s="15">
        <v>0</v>
      </c>
      <c r="P84" s="15">
        <f t="shared" si="48"/>
        <v>0.5</v>
      </c>
      <c r="Q84" s="15">
        <v>0</v>
      </c>
      <c r="R84" s="15">
        <v>1</v>
      </c>
      <c r="S84" s="16" cm="1">
        <f t="array" ref="S84">SUMPRODUCT((1-D84:R84),$D$2:$R$2)</f>
        <v>28135</v>
      </c>
    </row>
    <row r="85" spans="1:19" x14ac:dyDescent="0.35">
      <c r="A85" s="14" t="str">
        <f t="shared" si="44"/>
        <v>COAL_OFF_2050_PMR1</v>
      </c>
      <c r="B85">
        <f t="shared" si="45"/>
        <v>2035</v>
      </c>
      <c r="C85">
        <v>1</v>
      </c>
      <c r="D85" s="15">
        <f t="shared" ref="D85:J100" si="49">D84</f>
        <v>1</v>
      </c>
      <c r="E85" s="15">
        <f t="shared" si="49"/>
        <v>1</v>
      </c>
      <c r="F85" s="15">
        <f>2/5</f>
        <v>0.4</v>
      </c>
      <c r="G85" s="15">
        <f t="shared" si="46"/>
        <v>1</v>
      </c>
      <c r="H85" s="15">
        <f t="shared" si="46"/>
        <v>1</v>
      </c>
      <c r="I85" s="15">
        <f t="shared" si="46"/>
        <v>1</v>
      </c>
      <c r="J85" s="15">
        <v>0</v>
      </c>
      <c r="K85" s="15">
        <f t="shared" si="47"/>
        <v>1</v>
      </c>
      <c r="L85" s="15">
        <v>0</v>
      </c>
      <c r="M85" s="15">
        <v>0</v>
      </c>
      <c r="N85" s="15">
        <v>0</v>
      </c>
      <c r="O85" s="15">
        <v>0</v>
      </c>
      <c r="P85" s="15">
        <f t="shared" si="48"/>
        <v>0.5</v>
      </c>
      <c r="Q85" s="15">
        <v>0</v>
      </c>
      <c r="R85" s="15">
        <f>R84</f>
        <v>1</v>
      </c>
      <c r="S85" s="16" cm="1">
        <f t="array" ref="S85">SUMPRODUCT((1-D85:R85),$D$2:$R$2)</f>
        <v>26985</v>
      </c>
    </row>
    <row r="86" spans="1:19" x14ac:dyDescent="0.35">
      <c r="A86" s="14" t="str">
        <f t="shared" si="44"/>
        <v>COAL_OFF_2050_PMR1</v>
      </c>
      <c r="B86">
        <f t="shared" si="45"/>
        <v>2036</v>
      </c>
      <c r="C86">
        <v>1</v>
      </c>
      <c r="D86" s="15">
        <f t="shared" si="49"/>
        <v>1</v>
      </c>
      <c r="E86" s="15">
        <f t="shared" si="49"/>
        <v>1</v>
      </c>
      <c r="F86" s="15">
        <v>1</v>
      </c>
      <c r="G86" s="15">
        <f t="shared" si="46"/>
        <v>1</v>
      </c>
      <c r="H86" s="15">
        <f t="shared" si="46"/>
        <v>1</v>
      </c>
      <c r="I86" s="15">
        <f t="shared" si="46"/>
        <v>1</v>
      </c>
      <c r="J86" s="15">
        <v>0</v>
      </c>
      <c r="K86" s="15">
        <f t="shared" si="47"/>
        <v>1</v>
      </c>
      <c r="L86" s="15">
        <v>0</v>
      </c>
      <c r="M86" s="15">
        <v>0</v>
      </c>
      <c r="N86" s="15">
        <v>0</v>
      </c>
      <c r="O86" s="15">
        <v>0</v>
      </c>
      <c r="P86" s="15">
        <f t="shared" si="48"/>
        <v>0.5</v>
      </c>
      <c r="Q86" s="15">
        <v>0</v>
      </c>
      <c r="R86" s="15">
        <f t="shared" ref="R86:R110" si="50">R85</f>
        <v>1</v>
      </c>
      <c r="S86" s="16" cm="1">
        <f t="array" ref="S86">SUMPRODUCT((1-D86:R86),$D$2:$R$2)</f>
        <v>25260</v>
      </c>
    </row>
    <row r="87" spans="1:19" x14ac:dyDescent="0.35">
      <c r="A87" s="14" t="str">
        <f t="shared" si="44"/>
        <v>COAL_OFF_2050_PMR1</v>
      </c>
      <c r="B87">
        <f t="shared" si="45"/>
        <v>2037</v>
      </c>
      <c r="C87">
        <v>1</v>
      </c>
      <c r="D87" s="15">
        <f t="shared" si="49"/>
        <v>1</v>
      </c>
      <c r="E87" s="15">
        <f t="shared" si="49"/>
        <v>1</v>
      </c>
      <c r="F87" s="15">
        <f>F86</f>
        <v>1</v>
      </c>
      <c r="G87" s="15">
        <f t="shared" si="46"/>
        <v>1</v>
      </c>
      <c r="H87" s="15">
        <f t="shared" si="46"/>
        <v>1</v>
      </c>
      <c r="I87" s="15">
        <f t="shared" si="46"/>
        <v>1</v>
      </c>
      <c r="J87" s="15">
        <v>0</v>
      </c>
      <c r="K87" s="15">
        <f t="shared" si="47"/>
        <v>1</v>
      </c>
      <c r="L87" s="15">
        <v>0</v>
      </c>
      <c r="M87" s="15">
        <v>0</v>
      </c>
      <c r="N87" s="15">
        <v>0</v>
      </c>
      <c r="O87" s="15">
        <v>0</v>
      </c>
      <c r="P87" s="15">
        <v>1</v>
      </c>
      <c r="Q87" s="15">
        <v>0</v>
      </c>
      <c r="R87" s="15">
        <f t="shared" si="50"/>
        <v>1</v>
      </c>
      <c r="S87" s="16" cm="1">
        <f t="array" ref="S87">SUMPRODUCT((1-D87:R87),$D$2:$R$2)</f>
        <v>23535</v>
      </c>
    </row>
    <row r="88" spans="1:19" x14ac:dyDescent="0.35">
      <c r="A88" s="14" t="str">
        <f t="shared" si="44"/>
        <v>COAL_OFF_2050_PMR1</v>
      </c>
      <c r="B88">
        <f t="shared" si="45"/>
        <v>2038</v>
      </c>
      <c r="C88">
        <v>1</v>
      </c>
      <c r="D88" s="15">
        <f t="shared" si="49"/>
        <v>1</v>
      </c>
      <c r="E88" s="15">
        <f t="shared" si="49"/>
        <v>1</v>
      </c>
      <c r="F88" s="15">
        <f t="shared" si="49"/>
        <v>1</v>
      </c>
      <c r="G88" s="15">
        <f t="shared" si="46"/>
        <v>1</v>
      </c>
      <c r="H88" s="15">
        <f t="shared" si="46"/>
        <v>1</v>
      </c>
      <c r="I88" s="15">
        <f t="shared" si="46"/>
        <v>1</v>
      </c>
      <c r="J88" s="15">
        <f>2/6</f>
        <v>0.33333333333333331</v>
      </c>
      <c r="K88" s="15">
        <f t="shared" si="47"/>
        <v>1</v>
      </c>
      <c r="L88" s="15">
        <v>0</v>
      </c>
      <c r="M88" s="15">
        <v>0</v>
      </c>
      <c r="N88" s="15">
        <v>0</v>
      </c>
      <c r="O88" s="15">
        <v>0</v>
      </c>
      <c r="P88" s="15">
        <f>P87</f>
        <v>1</v>
      </c>
      <c r="Q88" s="15">
        <v>0</v>
      </c>
      <c r="R88" s="15">
        <f t="shared" si="50"/>
        <v>1</v>
      </c>
      <c r="S88" s="16" cm="1">
        <f t="array" ref="S88">SUMPRODUCT((1-D88:R88),$D$2:$R$2)</f>
        <v>22255</v>
      </c>
    </row>
    <row r="89" spans="1:19" x14ac:dyDescent="0.35">
      <c r="A89" s="14" t="str">
        <f t="shared" si="44"/>
        <v>COAL_OFF_2050_PMR1</v>
      </c>
      <c r="B89">
        <f t="shared" si="45"/>
        <v>2039</v>
      </c>
      <c r="C89">
        <v>1</v>
      </c>
      <c r="D89" s="15">
        <f t="shared" si="49"/>
        <v>1</v>
      </c>
      <c r="E89" s="15">
        <f t="shared" si="49"/>
        <v>1</v>
      </c>
      <c r="F89" s="15">
        <f t="shared" si="49"/>
        <v>1</v>
      </c>
      <c r="G89" s="15">
        <f t="shared" si="46"/>
        <v>1</v>
      </c>
      <c r="H89" s="15">
        <f t="shared" si="46"/>
        <v>1</v>
      </c>
      <c r="I89" s="15">
        <f t="shared" si="46"/>
        <v>1</v>
      </c>
      <c r="J89" s="15">
        <f>J88+1/6</f>
        <v>0.5</v>
      </c>
      <c r="K89" s="15">
        <f t="shared" si="47"/>
        <v>1</v>
      </c>
      <c r="L89" s="15">
        <v>0</v>
      </c>
      <c r="M89" s="15">
        <f>2/6</f>
        <v>0.33333333333333331</v>
      </c>
      <c r="N89" s="15">
        <v>0</v>
      </c>
      <c r="O89" s="15">
        <v>0</v>
      </c>
      <c r="P89" s="15">
        <f t="shared" ref="P89:Q104" si="51">P88</f>
        <v>1</v>
      </c>
      <c r="Q89" s="15">
        <v>0</v>
      </c>
      <c r="R89" s="15">
        <f t="shared" si="50"/>
        <v>1</v>
      </c>
      <c r="S89" s="16" cm="1">
        <f t="array" ref="S89">SUMPRODUCT((1-D89:R89),$D$2:$R$2)</f>
        <v>20429</v>
      </c>
    </row>
    <row r="90" spans="1:19" x14ac:dyDescent="0.35">
      <c r="A90" s="14" t="str">
        <f t="shared" si="44"/>
        <v>COAL_OFF_2050_PMR1</v>
      </c>
      <c r="B90">
        <f t="shared" si="45"/>
        <v>2040</v>
      </c>
      <c r="C90">
        <v>1</v>
      </c>
      <c r="D90" s="15">
        <f t="shared" si="49"/>
        <v>1</v>
      </c>
      <c r="E90" s="15">
        <f t="shared" si="49"/>
        <v>1</v>
      </c>
      <c r="F90" s="15">
        <f t="shared" si="49"/>
        <v>1</v>
      </c>
      <c r="G90" s="15">
        <f t="shared" si="46"/>
        <v>1</v>
      </c>
      <c r="H90" s="15">
        <f t="shared" si="46"/>
        <v>1</v>
      </c>
      <c r="I90" s="15">
        <f t="shared" si="46"/>
        <v>1</v>
      </c>
      <c r="J90" s="15">
        <v>0.5</v>
      </c>
      <c r="K90" s="15">
        <f t="shared" si="47"/>
        <v>1</v>
      </c>
      <c r="L90" s="15">
        <v>0</v>
      </c>
      <c r="M90" s="15">
        <f>4/6</f>
        <v>0.66666666666666663</v>
      </c>
      <c r="N90" s="15">
        <v>0</v>
      </c>
      <c r="O90" s="15">
        <v>0</v>
      </c>
      <c r="P90" s="15">
        <f t="shared" si="51"/>
        <v>1</v>
      </c>
      <c r="Q90" s="15">
        <v>0</v>
      </c>
      <c r="R90" s="15">
        <f t="shared" si="50"/>
        <v>1</v>
      </c>
      <c r="S90" s="16" cm="1">
        <f t="array" ref="S90">SUMPRODUCT((1-D90:R90),$D$2:$R$2)</f>
        <v>19243</v>
      </c>
    </row>
    <row r="91" spans="1:19" x14ac:dyDescent="0.35">
      <c r="A91" s="14" t="str">
        <f t="shared" si="44"/>
        <v>COAL_OFF_2050_PMR1</v>
      </c>
      <c r="B91">
        <f t="shared" si="45"/>
        <v>2041</v>
      </c>
      <c r="C91">
        <v>1</v>
      </c>
      <c r="D91" s="15">
        <f t="shared" si="49"/>
        <v>1</v>
      </c>
      <c r="E91" s="15">
        <f t="shared" si="49"/>
        <v>1</v>
      </c>
      <c r="F91" s="15">
        <f t="shared" si="49"/>
        <v>1</v>
      </c>
      <c r="G91" s="15">
        <f t="shared" si="46"/>
        <v>1</v>
      </c>
      <c r="H91" s="15">
        <f t="shared" si="46"/>
        <v>1</v>
      </c>
      <c r="I91" s="15">
        <f t="shared" si="46"/>
        <v>1</v>
      </c>
      <c r="J91" s="15">
        <f>J90</f>
        <v>0.5</v>
      </c>
      <c r="K91" s="15">
        <f t="shared" si="47"/>
        <v>1</v>
      </c>
      <c r="L91" s="15">
        <v>0</v>
      </c>
      <c r="M91" s="15">
        <v>1</v>
      </c>
      <c r="N91" s="15">
        <v>0</v>
      </c>
      <c r="O91" s="15">
        <f>1/6</f>
        <v>0.16666666666666666</v>
      </c>
      <c r="P91" s="15">
        <f t="shared" si="51"/>
        <v>1</v>
      </c>
      <c r="Q91" s="15">
        <v>0</v>
      </c>
      <c r="R91" s="15">
        <f t="shared" si="50"/>
        <v>1</v>
      </c>
      <c r="S91" s="16" cm="1">
        <f t="array" ref="S91">SUMPRODUCT((1-D91:R91),$D$2:$R$2)</f>
        <v>17442</v>
      </c>
    </row>
    <row r="92" spans="1:19" x14ac:dyDescent="0.35">
      <c r="A92" s="14" t="str">
        <f t="shared" si="44"/>
        <v>COAL_OFF_2050_PMR1</v>
      </c>
      <c r="B92">
        <f t="shared" si="45"/>
        <v>2042</v>
      </c>
      <c r="C92">
        <v>1</v>
      </c>
      <c r="D92" s="15">
        <f t="shared" si="49"/>
        <v>1</v>
      </c>
      <c r="E92" s="15">
        <f t="shared" si="49"/>
        <v>1</v>
      </c>
      <c r="F92" s="15">
        <f t="shared" si="49"/>
        <v>1</v>
      </c>
      <c r="G92" s="15">
        <f t="shared" si="46"/>
        <v>1</v>
      </c>
      <c r="H92" s="15">
        <f t="shared" si="46"/>
        <v>1</v>
      </c>
      <c r="I92" s="15">
        <f t="shared" si="46"/>
        <v>1</v>
      </c>
      <c r="J92" s="15">
        <v>1</v>
      </c>
      <c r="K92" s="15">
        <f t="shared" si="47"/>
        <v>1</v>
      </c>
      <c r="L92" s="15">
        <v>0</v>
      </c>
      <c r="M92" s="15">
        <f>M91</f>
        <v>1</v>
      </c>
      <c r="N92" s="15">
        <v>0</v>
      </c>
      <c r="O92" s="15">
        <f>1/6</f>
        <v>0.16666666666666666</v>
      </c>
      <c r="P92" s="15">
        <f t="shared" si="51"/>
        <v>1</v>
      </c>
      <c r="Q92" s="15">
        <v>0</v>
      </c>
      <c r="R92" s="15">
        <f t="shared" si="50"/>
        <v>1</v>
      </c>
      <c r="S92" s="16" cm="1">
        <f t="array" ref="S92">SUMPRODUCT((1-D92:R92),$D$2:$R$2)</f>
        <v>15522</v>
      </c>
    </row>
    <row r="93" spans="1:19" x14ac:dyDescent="0.35">
      <c r="A93" s="14" t="str">
        <f t="shared" si="44"/>
        <v>COAL_OFF_2050_PMR1</v>
      </c>
      <c r="B93">
        <f t="shared" si="45"/>
        <v>2043</v>
      </c>
      <c r="C93">
        <v>1</v>
      </c>
      <c r="D93" s="15">
        <f t="shared" si="49"/>
        <v>1</v>
      </c>
      <c r="E93" s="15">
        <f t="shared" si="49"/>
        <v>1</v>
      </c>
      <c r="F93" s="15">
        <f t="shared" si="49"/>
        <v>1</v>
      </c>
      <c r="G93" s="15">
        <f t="shared" si="46"/>
        <v>1</v>
      </c>
      <c r="H93" s="15">
        <f t="shared" si="46"/>
        <v>1</v>
      </c>
      <c r="I93" s="15">
        <f t="shared" si="46"/>
        <v>1</v>
      </c>
      <c r="J93" s="15">
        <f t="shared" si="46"/>
        <v>1</v>
      </c>
      <c r="K93" s="15">
        <f t="shared" si="47"/>
        <v>1</v>
      </c>
      <c r="L93" s="15">
        <v>0</v>
      </c>
      <c r="M93" s="15">
        <f t="shared" ref="M93:N108" si="52">M92</f>
        <v>1</v>
      </c>
      <c r="N93" s="15">
        <f>1/6</f>
        <v>0.16666666666666666</v>
      </c>
      <c r="O93" s="15">
        <f>3/6</f>
        <v>0.5</v>
      </c>
      <c r="P93" s="15">
        <f t="shared" si="51"/>
        <v>1</v>
      </c>
      <c r="Q93" s="15">
        <v>0</v>
      </c>
      <c r="R93" s="15">
        <f t="shared" si="50"/>
        <v>1</v>
      </c>
      <c r="S93" s="16" cm="1">
        <f t="array" ref="S93">SUMPRODUCT((1-D93:R93),$D$2:$R$2)</f>
        <v>13657.5</v>
      </c>
    </row>
    <row r="94" spans="1:19" x14ac:dyDescent="0.35">
      <c r="A94" s="14" t="str">
        <f t="shared" si="44"/>
        <v>COAL_OFF_2050_PMR1</v>
      </c>
      <c r="B94">
        <f t="shared" si="45"/>
        <v>2044</v>
      </c>
      <c r="C94">
        <v>1</v>
      </c>
      <c r="D94" s="15">
        <f t="shared" si="49"/>
        <v>1</v>
      </c>
      <c r="E94" s="15">
        <f t="shared" si="49"/>
        <v>1</v>
      </c>
      <c r="F94" s="15">
        <f t="shared" si="49"/>
        <v>1</v>
      </c>
      <c r="G94" s="15">
        <f t="shared" si="46"/>
        <v>1</v>
      </c>
      <c r="H94" s="15">
        <f t="shared" si="46"/>
        <v>1</v>
      </c>
      <c r="I94" s="15">
        <f t="shared" si="46"/>
        <v>1</v>
      </c>
      <c r="J94" s="15">
        <f t="shared" si="46"/>
        <v>1</v>
      </c>
      <c r="K94" s="15">
        <f t="shared" si="47"/>
        <v>1</v>
      </c>
      <c r="L94" s="15">
        <v>0</v>
      </c>
      <c r="M94" s="15">
        <f t="shared" si="52"/>
        <v>1</v>
      </c>
      <c r="N94" s="15">
        <f>2/6</f>
        <v>0.33333333333333331</v>
      </c>
      <c r="O94" s="15">
        <f>5/6</f>
        <v>0.83333333333333337</v>
      </c>
      <c r="P94" s="15">
        <f t="shared" si="51"/>
        <v>1</v>
      </c>
      <c r="Q94" s="15">
        <v>0</v>
      </c>
      <c r="R94" s="15">
        <f t="shared" si="50"/>
        <v>1</v>
      </c>
      <c r="S94" s="16" cm="1">
        <f t="array" ref="S94">SUMPRODUCT((1-D94:R94),$D$2:$R$2)</f>
        <v>11793</v>
      </c>
    </row>
    <row r="95" spans="1:19" x14ac:dyDescent="0.35">
      <c r="A95" s="14" t="str">
        <f t="shared" si="44"/>
        <v>COAL_OFF_2050_PMR1</v>
      </c>
      <c r="B95">
        <f t="shared" si="45"/>
        <v>2045</v>
      </c>
      <c r="C95">
        <v>1</v>
      </c>
      <c r="D95" s="15">
        <f t="shared" si="49"/>
        <v>1</v>
      </c>
      <c r="E95" s="15">
        <f t="shared" si="49"/>
        <v>1</v>
      </c>
      <c r="F95" s="15">
        <f t="shared" si="49"/>
        <v>1</v>
      </c>
      <c r="G95" s="15">
        <f t="shared" si="46"/>
        <v>1</v>
      </c>
      <c r="H95" s="15">
        <f t="shared" si="46"/>
        <v>1</v>
      </c>
      <c r="I95" s="15">
        <f t="shared" si="46"/>
        <v>1</v>
      </c>
      <c r="J95" s="15">
        <f t="shared" si="46"/>
        <v>1</v>
      </c>
      <c r="K95" s="15">
        <f t="shared" si="47"/>
        <v>1</v>
      </c>
      <c r="L95" s="15">
        <v>0</v>
      </c>
      <c r="M95" s="15">
        <f t="shared" si="52"/>
        <v>1</v>
      </c>
      <c r="N95" s="15">
        <f>4/6</f>
        <v>0.66666666666666663</v>
      </c>
      <c r="O95" s="15">
        <v>1</v>
      </c>
      <c r="P95" s="15">
        <f t="shared" si="51"/>
        <v>1</v>
      </c>
      <c r="Q95" s="15">
        <v>0</v>
      </c>
      <c r="R95" s="15">
        <f t="shared" si="50"/>
        <v>1</v>
      </c>
      <c r="S95" s="16" cm="1">
        <f t="array" ref="S95">SUMPRODUCT((1-D95:R95),$D$2:$R$2)</f>
        <v>9909</v>
      </c>
    </row>
    <row r="96" spans="1:19" x14ac:dyDescent="0.35">
      <c r="A96" s="14" t="str">
        <f t="shared" si="44"/>
        <v>COAL_OFF_2050_PMR1</v>
      </c>
      <c r="B96">
        <f>B95+1</f>
        <v>2046</v>
      </c>
      <c r="C96">
        <v>1</v>
      </c>
      <c r="D96" s="15">
        <f t="shared" si="49"/>
        <v>1</v>
      </c>
      <c r="E96" s="15">
        <f t="shared" si="49"/>
        <v>1</v>
      </c>
      <c r="F96" s="15">
        <f t="shared" si="49"/>
        <v>1</v>
      </c>
      <c r="G96" s="15">
        <f t="shared" si="46"/>
        <v>1</v>
      </c>
      <c r="H96" s="15">
        <f t="shared" si="46"/>
        <v>1</v>
      </c>
      <c r="I96" s="15">
        <f t="shared" si="46"/>
        <v>1</v>
      </c>
      <c r="J96" s="15">
        <f t="shared" si="46"/>
        <v>1</v>
      </c>
      <c r="K96" s="15">
        <f t="shared" si="47"/>
        <v>1</v>
      </c>
      <c r="L96" s="15">
        <v>0</v>
      </c>
      <c r="M96" s="15">
        <f t="shared" si="52"/>
        <v>1</v>
      </c>
      <c r="N96" s="15">
        <v>1</v>
      </c>
      <c r="O96" s="15">
        <f>O95</f>
        <v>1</v>
      </c>
      <c r="P96" s="15">
        <f t="shared" si="51"/>
        <v>1</v>
      </c>
      <c r="Q96" s="15">
        <f>1/6</f>
        <v>0.16666666666666666</v>
      </c>
      <c r="R96" s="15">
        <f t="shared" si="50"/>
        <v>1</v>
      </c>
      <c r="S96" s="16" cm="1">
        <f t="array" ref="S96">SUMPRODUCT((1-D96:R96),$D$2:$R$2)</f>
        <v>7920</v>
      </c>
    </row>
    <row r="97" spans="1:19" x14ac:dyDescent="0.35">
      <c r="A97" s="14" t="str">
        <f t="shared" si="44"/>
        <v>COAL_OFF_2050_PMR1</v>
      </c>
      <c r="B97">
        <f t="shared" ref="B97:B103" si="53">B96+1</f>
        <v>2047</v>
      </c>
      <c r="C97">
        <v>1</v>
      </c>
      <c r="D97" s="15">
        <f t="shared" si="49"/>
        <v>1</v>
      </c>
      <c r="E97" s="15">
        <f t="shared" si="49"/>
        <v>1</v>
      </c>
      <c r="F97" s="15">
        <f t="shared" si="49"/>
        <v>1</v>
      </c>
      <c r="G97" s="15">
        <f t="shared" si="46"/>
        <v>1</v>
      </c>
      <c r="H97" s="15">
        <f t="shared" si="46"/>
        <v>1</v>
      </c>
      <c r="I97" s="15">
        <f t="shared" si="46"/>
        <v>1</v>
      </c>
      <c r="J97" s="15">
        <f t="shared" si="46"/>
        <v>1</v>
      </c>
      <c r="K97" s="15">
        <f t="shared" si="47"/>
        <v>1</v>
      </c>
      <c r="L97" s="15">
        <v>0</v>
      </c>
      <c r="M97" s="15">
        <f t="shared" si="52"/>
        <v>1</v>
      </c>
      <c r="N97" s="15">
        <f>N96</f>
        <v>1</v>
      </c>
      <c r="O97" s="15">
        <f t="shared" ref="O97:Q110" si="54">O96</f>
        <v>1</v>
      </c>
      <c r="P97" s="15">
        <f t="shared" si="51"/>
        <v>1</v>
      </c>
      <c r="Q97" s="15">
        <f>4/6</f>
        <v>0.66666666666666663</v>
      </c>
      <c r="R97" s="15">
        <f t="shared" si="50"/>
        <v>1</v>
      </c>
      <c r="S97" s="16" cm="1">
        <f t="array" ref="S97">SUMPRODUCT((1-D97:R97),$D$2:$R$2)</f>
        <v>5760</v>
      </c>
    </row>
    <row r="98" spans="1:19" x14ac:dyDescent="0.35">
      <c r="A98" s="14" t="str">
        <f t="shared" si="44"/>
        <v>COAL_OFF_2050_PMR1</v>
      </c>
      <c r="B98">
        <f t="shared" si="53"/>
        <v>2048</v>
      </c>
      <c r="C98">
        <v>1</v>
      </c>
      <c r="D98" s="15">
        <f t="shared" si="49"/>
        <v>1</v>
      </c>
      <c r="E98" s="15">
        <f t="shared" si="49"/>
        <v>1</v>
      </c>
      <c r="F98" s="15">
        <f t="shared" si="49"/>
        <v>1</v>
      </c>
      <c r="G98" s="15">
        <f t="shared" si="49"/>
        <v>1</v>
      </c>
      <c r="H98" s="15">
        <f t="shared" si="49"/>
        <v>1</v>
      </c>
      <c r="I98" s="15">
        <f t="shared" si="49"/>
        <v>1</v>
      </c>
      <c r="J98" s="15">
        <f t="shared" si="49"/>
        <v>1</v>
      </c>
      <c r="K98" s="15">
        <f t="shared" si="47"/>
        <v>1</v>
      </c>
      <c r="L98" s="15">
        <f>1/6</f>
        <v>0.16666666666666666</v>
      </c>
      <c r="M98" s="15">
        <f t="shared" si="52"/>
        <v>1</v>
      </c>
      <c r="N98" s="15">
        <f t="shared" si="52"/>
        <v>1</v>
      </c>
      <c r="O98" s="15">
        <f t="shared" si="54"/>
        <v>1</v>
      </c>
      <c r="P98" s="15">
        <f t="shared" si="51"/>
        <v>1</v>
      </c>
      <c r="Q98" s="15">
        <v>1</v>
      </c>
      <c r="R98" s="15">
        <f t="shared" si="50"/>
        <v>1</v>
      </c>
      <c r="S98" s="16" cm="1">
        <f t="array" ref="S98">SUMPRODUCT((1-D98:R98),$D$2:$R$2)</f>
        <v>3600</v>
      </c>
    </row>
    <row r="99" spans="1:19" x14ac:dyDescent="0.35">
      <c r="A99" s="14" t="str">
        <f t="shared" si="44"/>
        <v>COAL_OFF_2050_PMR1</v>
      </c>
      <c r="B99">
        <f t="shared" si="53"/>
        <v>2049</v>
      </c>
      <c r="C99">
        <v>1</v>
      </c>
      <c r="D99" s="15">
        <f t="shared" si="49"/>
        <v>1</v>
      </c>
      <c r="E99" s="15">
        <f t="shared" si="49"/>
        <v>1</v>
      </c>
      <c r="F99" s="15">
        <f t="shared" si="49"/>
        <v>1</v>
      </c>
      <c r="G99" s="15">
        <f t="shared" si="49"/>
        <v>1</v>
      </c>
      <c r="H99" s="15">
        <f t="shared" si="49"/>
        <v>1</v>
      </c>
      <c r="I99" s="15">
        <f t="shared" si="49"/>
        <v>1</v>
      </c>
      <c r="J99" s="15">
        <f t="shared" si="49"/>
        <v>1</v>
      </c>
      <c r="K99" s="15">
        <f t="shared" si="47"/>
        <v>1</v>
      </c>
      <c r="L99" s="15">
        <f>L98+2/6</f>
        <v>0.5</v>
      </c>
      <c r="M99" s="15">
        <f t="shared" si="52"/>
        <v>1</v>
      </c>
      <c r="N99" s="15">
        <f t="shared" si="52"/>
        <v>1</v>
      </c>
      <c r="O99" s="15">
        <f t="shared" si="54"/>
        <v>1</v>
      </c>
      <c r="P99" s="15">
        <f t="shared" si="51"/>
        <v>1</v>
      </c>
      <c r="Q99" s="15">
        <f>Q98</f>
        <v>1</v>
      </c>
      <c r="R99" s="15">
        <f t="shared" si="50"/>
        <v>1</v>
      </c>
      <c r="S99" s="16" cm="1">
        <f t="array" ref="S99">SUMPRODUCT((1-D99:R99),$D$2:$R$2)</f>
        <v>2160</v>
      </c>
    </row>
    <row r="100" spans="1:19" x14ac:dyDescent="0.35">
      <c r="A100" s="14" t="str">
        <f t="shared" si="44"/>
        <v>COAL_OFF_2050_PMR1</v>
      </c>
      <c r="B100">
        <f t="shared" si="53"/>
        <v>2050</v>
      </c>
      <c r="C100">
        <v>1</v>
      </c>
      <c r="D100" s="15">
        <f t="shared" si="49"/>
        <v>1</v>
      </c>
      <c r="E100" s="15">
        <f t="shared" si="49"/>
        <v>1</v>
      </c>
      <c r="F100" s="15">
        <f t="shared" si="49"/>
        <v>1</v>
      </c>
      <c r="G100" s="15">
        <f t="shared" si="49"/>
        <v>1</v>
      </c>
      <c r="H100" s="15">
        <f t="shared" si="49"/>
        <v>1</v>
      </c>
      <c r="I100" s="15">
        <f t="shared" si="49"/>
        <v>1</v>
      </c>
      <c r="J100" s="15">
        <f t="shared" si="49"/>
        <v>1</v>
      </c>
      <c r="K100" s="15">
        <f t="shared" si="47"/>
        <v>1</v>
      </c>
      <c r="L100" s="15">
        <v>1</v>
      </c>
      <c r="M100" s="15">
        <f t="shared" si="52"/>
        <v>1</v>
      </c>
      <c r="N100" s="15">
        <f t="shared" si="52"/>
        <v>1</v>
      </c>
      <c r="O100" s="15">
        <f t="shared" si="54"/>
        <v>1</v>
      </c>
      <c r="P100" s="15">
        <f t="shared" si="51"/>
        <v>1</v>
      </c>
      <c r="Q100" s="15">
        <f t="shared" si="51"/>
        <v>1</v>
      </c>
      <c r="R100" s="15">
        <f t="shared" si="50"/>
        <v>1</v>
      </c>
      <c r="S100" s="16" cm="1">
        <f t="array" ref="S100">SUMPRODUCT((1-D100:R100),$D$2:$R$2)</f>
        <v>0</v>
      </c>
    </row>
    <row r="101" spans="1:19" x14ac:dyDescent="0.35">
      <c r="A101" s="14" t="str">
        <f t="shared" si="44"/>
        <v>COAL_OFF_2050_PMR1</v>
      </c>
      <c r="B101">
        <f t="shared" si="53"/>
        <v>2051</v>
      </c>
      <c r="C101">
        <v>1</v>
      </c>
      <c r="D101" s="15">
        <f t="shared" ref="D101:N110" si="55">D100</f>
        <v>1</v>
      </c>
      <c r="E101" s="15">
        <f t="shared" si="55"/>
        <v>1</v>
      </c>
      <c r="F101" s="15">
        <f t="shared" si="55"/>
        <v>1</v>
      </c>
      <c r="G101" s="15">
        <f t="shared" si="55"/>
        <v>1</v>
      </c>
      <c r="H101" s="15">
        <f t="shared" si="55"/>
        <v>1</v>
      </c>
      <c r="I101" s="15">
        <f t="shared" si="55"/>
        <v>1</v>
      </c>
      <c r="J101" s="15">
        <f t="shared" si="55"/>
        <v>1</v>
      </c>
      <c r="K101" s="15">
        <f t="shared" si="47"/>
        <v>1</v>
      </c>
      <c r="L101" s="15">
        <f>L100</f>
        <v>1</v>
      </c>
      <c r="M101" s="15">
        <f t="shared" si="52"/>
        <v>1</v>
      </c>
      <c r="N101" s="15">
        <f t="shared" si="52"/>
        <v>1</v>
      </c>
      <c r="O101" s="15">
        <f t="shared" si="54"/>
        <v>1</v>
      </c>
      <c r="P101" s="15">
        <f t="shared" si="51"/>
        <v>1</v>
      </c>
      <c r="Q101" s="15">
        <f t="shared" si="51"/>
        <v>1</v>
      </c>
      <c r="R101" s="15">
        <f t="shared" si="50"/>
        <v>1</v>
      </c>
      <c r="S101" s="16" cm="1">
        <f t="array" ref="S101">SUMPRODUCT((1-D101:R101),$D$2:$R$2)</f>
        <v>0</v>
      </c>
    </row>
    <row r="102" spans="1:19" x14ac:dyDescent="0.35">
      <c r="A102" s="14" t="str">
        <f t="shared" si="44"/>
        <v>COAL_OFF_2050_PMR1</v>
      </c>
      <c r="B102">
        <f t="shared" si="53"/>
        <v>2052</v>
      </c>
      <c r="C102">
        <v>1</v>
      </c>
      <c r="D102" s="15">
        <f t="shared" si="55"/>
        <v>1</v>
      </c>
      <c r="E102" s="15">
        <f t="shared" si="55"/>
        <v>1</v>
      </c>
      <c r="F102" s="15">
        <f t="shared" si="55"/>
        <v>1</v>
      </c>
      <c r="G102" s="15">
        <f t="shared" si="55"/>
        <v>1</v>
      </c>
      <c r="H102" s="15">
        <f t="shared" si="55"/>
        <v>1</v>
      </c>
      <c r="I102" s="15">
        <f t="shared" si="55"/>
        <v>1</v>
      </c>
      <c r="J102" s="15">
        <f t="shared" si="55"/>
        <v>1</v>
      </c>
      <c r="K102" s="15">
        <f t="shared" si="47"/>
        <v>1</v>
      </c>
      <c r="L102" s="15">
        <f t="shared" si="47"/>
        <v>1</v>
      </c>
      <c r="M102" s="15">
        <f t="shared" si="52"/>
        <v>1</v>
      </c>
      <c r="N102" s="15">
        <f t="shared" si="52"/>
        <v>1</v>
      </c>
      <c r="O102" s="15">
        <f t="shared" si="54"/>
        <v>1</v>
      </c>
      <c r="P102" s="15">
        <f t="shared" si="51"/>
        <v>1</v>
      </c>
      <c r="Q102" s="15">
        <f t="shared" si="51"/>
        <v>1</v>
      </c>
      <c r="R102" s="15">
        <f t="shared" si="50"/>
        <v>1</v>
      </c>
      <c r="S102" s="16" cm="1">
        <f t="array" ref="S102">SUMPRODUCT((1-D102:R102),$D$2:$R$2)</f>
        <v>0</v>
      </c>
    </row>
    <row r="103" spans="1:19" x14ac:dyDescent="0.35">
      <c r="A103" s="14" t="str">
        <f t="shared" si="44"/>
        <v>COAL_OFF_2050_PMR1</v>
      </c>
      <c r="B103">
        <f t="shared" si="53"/>
        <v>2053</v>
      </c>
      <c r="C103">
        <v>1</v>
      </c>
      <c r="D103" s="15">
        <f t="shared" si="55"/>
        <v>1</v>
      </c>
      <c r="E103" s="15">
        <f t="shared" si="55"/>
        <v>1</v>
      </c>
      <c r="F103" s="15">
        <f t="shared" si="55"/>
        <v>1</v>
      </c>
      <c r="G103" s="15">
        <f t="shared" si="55"/>
        <v>1</v>
      </c>
      <c r="H103" s="15">
        <f t="shared" si="55"/>
        <v>1</v>
      </c>
      <c r="I103" s="15">
        <f t="shared" si="55"/>
        <v>1</v>
      </c>
      <c r="J103" s="15">
        <f t="shared" si="55"/>
        <v>1</v>
      </c>
      <c r="K103" s="15">
        <f t="shared" si="55"/>
        <v>1</v>
      </c>
      <c r="L103" s="15">
        <f t="shared" si="55"/>
        <v>1</v>
      </c>
      <c r="M103" s="15">
        <f t="shared" si="52"/>
        <v>1</v>
      </c>
      <c r="N103" s="15">
        <f t="shared" si="52"/>
        <v>1</v>
      </c>
      <c r="O103" s="15">
        <f t="shared" si="54"/>
        <v>1</v>
      </c>
      <c r="P103" s="15">
        <f t="shared" si="51"/>
        <v>1</v>
      </c>
      <c r="Q103" s="15">
        <f t="shared" si="51"/>
        <v>1</v>
      </c>
      <c r="R103" s="15">
        <f t="shared" si="50"/>
        <v>1</v>
      </c>
      <c r="S103" s="16" cm="1">
        <f t="array" ref="S103">SUMPRODUCT((1-D103:R103),$D$2:$R$2)</f>
        <v>0</v>
      </c>
    </row>
    <row r="104" spans="1:19" x14ac:dyDescent="0.35">
      <c r="A104" s="14" t="str">
        <f t="shared" si="44"/>
        <v>COAL_OFF_2050_PMR1</v>
      </c>
      <c r="B104">
        <f>B103+1</f>
        <v>2054</v>
      </c>
      <c r="C104">
        <v>1</v>
      </c>
      <c r="D104" s="15">
        <f t="shared" si="55"/>
        <v>1</v>
      </c>
      <c r="E104" s="15">
        <f t="shared" si="55"/>
        <v>1</v>
      </c>
      <c r="F104" s="15">
        <f t="shared" si="55"/>
        <v>1</v>
      </c>
      <c r="G104" s="15">
        <f t="shared" si="55"/>
        <v>1</v>
      </c>
      <c r="H104" s="15">
        <f t="shared" si="55"/>
        <v>1</v>
      </c>
      <c r="I104" s="15">
        <f t="shared" si="55"/>
        <v>1</v>
      </c>
      <c r="J104" s="15">
        <f t="shared" si="55"/>
        <v>1</v>
      </c>
      <c r="K104" s="15">
        <f t="shared" si="55"/>
        <v>1</v>
      </c>
      <c r="L104" s="15">
        <f t="shared" si="55"/>
        <v>1</v>
      </c>
      <c r="M104" s="15">
        <f t="shared" si="52"/>
        <v>1</v>
      </c>
      <c r="N104" s="15">
        <f t="shared" si="52"/>
        <v>1</v>
      </c>
      <c r="O104" s="15">
        <f t="shared" si="54"/>
        <v>1</v>
      </c>
      <c r="P104" s="15">
        <f t="shared" si="51"/>
        <v>1</v>
      </c>
      <c r="Q104" s="15">
        <f t="shared" si="51"/>
        <v>1</v>
      </c>
      <c r="R104" s="15">
        <f t="shared" si="50"/>
        <v>1</v>
      </c>
      <c r="S104" s="16" cm="1">
        <f t="array" ref="S104">SUMPRODUCT((1-D104:R104),$D$2:$R$2)</f>
        <v>0</v>
      </c>
    </row>
    <row r="105" spans="1:19" x14ac:dyDescent="0.35">
      <c r="A105" s="14" t="str">
        <f t="shared" si="44"/>
        <v>COAL_OFF_2050_PMR1</v>
      </c>
      <c r="B105">
        <f t="shared" ref="B105:B107" si="56">B104+1</f>
        <v>2055</v>
      </c>
      <c r="C105">
        <v>1</v>
      </c>
      <c r="D105" s="15">
        <f t="shared" si="55"/>
        <v>1</v>
      </c>
      <c r="E105" s="15">
        <f t="shared" si="55"/>
        <v>1</v>
      </c>
      <c r="F105" s="15">
        <f t="shared" si="55"/>
        <v>1</v>
      </c>
      <c r="G105" s="15">
        <f t="shared" si="55"/>
        <v>1</v>
      </c>
      <c r="H105" s="15">
        <f t="shared" si="55"/>
        <v>1</v>
      </c>
      <c r="I105" s="15">
        <f t="shared" si="55"/>
        <v>1</v>
      </c>
      <c r="J105" s="15">
        <f t="shared" si="55"/>
        <v>1</v>
      </c>
      <c r="K105" s="15">
        <f t="shared" si="55"/>
        <v>1</v>
      </c>
      <c r="L105" s="15">
        <f t="shared" si="55"/>
        <v>1</v>
      </c>
      <c r="M105" s="15">
        <f t="shared" si="52"/>
        <v>1</v>
      </c>
      <c r="N105" s="15">
        <f t="shared" si="52"/>
        <v>1</v>
      </c>
      <c r="O105" s="15">
        <f t="shared" si="54"/>
        <v>1</v>
      </c>
      <c r="P105" s="15">
        <f t="shared" si="54"/>
        <v>1</v>
      </c>
      <c r="Q105" s="15">
        <f t="shared" si="54"/>
        <v>1</v>
      </c>
      <c r="R105" s="15">
        <f t="shared" si="50"/>
        <v>1</v>
      </c>
      <c r="S105" s="16" cm="1">
        <f t="array" ref="S105">SUMPRODUCT((1-D105:R105),$D$2:$R$2)</f>
        <v>0</v>
      </c>
    </row>
    <row r="106" spans="1:19" x14ac:dyDescent="0.35">
      <c r="A106" s="14" t="str">
        <f t="shared" si="44"/>
        <v>COAL_OFF_2050_PMR1</v>
      </c>
      <c r="B106">
        <f t="shared" si="56"/>
        <v>2056</v>
      </c>
      <c r="C106">
        <v>1</v>
      </c>
      <c r="D106" s="15">
        <f t="shared" si="55"/>
        <v>1</v>
      </c>
      <c r="E106" s="15">
        <f t="shared" si="55"/>
        <v>1</v>
      </c>
      <c r="F106" s="15">
        <f t="shared" si="55"/>
        <v>1</v>
      </c>
      <c r="G106" s="15">
        <f t="shared" si="55"/>
        <v>1</v>
      </c>
      <c r="H106" s="15">
        <f t="shared" si="55"/>
        <v>1</v>
      </c>
      <c r="I106" s="15">
        <f t="shared" si="55"/>
        <v>1</v>
      </c>
      <c r="J106" s="15">
        <f t="shared" si="55"/>
        <v>1</v>
      </c>
      <c r="K106" s="15">
        <f t="shared" si="55"/>
        <v>1</v>
      </c>
      <c r="L106" s="15">
        <f t="shared" si="55"/>
        <v>1</v>
      </c>
      <c r="M106" s="15">
        <f t="shared" si="52"/>
        <v>1</v>
      </c>
      <c r="N106" s="15">
        <f t="shared" si="52"/>
        <v>1</v>
      </c>
      <c r="O106" s="15">
        <f t="shared" si="54"/>
        <v>1</v>
      </c>
      <c r="P106" s="15">
        <f t="shared" si="54"/>
        <v>1</v>
      </c>
      <c r="Q106" s="15">
        <f t="shared" si="54"/>
        <v>1</v>
      </c>
      <c r="R106" s="15">
        <f t="shared" si="50"/>
        <v>1</v>
      </c>
      <c r="S106" s="16" cm="1">
        <f t="array" ref="S106">SUMPRODUCT((1-D106:R106),$D$2:$R$2)</f>
        <v>0</v>
      </c>
    </row>
    <row r="107" spans="1:19" x14ac:dyDescent="0.35">
      <c r="A107" s="14" t="str">
        <f t="shared" si="44"/>
        <v>COAL_OFF_2050_PMR1</v>
      </c>
      <c r="B107">
        <f t="shared" si="56"/>
        <v>2057</v>
      </c>
      <c r="C107">
        <v>1</v>
      </c>
      <c r="D107" s="15">
        <f t="shared" si="55"/>
        <v>1</v>
      </c>
      <c r="E107" s="15">
        <f t="shared" si="55"/>
        <v>1</v>
      </c>
      <c r="F107" s="15">
        <f t="shared" si="55"/>
        <v>1</v>
      </c>
      <c r="G107" s="15">
        <f t="shared" si="55"/>
        <v>1</v>
      </c>
      <c r="H107" s="15">
        <f t="shared" si="55"/>
        <v>1</v>
      </c>
      <c r="I107" s="15">
        <f t="shared" si="55"/>
        <v>1</v>
      </c>
      <c r="J107" s="15">
        <f t="shared" si="55"/>
        <v>1</v>
      </c>
      <c r="K107" s="15">
        <f t="shared" si="55"/>
        <v>1</v>
      </c>
      <c r="L107" s="15">
        <f t="shared" si="55"/>
        <v>1</v>
      </c>
      <c r="M107" s="15">
        <f t="shared" si="52"/>
        <v>1</v>
      </c>
      <c r="N107" s="15">
        <f t="shared" si="52"/>
        <v>1</v>
      </c>
      <c r="O107" s="15">
        <f t="shared" si="54"/>
        <v>1</v>
      </c>
      <c r="P107" s="15">
        <f t="shared" si="54"/>
        <v>1</v>
      </c>
      <c r="Q107" s="15">
        <f t="shared" si="54"/>
        <v>1</v>
      </c>
      <c r="R107" s="15">
        <f t="shared" si="50"/>
        <v>1</v>
      </c>
      <c r="S107" s="16" cm="1">
        <f t="array" ref="S107">SUMPRODUCT((1-D107:R107),$D$2:$R$2)</f>
        <v>0</v>
      </c>
    </row>
    <row r="108" spans="1:19" x14ac:dyDescent="0.35">
      <c r="A108" s="14" t="str">
        <f t="shared" si="44"/>
        <v>COAL_OFF_2050_PMR1</v>
      </c>
      <c r="B108">
        <f>B107+1</f>
        <v>2058</v>
      </c>
      <c r="C108">
        <v>1</v>
      </c>
      <c r="D108" s="15">
        <f t="shared" si="55"/>
        <v>1</v>
      </c>
      <c r="E108" s="15">
        <f t="shared" si="55"/>
        <v>1</v>
      </c>
      <c r="F108" s="15">
        <f t="shared" si="55"/>
        <v>1</v>
      </c>
      <c r="G108" s="15">
        <f t="shared" si="55"/>
        <v>1</v>
      </c>
      <c r="H108" s="15">
        <f t="shared" si="55"/>
        <v>1</v>
      </c>
      <c r="I108" s="15">
        <f t="shared" si="55"/>
        <v>1</v>
      </c>
      <c r="J108" s="15">
        <f t="shared" si="55"/>
        <v>1</v>
      </c>
      <c r="K108" s="15">
        <f t="shared" si="55"/>
        <v>1</v>
      </c>
      <c r="L108" s="15">
        <f t="shared" si="55"/>
        <v>1</v>
      </c>
      <c r="M108" s="15">
        <f t="shared" si="52"/>
        <v>1</v>
      </c>
      <c r="N108" s="15">
        <f t="shared" si="52"/>
        <v>1</v>
      </c>
      <c r="O108" s="15">
        <f t="shared" si="54"/>
        <v>1</v>
      </c>
      <c r="P108" s="15">
        <f t="shared" si="54"/>
        <v>1</v>
      </c>
      <c r="Q108" s="15">
        <f t="shared" si="54"/>
        <v>1</v>
      </c>
      <c r="R108" s="15">
        <f t="shared" si="50"/>
        <v>1</v>
      </c>
      <c r="S108" s="16" cm="1">
        <f t="array" ref="S108">SUMPRODUCT((1-D108:R108),$D$2:$R$2)</f>
        <v>0</v>
      </c>
    </row>
    <row r="109" spans="1:19" x14ac:dyDescent="0.35">
      <c r="A109" s="14" t="str">
        <f t="shared" si="44"/>
        <v>COAL_OFF_2050_PMR1</v>
      </c>
      <c r="B109">
        <f t="shared" ref="B109" si="57">B108+1</f>
        <v>2059</v>
      </c>
      <c r="C109">
        <v>1</v>
      </c>
      <c r="D109" s="15">
        <f t="shared" si="55"/>
        <v>1</v>
      </c>
      <c r="E109" s="15">
        <f t="shared" si="55"/>
        <v>1</v>
      </c>
      <c r="F109" s="15">
        <f t="shared" si="55"/>
        <v>1</v>
      </c>
      <c r="G109" s="15">
        <f t="shared" si="55"/>
        <v>1</v>
      </c>
      <c r="H109" s="15">
        <f t="shared" si="55"/>
        <v>1</v>
      </c>
      <c r="I109" s="15">
        <f t="shared" si="55"/>
        <v>1</v>
      </c>
      <c r="J109" s="15">
        <f t="shared" si="55"/>
        <v>1</v>
      </c>
      <c r="K109" s="15">
        <f t="shared" si="55"/>
        <v>1</v>
      </c>
      <c r="L109" s="15">
        <f t="shared" si="55"/>
        <v>1</v>
      </c>
      <c r="M109" s="15">
        <f t="shared" si="55"/>
        <v>1</v>
      </c>
      <c r="N109" s="15">
        <f t="shared" si="55"/>
        <v>1</v>
      </c>
      <c r="O109" s="15">
        <f t="shared" si="54"/>
        <v>1</v>
      </c>
      <c r="P109" s="15">
        <f t="shared" si="54"/>
        <v>1</v>
      </c>
      <c r="Q109" s="15">
        <f t="shared" si="54"/>
        <v>1</v>
      </c>
      <c r="R109" s="15">
        <f t="shared" si="50"/>
        <v>1</v>
      </c>
      <c r="S109" s="16" cm="1">
        <f t="array" ref="S109">SUMPRODUCT((1-D109:R109),$D$2:$R$2)</f>
        <v>0</v>
      </c>
    </row>
    <row r="110" spans="1:19" x14ac:dyDescent="0.35">
      <c r="A110" s="17" t="str">
        <f t="shared" si="44"/>
        <v>COAL_OFF_2050_PMR1</v>
      </c>
      <c r="B110" s="18">
        <f>B109+1</f>
        <v>2060</v>
      </c>
      <c r="C110" s="18">
        <v>1</v>
      </c>
      <c r="D110" s="19">
        <f t="shared" si="55"/>
        <v>1</v>
      </c>
      <c r="E110" s="19">
        <f t="shared" si="55"/>
        <v>1</v>
      </c>
      <c r="F110" s="19">
        <f t="shared" si="55"/>
        <v>1</v>
      </c>
      <c r="G110" s="19">
        <f t="shared" si="55"/>
        <v>1</v>
      </c>
      <c r="H110" s="19">
        <f t="shared" si="55"/>
        <v>1</v>
      </c>
      <c r="I110" s="19">
        <f t="shared" si="55"/>
        <v>1</v>
      </c>
      <c r="J110" s="19">
        <f t="shared" si="55"/>
        <v>1</v>
      </c>
      <c r="K110" s="19">
        <f t="shared" si="55"/>
        <v>1</v>
      </c>
      <c r="L110" s="19">
        <f t="shared" si="55"/>
        <v>1</v>
      </c>
      <c r="M110" s="19">
        <f t="shared" si="55"/>
        <v>1</v>
      </c>
      <c r="N110" s="19">
        <f t="shared" si="55"/>
        <v>1</v>
      </c>
      <c r="O110" s="19">
        <f t="shared" si="54"/>
        <v>1</v>
      </c>
      <c r="P110" s="19">
        <f t="shared" si="54"/>
        <v>1</v>
      </c>
      <c r="Q110" s="19">
        <f t="shared" si="54"/>
        <v>1</v>
      </c>
      <c r="R110" s="19">
        <f t="shared" si="50"/>
        <v>1</v>
      </c>
      <c r="S110" s="20" cm="1">
        <f t="array" ref="S110">SUMPRODUCT((1-D110:R110),$D$2:$R$2)</f>
        <v>0</v>
      </c>
    </row>
    <row r="111" spans="1:19" x14ac:dyDescent="0.35">
      <c r="A111" s="21" t="s">
        <v>27</v>
      </c>
      <c r="B111">
        <v>2025</v>
      </c>
      <c r="C111">
        <v>1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15">
        <v>0</v>
      </c>
      <c r="O111" s="15">
        <v>0</v>
      </c>
      <c r="P111" s="15">
        <v>0</v>
      </c>
      <c r="Q111" s="15">
        <v>0</v>
      </c>
      <c r="R111" s="15">
        <v>0</v>
      </c>
      <c r="S111" s="16" cm="1">
        <f t="array" ref="S111">SUMPRODUCT((1-D111:R111),$D$2:$R$2)</f>
        <v>41419</v>
      </c>
    </row>
    <row r="112" spans="1:19" x14ac:dyDescent="0.35">
      <c r="A112" s="21" t="str">
        <f>A111</f>
        <v>COAL_OFF_2055_PMR1</v>
      </c>
      <c r="B112">
        <f>B111+1</f>
        <v>2026</v>
      </c>
      <c r="C112">
        <v>1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6" cm="1">
        <f t="array" ref="S112">SUMPRODUCT((1-D112:R112),$D$2:$R$2)</f>
        <v>41419</v>
      </c>
    </row>
    <row r="113" spans="1:19" x14ac:dyDescent="0.35">
      <c r="A113" s="21" t="str">
        <f t="shared" ref="A113:A146" si="58">A112</f>
        <v>COAL_OFF_2055_PMR1</v>
      </c>
      <c r="B113">
        <f t="shared" ref="B113:B131" si="59">B112+1</f>
        <v>2027</v>
      </c>
      <c r="C113">
        <v>1</v>
      </c>
      <c r="D113" s="15">
        <v>0</v>
      </c>
      <c r="E113" s="15">
        <v>0</v>
      </c>
      <c r="F113" s="15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0</v>
      </c>
      <c r="P113" s="15">
        <v>0</v>
      </c>
      <c r="Q113" s="15">
        <v>0</v>
      </c>
      <c r="R113" s="15">
        <v>0</v>
      </c>
      <c r="S113" s="16" cm="1">
        <f t="array" ref="S113">SUMPRODUCT((1-D113:R113),$D$2:$R$2)</f>
        <v>41419</v>
      </c>
    </row>
    <row r="114" spans="1:19" x14ac:dyDescent="0.35">
      <c r="A114" s="21" t="str">
        <f t="shared" si="58"/>
        <v>COAL_OFF_2055_PMR1</v>
      </c>
      <c r="B114">
        <f t="shared" si="59"/>
        <v>2028</v>
      </c>
      <c r="C114">
        <v>1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6" cm="1">
        <f t="array" ref="S114">SUMPRODUCT((1-D114:R114),$D$2:$R$2)</f>
        <v>41419</v>
      </c>
    </row>
    <row r="115" spans="1:19" x14ac:dyDescent="0.35">
      <c r="A115" s="21" t="str">
        <f t="shared" si="58"/>
        <v>COAL_OFF_2055_PMR1</v>
      </c>
      <c r="B115">
        <f t="shared" si="59"/>
        <v>2029</v>
      </c>
      <c r="C115">
        <v>1</v>
      </c>
      <c r="D115" s="15">
        <v>0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0</v>
      </c>
      <c r="K115" s="15">
        <v>0</v>
      </c>
      <c r="L115" s="15">
        <v>0</v>
      </c>
      <c r="M115" s="15">
        <v>0</v>
      </c>
      <c r="N115" s="15">
        <v>0</v>
      </c>
      <c r="O115" s="15">
        <v>0</v>
      </c>
      <c r="P115" s="15">
        <v>0</v>
      </c>
      <c r="Q115" s="15">
        <v>0</v>
      </c>
      <c r="R115" s="15">
        <v>0</v>
      </c>
      <c r="S115" s="16" cm="1">
        <f t="array" ref="S115">SUMPRODUCT((1-D115:R115),$D$2:$R$2)</f>
        <v>41419</v>
      </c>
    </row>
    <row r="116" spans="1:19" x14ac:dyDescent="0.35">
      <c r="A116" s="21" t="str">
        <f t="shared" si="58"/>
        <v>COAL_OFF_2055_PMR1</v>
      </c>
      <c r="B116">
        <f t="shared" si="59"/>
        <v>2030</v>
      </c>
      <c r="C116">
        <v>1</v>
      </c>
      <c r="D116" s="15">
        <f>5/6</f>
        <v>0.83333333333333337</v>
      </c>
      <c r="E116" s="15">
        <f>4/8</f>
        <v>0.5</v>
      </c>
      <c r="F116" s="15">
        <v>0</v>
      </c>
      <c r="G116" s="15">
        <v>1</v>
      </c>
      <c r="H116" s="15">
        <v>1</v>
      </c>
      <c r="I116" s="15">
        <v>1</v>
      </c>
      <c r="J116" s="15">
        <v>0</v>
      </c>
      <c r="K116" s="15">
        <v>1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6" cm="1">
        <f t="array" ref="S116">SUMPRODUCT((1-D116:R116),$D$2:$R$2)</f>
        <v>34460.5</v>
      </c>
    </row>
    <row r="117" spans="1:19" x14ac:dyDescent="0.35">
      <c r="A117" s="21" t="str">
        <f t="shared" si="58"/>
        <v>COAL_OFF_2055_PMR1</v>
      </c>
      <c r="B117">
        <f t="shared" si="59"/>
        <v>2031</v>
      </c>
      <c r="C117">
        <v>1</v>
      </c>
      <c r="D117" s="15">
        <f>5/6</f>
        <v>0.83333333333333337</v>
      </c>
      <c r="E117" s="15">
        <f>4/8</f>
        <v>0.5</v>
      </c>
      <c r="F117" s="15">
        <v>0</v>
      </c>
      <c r="G117" s="15">
        <f>G116</f>
        <v>1</v>
      </c>
      <c r="H117" s="15">
        <f>H116</f>
        <v>1</v>
      </c>
      <c r="I117" s="15">
        <f>I116</f>
        <v>1</v>
      </c>
      <c r="J117" s="15">
        <v>0</v>
      </c>
      <c r="K117" s="15">
        <f>K116</f>
        <v>1</v>
      </c>
      <c r="L117" s="15">
        <v>0</v>
      </c>
      <c r="M117" s="15">
        <v>0</v>
      </c>
      <c r="N117" s="15">
        <v>0</v>
      </c>
      <c r="O117" s="15">
        <v>0</v>
      </c>
      <c r="P117" s="15">
        <v>0</v>
      </c>
      <c r="Q117" s="15">
        <v>0</v>
      </c>
      <c r="R117" s="15">
        <f>2/6</f>
        <v>0.33333333333333331</v>
      </c>
      <c r="S117" s="16" cm="1">
        <f t="array" ref="S117">SUMPRODUCT((1-D117:R117),$D$2:$R$2)</f>
        <v>33290.5</v>
      </c>
    </row>
    <row r="118" spans="1:19" x14ac:dyDescent="0.35">
      <c r="A118" s="21" t="str">
        <f t="shared" si="58"/>
        <v>COAL_OFF_2055_PMR1</v>
      </c>
      <c r="B118">
        <f t="shared" si="59"/>
        <v>2032</v>
      </c>
      <c r="C118">
        <v>1</v>
      </c>
      <c r="D118" s="15">
        <f>5/6</f>
        <v>0.83333333333333337</v>
      </c>
      <c r="E118" s="15">
        <f>E117+1/8</f>
        <v>0.625</v>
      </c>
      <c r="F118" s="15">
        <v>0</v>
      </c>
      <c r="G118" s="15">
        <f t="shared" ref="G118:J133" si="60">G117</f>
        <v>1</v>
      </c>
      <c r="H118" s="15">
        <f t="shared" si="60"/>
        <v>1</v>
      </c>
      <c r="I118" s="15">
        <f t="shared" si="60"/>
        <v>1</v>
      </c>
      <c r="J118" s="15">
        <v>0</v>
      </c>
      <c r="K118" s="15">
        <f t="shared" ref="K118:K138" si="61">K117</f>
        <v>1</v>
      </c>
      <c r="L118" s="15">
        <v>0</v>
      </c>
      <c r="M118" s="15">
        <v>0</v>
      </c>
      <c r="N118" s="15">
        <v>0</v>
      </c>
      <c r="O118" s="15">
        <v>0</v>
      </c>
      <c r="P118" s="15">
        <f>0.5</f>
        <v>0.5</v>
      </c>
      <c r="Q118" s="15">
        <v>0</v>
      </c>
      <c r="R118" s="15">
        <f>R117</f>
        <v>0.33333333333333331</v>
      </c>
      <c r="S118" s="16" cm="1">
        <f t="array" ref="S118">SUMPRODUCT((1-D118:R118),$D$2:$R$2)</f>
        <v>31380.375</v>
      </c>
    </row>
    <row r="119" spans="1:19" x14ac:dyDescent="0.35">
      <c r="A119" s="21" t="str">
        <f t="shared" si="58"/>
        <v>COAL_OFF_2055_PMR1</v>
      </c>
      <c r="B119">
        <f t="shared" si="59"/>
        <v>2033</v>
      </c>
      <c r="C119">
        <v>1</v>
      </c>
      <c r="D119" s="15">
        <v>1</v>
      </c>
      <c r="E119" s="15">
        <v>1</v>
      </c>
      <c r="F119" s="15">
        <v>0</v>
      </c>
      <c r="G119" s="15">
        <f t="shared" si="60"/>
        <v>1</v>
      </c>
      <c r="H119" s="15">
        <f t="shared" si="60"/>
        <v>1</v>
      </c>
      <c r="I119" s="15">
        <f t="shared" si="60"/>
        <v>1</v>
      </c>
      <c r="J119" s="15">
        <v>0</v>
      </c>
      <c r="K119" s="15">
        <f t="shared" si="61"/>
        <v>1</v>
      </c>
      <c r="L119" s="15">
        <v>0</v>
      </c>
      <c r="M119" s="15">
        <v>0</v>
      </c>
      <c r="N119" s="15">
        <v>0</v>
      </c>
      <c r="O119" s="15">
        <v>0</v>
      </c>
      <c r="P119" s="15">
        <f t="shared" ref="P119:P122" si="62">0.5</f>
        <v>0.5</v>
      </c>
      <c r="Q119" s="15">
        <v>0</v>
      </c>
      <c r="R119" s="15">
        <f>3/6</f>
        <v>0.5</v>
      </c>
      <c r="S119" s="16" cm="1">
        <f t="array" ref="S119">SUMPRODUCT((1-D119:R119),$D$2:$R$2)</f>
        <v>29890</v>
      </c>
    </row>
    <row r="120" spans="1:19" x14ac:dyDescent="0.35">
      <c r="A120" s="21" t="str">
        <f t="shared" si="58"/>
        <v>COAL_OFF_2055_PMR1</v>
      </c>
      <c r="B120">
        <f t="shared" si="59"/>
        <v>2034</v>
      </c>
      <c r="C120">
        <v>1</v>
      </c>
      <c r="D120" s="15">
        <f>D119</f>
        <v>1</v>
      </c>
      <c r="E120" s="15">
        <f>E119</f>
        <v>1</v>
      </c>
      <c r="F120" s="15">
        <v>0</v>
      </c>
      <c r="G120" s="15">
        <f t="shared" si="60"/>
        <v>1</v>
      </c>
      <c r="H120" s="15">
        <f t="shared" si="60"/>
        <v>1</v>
      </c>
      <c r="I120" s="15">
        <f t="shared" si="60"/>
        <v>1</v>
      </c>
      <c r="J120" s="15">
        <v>0</v>
      </c>
      <c r="K120" s="15">
        <f t="shared" si="61"/>
        <v>1</v>
      </c>
      <c r="L120" s="15">
        <v>0</v>
      </c>
      <c r="M120" s="15">
        <v>0</v>
      </c>
      <c r="N120" s="15">
        <v>0</v>
      </c>
      <c r="O120" s="15">
        <v>0</v>
      </c>
      <c r="P120" s="15">
        <f t="shared" si="62"/>
        <v>0.5</v>
      </c>
      <c r="Q120" s="15">
        <v>0</v>
      </c>
      <c r="R120" s="15">
        <v>1</v>
      </c>
      <c r="S120" s="16" cm="1">
        <f t="array" ref="S120">SUMPRODUCT((1-D120:R120),$D$2:$R$2)</f>
        <v>28135</v>
      </c>
    </row>
    <row r="121" spans="1:19" x14ac:dyDescent="0.35">
      <c r="A121" s="21" t="str">
        <f t="shared" si="58"/>
        <v>COAL_OFF_2055_PMR1</v>
      </c>
      <c r="B121">
        <f t="shared" si="59"/>
        <v>2035</v>
      </c>
      <c r="C121">
        <v>1</v>
      </c>
      <c r="D121" s="15">
        <f t="shared" ref="D121:J136" si="63">D120</f>
        <v>1</v>
      </c>
      <c r="E121" s="15">
        <f t="shared" si="63"/>
        <v>1</v>
      </c>
      <c r="F121" s="15">
        <f>2/5</f>
        <v>0.4</v>
      </c>
      <c r="G121" s="15">
        <f t="shared" si="60"/>
        <v>1</v>
      </c>
      <c r="H121" s="15">
        <f t="shared" si="60"/>
        <v>1</v>
      </c>
      <c r="I121" s="15">
        <f t="shared" si="60"/>
        <v>1</v>
      </c>
      <c r="J121" s="15">
        <v>0</v>
      </c>
      <c r="K121" s="15">
        <f t="shared" si="61"/>
        <v>1</v>
      </c>
      <c r="L121" s="15">
        <v>0</v>
      </c>
      <c r="M121" s="15">
        <v>0</v>
      </c>
      <c r="N121" s="15">
        <v>0</v>
      </c>
      <c r="O121" s="15">
        <v>0</v>
      </c>
      <c r="P121" s="15">
        <f t="shared" si="62"/>
        <v>0.5</v>
      </c>
      <c r="Q121" s="15">
        <v>0</v>
      </c>
      <c r="R121" s="15">
        <f>R120</f>
        <v>1</v>
      </c>
      <c r="S121" s="16" cm="1">
        <f t="array" ref="S121">SUMPRODUCT((1-D121:R121),$D$2:$R$2)</f>
        <v>26985</v>
      </c>
    </row>
    <row r="122" spans="1:19" x14ac:dyDescent="0.35">
      <c r="A122" s="21" t="str">
        <f t="shared" si="58"/>
        <v>COAL_OFF_2055_PMR1</v>
      </c>
      <c r="B122">
        <f t="shared" si="59"/>
        <v>2036</v>
      </c>
      <c r="C122">
        <v>1</v>
      </c>
      <c r="D122" s="15">
        <f t="shared" si="63"/>
        <v>1</v>
      </c>
      <c r="E122" s="15">
        <f t="shared" si="63"/>
        <v>1</v>
      </c>
      <c r="F122" s="15">
        <v>1</v>
      </c>
      <c r="G122" s="15">
        <f t="shared" si="60"/>
        <v>1</v>
      </c>
      <c r="H122" s="15">
        <f t="shared" si="60"/>
        <v>1</v>
      </c>
      <c r="I122" s="15">
        <f t="shared" si="60"/>
        <v>1</v>
      </c>
      <c r="J122" s="15">
        <v>0</v>
      </c>
      <c r="K122" s="15">
        <f t="shared" si="61"/>
        <v>1</v>
      </c>
      <c r="L122" s="15">
        <v>0</v>
      </c>
      <c r="M122" s="15">
        <v>0</v>
      </c>
      <c r="N122" s="15">
        <v>0</v>
      </c>
      <c r="O122" s="15">
        <v>0</v>
      </c>
      <c r="P122" s="15">
        <f t="shared" si="62"/>
        <v>0.5</v>
      </c>
      <c r="Q122" s="15">
        <v>0</v>
      </c>
      <c r="R122" s="15">
        <f t="shared" ref="R122:R146" si="64">R121</f>
        <v>1</v>
      </c>
      <c r="S122" s="16" cm="1">
        <f t="array" ref="S122">SUMPRODUCT((1-D122:R122),$D$2:$R$2)</f>
        <v>25260</v>
      </c>
    </row>
    <row r="123" spans="1:19" x14ac:dyDescent="0.35">
      <c r="A123" s="21" t="str">
        <f t="shared" si="58"/>
        <v>COAL_OFF_2055_PMR1</v>
      </c>
      <c r="B123">
        <f t="shared" si="59"/>
        <v>2037</v>
      </c>
      <c r="C123">
        <v>1</v>
      </c>
      <c r="D123" s="15">
        <f t="shared" si="63"/>
        <v>1</v>
      </c>
      <c r="E123" s="15">
        <f t="shared" si="63"/>
        <v>1</v>
      </c>
      <c r="F123" s="15">
        <f>F122</f>
        <v>1</v>
      </c>
      <c r="G123" s="15">
        <f t="shared" si="60"/>
        <v>1</v>
      </c>
      <c r="H123" s="15">
        <f t="shared" si="60"/>
        <v>1</v>
      </c>
      <c r="I123" s="15">
        <f t="shared" si="60"/>
        <v>1</v>
      </c>
      <c r="J123" s="15">
        <v>0</v>
      </c>
      <c r="K123" s="15">
        <f t="shared" si="61"/>
        <v>1</v>
      </c>
      <c r="L123" s="15">
        <v>0</v>
      </c>
      <c r="M123" s="15">
        <v>0</v>
      </c>
      <c r="N123" s="15">
        <v>0</v>
      </c>
      <c r="O123" s="15">
        <v>0</v>
      </c>
      <c r="P123" s="15">
        <v>1</v>
      </c>
      <c r="Q123" s="15">
        <v>0</v>
      </c>
      <c r="R123" s="15">
        <f t="shared" si="64"/>
        <v>1</v>
      </c>
      <c r="S123" s="16" cm="1">
        <f t="array" ref="S123">SUMPRODUCT((1-D123:R123),$D$2:$R$2)</f>
        <v>23535</v>
      </c>
    </row>
    <row r="124" spans="1:19" x14ac:dyDescent="0.35">
      <c r="A124" s="21" t="str">
        <f t="shared" si="58"/>
        <v>COAL_OFF_2055_PMR1</v>
      </c>
      <c r="B124">
        <f t="shared" si="59"/>
        <v>2038</v>
      </c>
      <c r="C124">
        <v>1</v>
      </c>
      <c r="D124" s="15">
        <f t="shared" si="63"/>
        <v>1</v>
      </c>
      <c r="E124" s="15">
        <f t="shared" si="63"/>
        <v>1</v>
      </c>
      <c r="F124" s="15">
        <f t="shared" si="63"/>
        <v>1</v>
      </c>
      <c r="G124" s="15">
        <f t="shared" si="60"/>
        <v>1</v>
      </c>
      <c r="H124" s="15">
        <f t="shared" si="60"/>
        <v>1</v>
      </c>
      <c r="I124" s="15">
        <f t="shared" si="60"/>
        <v>1</v>
      </c>
      <c r="J124" s="15">
        <f>2/6</f>
        <v>0.33333333333333331</v>
      </c>
      <c r="K124" s="15">
        <f t="shared" si="61"/>
        <v>1</v>
      </c>
      <c r="L124" s="15">
        <v>0</v>
      </c>
      <c r="M124" s="15">
        <v>0</v>
      </c>
      <c r="N124" s="15">
        <v>0</v>
      </c>
      <c r="O124" s="15">
        <v>0</v>
      </c>
      <c r="P124" s="15">
        <f>P123</f>
        <v>1</v>
      </c>
      <c r="Q124" s="15">
        <v>0</v>
      </c>
      <c r="R124" s="15">
        <f t="shared" si="64"/>
        <v>1</v>
      </c>
      <c r="S124" s="16" cm="1">
        <f t="array" ref="S124">SUMPRODUCT((1-D124:R124),$D$2:$R$2)</f>
        <v>22255</v>
      </c>
    </row>
    <row r="125" spans="1:19" x14ac:dyDescent="0.35">
      <c r="A125" s="21" t="str">
        <f t="shared" si="58"/>
        <v>COAL_OFF_2055_PMR1</v>
      </c>
      <c r="B125">
        <f t="shared" si="59"/>
        <v>2039</v>
      </c>
      <c r="C125">
        <v>1</v>
      </c>
      <c r="D125" s="15">
        <f t="shared" si="63"/>
        <v>1</v>
      </c>
      <c r="E125" s="15">
        <f t="shared" si="63"/>
        <v>1</v>
      </c>
      <c r="F125" s="15">
        <f t="shared" si="63"/>
        <v>1</v>
      </c>
      <c r="G125" s="15">
        <f t="shared" si="60"/>
        <v>1</v>
      </c>
      <c r="H125" s="15">
        <f t="shared" si="60"/>
        <v>1</v>
      </c>
      <c r="I125" s="15">
        <f t="shared" si="60"/>
        <v>1</v>
      </c>
      <c r="J125" s="15">
        <f>J124+1/6</f>
        <v>0.5</v>
      </c>
      <c r="K125" s="15">
        <f t="shared" si="61"/>
        <v>1</v>
      </c>
      <c r="L125" s="15">
        <v>0</v>
      </c>
      <c r="M125" s="15">
        <f>2/6</f>
        <v>0.33333333333333331</v>
      </c>
      <c r="N125" s="15">
        <v>0</v>
      </c>
      <c r="O125" s="15">
        <v>0</v>
      </c>
      <c r="P125" s="15">
        <f t="shared" ref="P125:P140" si="65">P124</f>
        <v>1</v>
      </c>
      <c r="Q125" s="15">
        <v>0</v>
      </c>
      <c r="R125" s="15">
        <f t="shared" si="64"/>
        <v>1</v>
      </c>
      <c r="S125" s="16" cm="1">
        <f t="array" ref="S125">SUMPRODUCT((1-D125:R125),$D$2:$R$2)</f>
        <v>20429</v>
      </c>
    </row>
    <row r="126" spans="1:19" x14ac:dyDescent="0.35">
      <c r="A126" s="21" t="str">
        <f t="shared" si="58"/>
        <v>COAL_OFF_2055_PMR1</v>
      </c>
      <c r="B126">
        <f t="shared" si="59"/>
        <v>2040</v>
      </c>
      <c r="C126">
        <v>1</v>
      </c>
      <c r="D126" s="15">
        <f t="shared" si="63"/>
        <v>1</v>
      </c>
      <c r="E126" s="15">
        <f t="shared" si="63"/>
        <v>1</v>
      </c>
      <c r="F126" s="15">
        <f t="shared" si="63"/>
        <v>1</v>
      </c>
      <c r="G126" s="15">
        <f t="shared" si="60"/>
        <v>1</v>
      </c>
      <c r="H126" s="15">
        <f t="shared" si="60"/>
        <v>1</v>
      </c>
      <c r="I126" s="15">
        <f t="shared" si="60"/>
        <v>1</v>
      </c>
      <c r="J126" s="15">
        <v>0.5</v>
      </c>
      <c r="K126" s="15">
        <f t="shared" si="61"/>
        <v>1</v>
      </c>
      <c r="L126" s="15">
        <v>0</v>
      </c>
      <c r="M126" s="15">
        <f>4/6</f>
        <v>0.66666666666666663</v>
      </c>
      <c r="N126" s="15">
        <v>0</v>
      </c>
      <c r="O126" s="15">
        <v>0</v>
      </c>
      <c r="P126" s="15">
        <f t="shared" si="65"/>
        <v>1</v>
      </c>
      <c r="Q126" s="15">
        <v>0</v>
      </c>
      <c r="R126" s="15">
        <f t="shared" si="64"/>
        <v>1</v>
      </c>
      <c r="S126" s="16" cm="1">
        <f t="array" ref="S126">SUMPRODUCT((1-D126:R126),$D$2:$R$2)</f>
        <v>19243</v>
      </c>
    </row>
    <row r="127" spans="1:19" x14ac:dyDescent="0.35">
      <c r="A127" s="21" t="str">
        <f t="shared" si="58"/>
        <v>COAL_OFF_2055_PMR1</v>
      </c>
      <c r="B127">
        <f t="shared" si="59"/>
        <v>2041</v>
      </c>
      <c r="C127">
        <v>1</v>
      </c>
      <c r="D127" s="15">
        <f t="shared" si="63"/>
        <v>1</v>
      </c>
      <c r="E127" s="15">
        <f t="shared" si="63"/>
        <v>1</v>
      </c>
      <c r="F127" s="15">
        <f t="shared" si="63"/>
        <v>1</v>
      </c>
      <c r="G127" s="15">
        <f t="shared" si="60"/>
        <v>1</v>
      </c>
      <c r="H127" s="15">
        <f t="shared" si="60"/>
        <v>1</v>
      </c>
      <c r="I127" s="15">
        <f t="shared" si="60"/>
        <v>1</v>
      </c>
      <c r="J127" s="15">
        <f>J126</f>
        <v>0.5</v>
      </c>
      <c r="K127" s="15">
        <f t="shared" si="61"/>
        <v>1</v>
      </c>
      <c r="L127" s="15">
        <v>0</v>
      </c>
      <c r="M127" s="15">
        <f>5/6</f>
        <v>0.83333333333333337</v>
      </c>
      <c r="N127" s="15">
        <v>0</v>
      </c>
      <c r="O127" s="15">
        <f>1/6</f>
        <v>0.16666666666666666</v>
      </c>
      <c r="P127" s="15">
        <f t="shared" si="65"/>
        <v>1</v>
      </c>
      <c r="Q127" s="15">
        <v>0</v>
      </c>
      <c r="R127" s="15">
        <f t="shared" si="64"/>
        <v>1</v>
      </c>
      <c r="S127" s="16" cm="1">
        <f t="array" ref="S127">SUMPRODUCT((1-D127:R127),$D$2:$R$2)</f>
        <v>18035</v>
      </c>
    </row>
    <row r="128" spans="1:19" x14ac:dyDescent="0.35">
      <c r="A128" s="21" t="str">
        <f t="shared" si="58"/>
        <v>COAL_OFF_2055_PMR1</v>
      </c>
      <c r="B128">
        <f t="shared" si="59"/>
        <v>2042</v>
      </c>
      <c r="C128">
        <v>1</v>
      </c>
      <c r="D128" s="15">
        <f t="shared" si="63"/>
        <v>1</v>
      </c>
      <c r="E128" s="15">
        <f t="shared" si="63"/>
        <v>1</v>
      </c>
      <c r="F128" s="15">
        <f t="shared" si="63"/>
        <v>1</v>
      </c>
      <c r="G128" s="15">
        <f t="shared" si="60"/>
        <v>1</v>
      </c>
      <c r="H128" s="15">
        <f t="shared" si="60"/>
        <v>1</v>
      </c>
      <c r="I128" s="15">
        <f t="shared" si="60"/>
        <v>1</v>
      </c>
      <c r="J128" s="15">
        <f>J127+2/6</f>
        <v>0.83333333333333326</v>
      </c>
      <c r="K128" s="15">
        <f t="shared" si="61"/>
        <v>1</v>
      </c>
      <c r="L128" s="15">
        <v>0</v>
      </c>
      <c r="M128" s="15">
        <v>1</v>
      </c>
      <c r="N128" s="15">
        <v>0</v>
      </c>
      <c r="O128" s="15">
        <f>1/6</f>
        <v>0.16666666666666666</v>
      </c>
      <c r="P128" s="15">
        <f t="shared" si="65"/>
        <v>1</v>
      </c>
      <c r="Q128" s="15">
        <v>0</v>
      </c>
      <c r="R128" s="15">
        <f t="shared" si="64"/>
        <v>1</v>
      </c>
      <c r="S128" s="16" cm="1">
        <f t="array" ref="S128">SUMPRODUCT((1-D128:R128),$D$2:$R$2)</f>
        <v>16162</v>
      </c>
    </row>
    <row r="129" spans="1:19" x14ac:dyDescent="0.35">
      <c r="A129" s="21" t="str">
        <f t="shared" si="58"/>
        <v>COAL_OFF_2055_PMR1</v>
      </c>
      <c r="B129">
        <f t="shared" si="59"/>
        <v>2043</v>
      </c>
      <c r="C129">
        <v>1</v>
      </c>
      <c r="D129" s="15">
        <f t="shared" si="63"/>
        <v>1</v>
      </c>
      <c r="E129" s="15">
        <f t="shared" si="63"/>
        <v>1</v>
      </c>
      <c r="F129" s="15">
        <f t="shared" si="63"/>
        <v>1</v>
      </c>
      <c r="G129" s="15">
        <f t="shared" si="60"/>
        <v>1</v>
      </c>
      <c r="H129" s="15">
        <f t="shared" si="60"/>
        <v>1</v>
      </c>
      <c r="I129" s="15">
        <f t="shared" si="60"/>
        <v>1</v>
      </c>
      <c r="J129" s="15">
        <v>1</v>
      </c>
      <c r="K129" s="15">
        <f t="shared" si="61"/>
        <v>1</v>
      </c>
      <c r="L129" s="15">
        <v>0</v>
      </c>
      <c r="M129" s="15">
        <f t="shared" ref="M129:N144" si="66">M128</f>
        <v>1</v>
      </c>
      <c r="N129" s="15">
        <f>1/6</f>
        <v>0.16666666666666666</v>
      </c>
      <c r="O129" s="15">
        <f>O128</f>
        <v>0.16666666666666666</v>
      </c>
      <c r="P129" s="15">
        <f t="shared" si="65"/>
        <v>1</v>
      </c>
      <c r="Q129" s="15">
        <v>0</v>
      </c>
      <c r="R129" s="15">
        <f t="shared" si="64"/>
        <v>1</v>
      </c>
      <c r="S129" s="16" cm="1">
        <f t="array" ref="S129">SUMPRODUCT((1-D129:R129),$D$2:$R$2)</f>
        <v>14887.5</v>
      </c>
    </row>
    <row r="130" spans="1:19" x14ac:dyDescent="0.35">
      <c r="A130" s="21" t="str">
        <f t="shared" si="58"/>
        <v>COAL_OFF_2055_PMR1</v>
      </c>
      <c r="B130">
        <f t="shared" si="59"/>
        <v>2044</v>
      </c>
      <c r="C130">
        <v>1</v>
      </c>
      <c r="D130" s="15">
        <f t="shared" si="63"/>
        <v>1</v>
      </c>
      <c r="E130" s="15">
        <f t="shared" si="63"/>
        <v>1</v>
      </c>
      <c r="F130" s="15">
        <f t="shared" si="63"/>
        <v>1</v>
      </c>
      <c r="G130" s="15">
        <f t="shared" si="60"/>
        <v>1</v>
      </c>
      <c r="H130" s="15">
        <f t="shared" si="60"/>
        <v>1</v>
      </c>
      <c r="I130" s="15">
        <f t="shared" si="60"/>
        <v>1</v>
      </c>
      <c r="J130" s="15">
        <f t="shared" si="60"/>
        <v>1</v>
      </c>
      <c r="K130" s="15">
        <f t="shared" si="61"/>
        <v>1</v>
      </c>
      <c r="L130" s="15">
        <v>0</v>
      </c>
      <c r="M130" s="15">
        <f t="shared" si="66"/>
        <v>1</v>
      </c>
      <c r="N130" s="15">
        <f>2/6</f>
        <v>0.33333333333333331</v>
      </c>
      <c r="O130" s="15">
        <f>2/6</f>
        <v>0.33333333333333331</v>
      </c>
      <c r="P130" s="15">
        <f t="shared" si="65"/>
        <v>1</v>
      </c>
      <c r="Q130" s="15">
        <v>0</v>
      </c>
      <c r="R130" s="15">
        <f t="shared" si="64"/>
        <v>1</v>
      </c>
      <c r="S130" s="16" cm="1">
        <f t="array" ref="S130">SUMPRODUCT((1-D130:R130),$D$2:$R$2)</f>
        <v>13638</v>
      </c>
    </row>
    <row r="131" spans="1:19" x14ac:dyDescent="0.35">
      <c r="A131" s="21" t="str">
        <f t="shared" si="58"/>
        <v>COAL_OFF_2055_PMR1</v>
      </c>
      <c r="B131">
        <f t="shared" si="59"/>
        <v>2045</v>
      </c>
      <c r="C131">
        <v>1</v>
      </c>
      <c r="D131" s="15">
        <f t="shared" si="63"/>
        <v>1</v>
      </c>
      <c r="E131" s="15">
        <f t="shared" si="63"/>
        <v>1</v>
      </c>
      <c r="F131" s="15">
        <f t="shared" si="63"/>
        <v>1</v>
      </c>
      <c r="G131" s="15">
        <f t="shared" si="60"/>
        <v>1</v>
      </c>
      <c r="H131" s="15">
        <f t="shared" si="60"/>
        <v>1</v>
      </c>
      <c r="I131" s="15">
        <f t="shared" si="60"/>
        <v>1</v>
      </c>
      <c r="J131" s="15">
        <f t="shared" si="60"/>
        <v>1</v>
      </c>
      <c r="K131" s="15">
        <f t="shared" si="61"/>
        <v>1</v>
      </c>
      <c r="L131" s="15">
        <v>0</v>
      </c>
      <c r="M131" s="15">
        <f t="shared" si="66"/>
        <v>1</v>
      </c>
      <c r="N131" s="15">
        <f>N130</f>
        <v>0.33333333333333331</v>
      </c>
      <c r="O131" s="15">
        <f>4/6</f>
        <v>0.66666666666666663</v>
      </c>
      <c r="P131" s="15">
        <f t="shared" si="65"/>
        <v>1</v>
      </c>
      <c r="Q131" s="15">
        <v>0</v>
      </c>
      <c r="R131" s="15">
        <f t="shared" si="64"/>
        <v>1</v>
      </c>
      <c r="S131" s="16" cm="1">
        <f t="array" ref="S131">SUMPRODUCT((1-D131:R131),$D$2:$R$2)</f>
        <v>12408</v>
      </c>
    </row>
    <row r="132" spans="1:19" x14ac:dyDescent="0.35">
      <c r="A132" s="21" t="str">
        <f t="shared" si="58"/>
        <v>COAL_OFF_2055_PMR1</v>
      </c>
      <c r="B132">
        <f>B131+1</f>
        <v>2046</v>
      </c>
      <c r="C132">
        <v>1</v>
      </c>
      <c r="D132" s="15">
        <f t="shared" si="63"/>
        <v>1</v>
      </c>
      <c r="E132" s="15">
        <f t="shared" si="63"/>
        <v>1</v>
      </c>
      <c r="F132" s="15">
        <f t="shared" si="63"/>
        <v>1</v>
      </c>
      <c r="G132" s="15">
        <f t="shared" si="60"/>
        <v>1</v>
      </c>
      <c r="H132" s="15">
        <f t="shared" si="60"/>
        <v>1</v>
      </c>
      <c r="I132" s="15">
        <f t="shared" si="60"/>
        <v>1</v>
      </c>
      <c r="J132" s="15">
        <f t="shared" si="60"/>
        <v>1</v>
      </c>
      <c r="K132" s="15">
        <f t="shared" si="61"/>
        <v>1</v>
      </c>
      <c r="L132" s="15">
        <v>0</v>
      </c>
      <c r="M132" s="15">
        <f t="shared" si="66"/>
        <v>1</v>
      </c>
      <c r="N132" s="15">
        <f>N131</f>
        <v>0.33333333333333331</v>
      </c>
      <c r="O132" s="15">
        <f>5/6</f>
        <v>0.83333333333333337</v>
      </c>
      <c r="P132" s="15">
        <f t="shared" si="65"/>
        <v>1</v>
      </c>
      <c r="Q132" s="15">
        <v>0</v>
      </c>
      <c r="R132" s="15">
        <f t="shared" si="64"/>
        <v>1</v>
      </c>
      <c r="S132" s="16" cm="1">
        <f t="array" ref="S132">SUMPRODUCT((1-D132:R132),$D$2:$R$2)</f>
        <v>11793</v>
      </c>
    </row>
    <row r="133" spans="1:19" x14ac:dyDescent="0.35">
      <c r="A133" s="21" t="str">
        <f t="shared" si="58"/>
        <v>COAL_OFF_2055_PMR1</v>
      </c>
      <c r="B133">
        <f t="shared" ref="B133:B139" si="67">B132+1</f>
        <v>2047</v>
      </c>
      <c r="C133">
        <v>1</v>
      </c>
      <c r="D133" s="15">
        <f t="shared" si="63"/>
        <v>1</v>
      </c>
      <c r="E133" s="15">
        <f t="shared" si="63"/>
        <v>1</v>
      </c>
      <c r="F133" s="15">
        <f t="shared" si="63"/>
        <v>1</v>
      </c>
      <c r="G133" s="15">
        <f t="shared" si="60"/>
        <v>1</v>
      </c>
      <c r="H133" s="15">
        <f t="shared" si="60"/>
        <v>1</v>
      </c>
      <c r="I133" s="15">
        <f t="shared" si="60"/>
        <v>1</v>
      </c>
      <c r="J133" s="15">
        <f t="shared" si="60"/>
        <v>1</v>
      </c>
      <c r="K133" s="15">
        <f t="shared" si="61"/>
        <v>1</v>
      </c>
      <c r="L133" s="15">
        <v>0</v>
      </c>
      <c r="M133" s="15">
        <f t="shared" si="66"/>
        <v>1</v>
      </c>
      <c r="N133" s="15">
        <f>N132</f>
        <v>0.33333333333333331</v>
      </c>
      <c r="O133" s="15">
        <v>1</v>
      </c>
      <c r="P133" s="15">
        <f t="shared" si="65"/>
        <v>1</v>
      </c>
      <c r="Q133" s="15">
        <v>0</v>
      </c>
      <c r="R133" s="15">
        <f t="shared" si="64"/>
        <v>1</v>
      </c>
      <c r="S133" s="16" cm="1">
        <f t="array" ref="S133">SUMPRODUCT((1-D133:R133),$D$2:$R$2)</f>
        <v>11178</v>
      </c>
    </row>
    <row r="134" spans="1:19" x14ac:dyDescent="0.35">
      <c r="A134" s="21" t="str">
        <f t="shared" si="58"/>
        <v>COAL_OFF_2055_PMR1</v>
      </c>
      <c r="B134">
        <f t="shared" si="67"/>
        <v>2048</v>
      </c>
      <c r="C134">
        <v>1</v>
      </c>
      <c r="D134" s="15">
        <f t="shared" si="63"/>
        <v>1</v>
      </c>
      <c r="E134" s="15">
        <f t="shared" si="63"/>
        <v>1</v>
      </c>
      <c r="F134" s="15">
        <f t="shared" si="63"/>
        <v>1</v>
      </c>
      <c r="G134" s="15">
        <f t="shared" si="63"/>
        <v>1</v>
      </c>
      <c r="H134" s="15">
        <f t="shared" si="63"/>
        <v>1</v>
      </c>
      <c r="I134" s="15">
        <f t="shared" si="63"/>
        <v>1</v>
      </c>
      <c r="J134" s="15">
        <f t="shared" si="63"/>
        <v>1</v>
      </c>
      <c r="K134" s="15">
        <f t="shared" si="61"/>
        <v>1</v>
      </c>
      <c r="L134" s="15">
        <v>0</v>
      </c>
      <c r="M134" s="15">
        <f t="shared" si="66"/>
        <v>1</v>
      </c>
      <c r="N134" s="15">
        <f>3/6</f>
        <v>0.5</v>
      </c>
      <c r="O134" s="15">
        <f t="shared" ref="O134:Q146" si="68">O133</f>
        <v>1</v>
      </c>
      <c r="P134" s="15">
        <f t="shared" si="65"/>
        <v>1</v>
      </c>
      <c r="Q134" s="15">
        <v>0</v>
      </c>
      <c r="R134" s="15">
        <f t="shared" si="64"/>
        <v>1</v>
      </c>
      <c r="S134" s="16" cm="1">
        <f t="array" ref="S134">SUMPRODUCT((1-D134:R134),$D$2:$R$2)</f>
        <v>10543.5</v>
      </c>
    </row>
    <row r="135" spans="1:19" x14ac:dyDescent="0.35">
      <c r="A135" s="21" t="str">
        <f t="shared" si="58"/>
        <v>COAL_OFF_2055_PMR1</v>
      </c>
      <c r="B135">
        <f t="shared" si="67"/>
        <v>2049</v>
      </c>
      <c r="C135">
        <v>1</v>
      </c>
      <c r="D135" s="15">
        <f t="shared" si="63"/>
        <v>1</v>
      </c>
      <c r="E135" s="15">
        <f t="shared" si="63"/>
        <v>1</v>
      </c>
      <c r="F135" s="15">
        <f t="shared" si="63"/>
        <v>1</v>
      </c>
      <c r="G135" s="15">
        <f t="shared" si="63"/>
        <v>1</v>
      </c>
      <c r="H135" s="15">
        <f t="shared" si="63"/>
        <v>1</v>
      </c>
      <c r="I135" s="15">
        <f t="shared" si="63"/>
        <v>1</v>
      </c>
      <c r="J135" s="15">
        <f t="shared" si="63"/>
        <v>1</v>
      </c>
      <c r="K135" s="15">
        <f t="shared" si="61"/>
        <v>1</v>
      </c>
      <c r="L135" s="15">
        <v>0</v>
      </c>
      <c r="M135" s="15">
        <f t="shared" si="66"/>
        <v>1</v>
      </c>
      <c r="N135" s="15">
        <f>4/6</f>
        <v>0.66666666666666663</v>
      </c>
      <c r="O135" s="15">
        <f t="shared" si="68"/>
        <v>1</v>
      </c>
      <c r="P135" s="15">
        <f t="shared" si="65"/>
        <v>1</v>
      </c>
      <c r="Q135" s="15">
        <v>0</v>
      </c>
      <c r="R135" s="15">
        <f t="shared" si="64"/>
        <v>1</v>
      </c>
      <c r="S135" s="16" cm="1">
        <f t="array" ref="S135">SUMPRODUCT((1-D135:R135),$D$2:$R$2)</f>
        <v>9909</v>
      </c>
    </row>
    <row r="136" spans="1:19" x14ac:dyDescent="0.35">
      <c r="A136" s="21" t="str">
        <f t="shared" si="58"/>
        <v>COAL_OFF_2055_PMR1</v>
      </c>
      <c r="B136">
        <f t="shared" si="67"/>
        <v>2050</v>
      </c>
      <c r="C136">
        <v>1</v>
      </c>
      <c r="D136" s="15">
        <f t="shared" si="63"/>
        <v>1</v>
      </c>
      <c r="E136" s="15">
        <f t="shared" si="63"/>
        <v>1</v>
      </c>
      <c r="F136" s="15">
        <f t="shared" si="63"/>
        <v>1</v>
      </c>
      <c r="G136" s="15">
        <f t="shared" si="63"/>
        <v>1</v>
      </c>
      <c r="H136" s="15">
        <f t="shared" si="63"/>
        <v>1</v>
      </c>
      <c r="I136" s="15">
        <f t="shared" si="63"/>
        <v>1</v>
      </c>
      <c r="J136" s="15">
        <f t="shared" si="63"/>
        <v>1</v>
      </c>
      <c r="K136" s="15">
        <f t="shared" si="61"/>
        <v>1</v>
      </c>
      <c r="L136" s="15">
        <v>0</v>
      </c>
      <c r="M136" s="15">
        <f t="shared" si="66"/>
        <v>1</v>
      </c>
      <c r="N136" s="15">
        <f>5/6</f>
        <v>0.83333333333333337</v>
      </c>
      <c r="O136" s="15">
        <f t="shared" si="68"/>
        <v>1</v>
      </c>
      <c r="P136" s="15">
        <f t="shared" si="65"/>
        <v>1</v>
      </c>
      <c r="Q136" s="15">
        <v>0</v>
      </c>
      <c r="R136" s="15">
        <f t="shared" si="64"/>
        <v>1</v>
      </c>
      <c r="S136" s="16" cm="1">
        <f t="array" ref="S136">SUMPRODUCT((1-D136:R136),$D$2:$R$2)</f>
        <v>9274.5</v>
      </c>
    </row>
    <row r="137" spans="1:19" x14ac:dyDescent="0.35">
      <c r="A137" s="21" t="str">
        <f t="shared" si="58"/>
        <v>COAL_OFF_2055_PMR1</v>
      </c>
      <c r="B137">
        <f t="shared" si="67"/>
        <v>2051</v>
      </c>
      <c r="C137">
        <v>1</v>
      </c>
      <c r="D137" s="15">
        <f t="shared" ref="D137:N146" si="69">D136</f>
        <v>1</v>
      </c>
      <c r="E137" s="15">
        <f t="shared" si="69"/>
        <v>1</v>
      </c>
      <c r="F137" s="15">
        <f t="shared" si="69"/>
        <v>1</v>
      </c>
      <c r="G137" s="15">
        <f t="shared" si="69"/>
        <v>1</v>
      </c>
      <c r="H137" s="15">
        <f t="shared" si="69"/>
        <v>1</v>
      </c>
      <c r="I137" s="15">
        <f t="shared" si="69"/>
        <v>1</v>
      </c>
      <c r="J137" s="15">
        <f t="shared" si="69"/>
        <v>1</v>
      </c>
      <c r="K137" s="15">
        <f t="shared" si="61"/>
        <v>1</v>
      </c>
      <c r="L137" s="15">
        <v>0</v>
      </c>
      <c r="M137" s="15">
        <f t="shared" si="66"/>
        <v>1</v>
      </c>
      <c r="N137" s="15">
        <v>1</v>
      </c>
      <c r="O137" s="15">
        <f t="shared" si="68"/>
        <v>1</v>
      </c>
      <c r="P137" s="15">
        <f t="shared" si="65"/>
        <v>1</v>
      </c>
      <c r="Q137" s="15">
        <f>2/6</f>
        <v>0.33333333333333331</v>
      </c>
      <c r="R137" s="15">
        <f t="shared" si="64"/>
        <v>1</v>
      </c>
      <c r="S137" s="16" cm="1">
        <f t="array" ref="S137">SUMPRODUCT((1-D137:R137),$D$2:$R$2)</f>
        <v>7200</v>
      </c>
    </row>
    <row r="138" spans="1:19" x14ac:dyDescent="0.35">
      <c r="A138" s="21" t="str">
        <f t="shared" si="58"/>
        <v>COAL_OFF_2055_PMR1</v>
      </c>
      <c r="B138">
        <f t="shared" si="67"/>
        <v>2052</v>
      </c>
      <c r="C138">
        <v>1</v>
      </c>
      <c r="D138" s="15">
        <f t="shared" si="69"/>
        <v>1</v>
      </c>
      <c r="E138" s="15">
        <f t="shared" si="69"/>
        <v>1</v>
      </c>
      <c r="F138" s="15">
        <f t="shared" si="69"/>
        <v>1</v>
      </c>
      <c r="G138" s="15">
        <f t="shared" si="69"/>
        <v>1</v>
      </c>
      <c r="H138" s="15">
        <f t="shared" si="69"/>
        <v>1</v>
      </c>
      <c r="I138" s="15">
        <f t="shared" si="69"/>
        <v>1</v>
      </c>
      <c r="J138" s="15">
        <f t="shared" si="69"/>
        <v>1</v>
      </c>
      <c r="K138" s="15">
        <f t="shared" si="61"/>
        <v>1</v>
      </c>
      <c r="L138" s="15">
        <f>1/6</f>
        <v>0.16666666666666666</v>
      </c>
      <c r="M138" s="15">
        <f t="shared" si="66"/>
        <v>1</v>
      </c>
      <c r="N138" s="15">
        <f t="shared" si="66"/>
        <v>1</v>
      </c>
      <c r="O138" s="15">
        <f t="shared" si="68"/>
        <v>1</v>
      </c>
      <c r="P138" s="15">
        <f t="shared" si="65"/>
        <v>1</v>
      </c>
      <c r="Q138" s="15">
        <f>3/6</f>
        <v>0.5</v>
      </c>
      <c r="R138" s="15">
        <f t="shared" si="64"/>
        <v>1</v>
      </c>
      <c r="S138" s="16" cm="1">
        <f t="array" ref="S138">SUMPRODUCT((1-D138:R138),$D$2:$R$2)</f>
        <v>5760</v>
      </c>
    </row>
    <row r="139" spans="1:19" x14ac:dyDescent="0.35">
      <c r="A139" s="21" t="str">
        <f t="shared" si="58"/>
        <v>COAL_OFF_2055_PMR1</v>
      </c>
      <c r="B139">
        <f t="shared" si="67"/>
        <v>2053</v>
      </c>
      <c r="C139">
        <v>1</v>
      </c>
      <c r="D139" s="15">
        <f t="shared" si="69"/>
        <v>1</v>
      </c>
      <c r="E139" s="15">
        <f t="shared" si="69"/>
        <v>1</v>
      </c>
      <c r="F139" s="15">
        <f t="shared" si="69"/>
        <v>1</v>
      </c>
      <c r="G139" s="15">
        <f t="shared" si="69"/>
        <v>1</v>
      </c>
      <c r="H139" s="15">
        <f t="shared" si="69"/>
        <v>1</v>
      </c>
      <c r="I139" s="15">
        <f t="shared" si="69"/>
        <v>1</v>
      </c>
      <c r="J139" s="15">
        <f t="shared" si="69"/>
        <v>1</v>
      </c>
      <c r="K139" s="15">
        <f t="shared" si="69"/>
        <v>1</v>
      </c>
      <c r="L139" s="15">
        <f>L138+2/6</f>
        <v>0.5</v>
      </c>
      <c r="M139" s="15">
        <f t="shared" si="66"/>
        <v>1</v>
      </c>
      <c r="N139" s="15">
        <f t="shared" si="66"/>
        <v>1</v>
      </c>
      <c r="O139" s="15">
        <f t="shared" si="68"/>
        <v>1</v>
      </c>
      <c r="P139" s="15">
        <f t="shared" si="65"/>
        <v>1</v>
      </c>
      <c r="Q139" s="15">
        <f>4/6</f>
        <v>0.66666666666666663</v>
      </c>
      <c r="R139" s="15">
        <f t="shared" si="64"/>
        <v>1</v>
      </c>
      <c r="S139" s="16" cm="1">
        <f t="array" ref="S139">SUMPRODUCT((1-D139:R139),$D$2:$R$2)</f>
        <v>3600</v>
      </c>
    </row>
    <row r="140" spans="1:19" x14ac:dyDescent="0.35">
      <c r="A140" s="21" t="str">
        <f t="shared" si="58"/>
        <v>COAL_OFF_2055_PMR1</v>
      </c>
      <c r="B140">
        <f>B139+1</f>
        <v>2054</v>
      </c>
      <c r="C140">
        <v>1</v>
      </c>
      <c r="D140" s="15">
        <f t="shared" si="69"/>
        <v>1</v>
      </c>
      <c r="E140" s="15">
        <f t="shared" si="69"/>
        <v>1</v>
      </c>
      <c r="F140" s="15">
        <f t="shared" si="69"/>
        <v>1</v>
      </c>
      <c r="G140" s="15">
        <f t="shared" si="69"/>
        <v>1</v>
      </c>
      <c r="H140" s="15">
        <f t="shared" si="69"/>
        <v>1</v>
      </c>
      <c r="I140" s="15">
        <f t="shared" si="69"/>
        <v>1</v>
      </c>
      <c r="J140" s="15">
        <f t="shared" si="69"/>
        <v>1</v>
      </c>
      <c r="K140" s="15">
        <f t="shared" si="69"/>
        <v>1</v>
      </c>
      <c r="L140" s="15">
        <f>L139+1/6</f>
        <v>0.66666666666666663</v>
      </c>
      <c r="M140" s="15">
        <f t="shared" si="66"/>
        <v>1</v>
      </c>
      <c r="N140" s="15">
        <f t="shared" si="66"/>
        <v>1</v>
      </c>
      <c r="O140" s="15">
        <f t="shared" si="68"/>
        <v>1</v>
      </c>
      <c r="P140" s="15">
        <f t="shared" si="65"/>
        <v>1</v>
      </c>
      <c r="Q140" s="15">
        <v>1</v>
      </c>
      <c r="R140" s="15">
        <f t="shared" si="64"/>
        <v>1</v>
      </c>
      <c r="S140" s="16" cm="1">
        <f t="array" ref="S140">SUMPRODUCT((1-D140:R140),$D$2:$R$2)</f>
        <v>1440.0000000000002</v>
      </c>
    </row>
    <row r="141" spans="1:19" x14ac:dyDescent="0.35">
      <c r="A141" s="21" t="str">
        <f t="shared" si="58"/>
        <v>COAL_OFF_2055_PMR1</v>
      </c>
      <c r="B141">
        <f t="shared" ref="B141:B143" si="70">B140+1</f>
        <v>2055</v>
      </c>
      <c r="C141">
        <v>1</v>
      </c>
      <c r="D141" s="15">
        <f t="shared" si="69"/>
        <v>1</v>
      </c>
      <c r="E141" s="15">
        <f t="shared" si="69"/>
        <v>1</v>
      </c>
      <c r="F141" s="15">
        <f t="shared" si="69"/>
        <v>1</v>
      </c>
      <c r="G141" s="15">
        <f t="shared" si="69"/>
        <v>1</v>
      </c>
      <c r="H141" s="15">
        <f t="shared" si="69"/>
        <v>1</v>
      </c>
      <c r="I141" s="15">
        <f t="shared" si="69"/>
        <v>1</v>
      </c>
      <c r="J141" s="15">
        <f t="shared" si="69"/>
        <v>1</v>
      </c>
      <c r="K141" s="15">
        <f t="shared" si="69"/>
        <v>1</v>
      </c>
      <c r="L141" s="15">
        <v>1</v>
      </c>
      <c r="M141" s="15">
        <f t="shared" si="66"/>
        <v>1</v>
      </c>
      <c r="N141" s="15">
        <f t="shared" si="66"/>
        <v>1</v>
      </c>
      <c r="O141" s="15">
        <f t="shared" si="68"/>
        <v>1</v>
      </c>
      <c r="P141" s="15">
        <f t="shared" si="68"/>
        <v>1</v>
      </c>
      <c r="Q141" s="15">
        <f t="shared" si="68"/>
        <v>1</v>
      </c>
      <c r="R141" s="15">
        <f t="shared" si="64"/>
        <v>1</v>
      </c>
      <c r="S141" s="16" cm="1">
        <f t="array" ref="S141">SUMPRODUCT((1-D141:R141),$D$2:$R$2)</f>
        <v>0</v>
      </c>
    </row>
    <row r="142" spans="1:19" x14ac:dyDescent="0.35">
      <c r="A142" s="21" t="str">
        <f t="shared" si="58"/>
        <v>COAL_OFF_2055_PMR1</v>
      </c>
      <c r="B142">
        <f t="shared" si="70"/>
        <v>2056</v>
      </c>
      <c r="C142">
        <v>1</v>
      </c>
      <c r="D142" s="15">
        <f t="shared" si="69"/>
        <v>1</v>
      </c>
      <c r="E142" s="15">
        <f t="shared" si="69"/>
        <v>1</v>
      </c>
      <c r="F142" s="15">
        <f t="shared" si="69"/>
        <v>1</v>
      </c>
      <c r="G142" s="15">
        <f t="shared" si="69"/>
        <v>1</v>
      </c>
      <c r="H142" s="15">
        <f t="shared" si="69"/>
        <v>1</v>
      </c>
      <c r="I142" s="15">
        <f t="shared" si="69"/>
        <v>1</v>
      </c>
      <c r="J142" s="15">
        <f t="shared" si="69"/>
        <v>1</v>
      </c>
      <c r="K142" s="15">
        <f t="shared" si="69"/>
        <v>1</v>
      </c>
      <c r="L142" s="15">
        <f t="shared" si="69"/>
        <v>1</v>
      </c>
      <c r="M142" s="15">
        <f t="shared" si="66"/>
        <v>1</v>
      </c>
      <c r="N142" s="15">
        <f t="shared" si="66"/>
        <v>1</v>
      </c>
      <c r="O142" s="15">
        <f t="shared" si="68"/>
        <v>1</v>
      </c>
      <c r="P142" s="15">
        <f t="shared" si="68"/>
        <v>1</v>
      </c>
      <c r="Q142" s="15">
        <f t="shared" si="68"/>
        <v>1</v>
      </c>
      <c r="R142" s="15">
        <f t="shared" si="64"/>
        <v>1</v>
      </c>
      <c r="S142" s="16" cm="1">
        <f t="array" ref="S142">SUMPRODUCT((1-D142:R142),$D$2:$R$2)</f>
        <v>0</v>
      </c>
    </row>
    <row r="143" spans="1:19" x14ac:dyDescent="0.35">
      <c r="A143" s="21" t="str">
        <f t="shared" si="58"/>
        <v>COAL_OFF_2055_PMR1</v>
      </c>
      <c r="B143">
        <f t="shared" si="70"/>
        <v>2057</v>
      </c>
      <c r="C143">
        <v>1</v>
      </c>
      <c r="D143" s="15">
        <f t="shared" si="69"/>
        <v>1</v>
      </c>
      <c r="E143" s="15">
        <f t="shared" si="69"/>
        <v>1</v>
      </c>
      <c r="F143" s="15">
        <f t="shared" si="69"/>
        <v>1</v>
      </c>
      <c r="G143" s="15">
        <f t="shared" si="69"/>
        <v>1</v>
      </c>
      <c r="H143" s="15">
        <f t="shared" si="69"/>
        <v>1</v>
      </c>
      <c r="I143" s="15">
        <f t="shared" si="69"/>
        <v>1</v>
      </c>
      <c r="J143" s="15">
        <f t="shared" si="69"/>
        <v>1</v>
      </c>
      <c r="K143" s="15">
        <f t="shared" si="69"/>
        <v>1</v>
      </c>
      <c r="L143" s="15">
        <f t="shared" si="69"/>
        <v>1</v>
      </c>
      <c r="M143" s="15">
        <f t="shared" si="66"/>
        <v>1</v>
      </c>
      <c r="N143" s="15">
        <f t="shared" si="66"/>
        <v>1</v>
      </c>
      <c r="O143" s="15">
        <f t="shared" si="68"/>
        <v>1</v>
      </c>
      <c r="P143" s="15">
        <f t="shared" si="68"/>
        <v>1</v>
      </c>
      <c r="Q143" s="15">
        <f t="shared" si="68"/>
        <v>1</v>
      </c>
      <c r="R143" s="15">
        <f t="shared" si="64"/>
        <v>1</v>
      </c>
      <c r="S143" s="16" cm="1">
        <f t="array" ref="S143">SUMPRODUCT((1-D143:R143),$D$2:$R$2)</f>
        <v>0</v>
      </c>
    </row>
    <row r="144" spans="1:19" x14ac:dyDescent="0.35">
      <c r="A144" s="21" t="str">
        <f t="shared" si="58"/>
        <v>COAL_OFF_2055_PMR1</v>
      </c>
      <c r="B144">
        <f>B143+1</f>
        <v>2058</v>
      </c>
      <c r="C144">
        <v>1</v>
      </c>
      <c r="D144" s="15">
        <f t="shared" si="69"/>
        <v>1</v>
      </c>
      <c r="E144" s="15">
        <f t="shared" si="69"/>
        <v>1</v>
      </c>
      <c r="F144" s="15">
        <f t="shared" si="69"/>
        <v>1</v>
      </c>
      <c r="G144" s="15">
        <f t="shared" si="69"/>
        <v>1</v>
      </c>
      <c r="H144" s="15">
        <f t="shared" si="69"/>
        <v>1</v>
      </c>
      <c r="I144" s="15">
        <f t="shared" si="69"/>
        <v>1</v>
      </c>
      <c r="J144" s="15">
        <f t="shared" si="69"/>
        <v>1</v>
      </c>
      <c r="K144" s="15">
        <f t="shared" si="69"/>
        <v>1</v>
      </c>
      <c r="L144" s="15">
        <f t="shared" si="69"/>
        <v>1</v>
      </c>
      <c r="M144" s="15">
        <f t="shared" si="66"/>
        <v>1</v>
      </c>
      <c r="N144" s="15">
        <f t="shared" si="66"/>
        <v>1</v>
      </c>
      <c r="O144" s="15">
        <f t="shared" si="68"/>
        <v>1</v>
      </c>
      <c r="P144" s="15">
        <f t="shared" si="68"/>
        <v>1</v>
      </c>
      <c r="Q144" s="15">
        <f t="shared" si="68"/>
        <v>1</v>
      </c>
      <c r="R144" s="15">
        <f t="shared" si="64"/>
        <v>1</v>
      </c>
      <c r="S144" s="16" cm="1">
        <f t="array" ref="S144">SUMPRODUCT((1-D144:R144),$D$2:$R$2)</f>
        <v>0</v>
      </c>
    </row>
    <row r="145" spans="1:19" x14ac:dyDescent="0.35">
      <c r="A145" s="21" t="str">
        <f t="shared" si="58"/>
        <v>COAL_OFF_2055_PMR1</v>
      </c>
      <c r="B145">
        <f t="shared" ref="B145" si="71">B144+1</f>
        <v>2059</v>
      </c>
      <c r="C145">
        <v>1</v>
      </c>
      <c r="D145" s="15">
        <f t="shared" si="69"/>
        <v>1</v>
      </c>
      <c r="E145" s="15">
        <f t="shared" si="69"/>
        <v>1</v>
      </c>
      <c r="F145" s="15">
        <f t="shared" si="69"/>
        <v>1</v>
      </c>
      <c r="G145" s="15">
        <f t="shared" si="69"/>
        <v>1</v>
      </c>
      <c r="H145" s="15">
        <f t="shared" si="69"/>
        <v>1</v>
      </c>
      <c r="I145" s="15">
        <f t="shared" si="69"/>
        <v>1</v>
      </c>
      <c r="J145" s="15">
        <f t="shared" si="69"/>
        <v>1</v>
      </c>
      <c r="K145" s="15">
        <f t="shared" si="69"/>
        <v>1</v>
      </c>
      <c r="L145" s="15">
        <f t="shared" si="69"/>
        <v>1</v>
      </c>
      <c r="M145" s="15">
        <f t="shared" si="69"/>
        <v>1</v>
      </c>
      <c r="N145" s="15">
        <f t="shared" si="69"/>
        <v>1</v>
      </c>
      <c r="O145" s="15">
        <f t="shared" si="68"/>
        <v>1</v>
      </c>
      <c r="P145" s="15">
        <f t="shared" si="68"/>
        <v>1</v>
      </c>
      <c r="Q145" s="15">
        <f t="shared" si="68"/>
        <v>1</v>
      </c>
      <c r="R145" s="15">
        <f t="shared" si="64"/>
        <v>1</v>
      </c>
      <c r="S145" s="16" cm="1">
        <f t="array" ref="S145">SUMPRODUCT((1-D145:R145),$D$2:$R$2)</f>
        <v>0</v>
      </c>
    </row>
    <row r="146" spans="1:19" x14ac:dyDescent="0.35">
      <c r="A146" s="22" t="str">
        <f t="shared" si="58"/>
        <v>COAL_OFF_2055_PMR1</v>
      </c>
      <c r="B146" s="18">
        <f>B145+1</f>
        <v>2060</v>
      </c>
      <c r="C146" s="18">
        <v>1</v>
      </c>
      <c r="D146" s="19">
        <f t="shared" si="69"/>
        <v>1</v>
      </c>
      <c r="E146" s="19">
        <f t="shared" si="69"/>
        <v>1</v>
      </c>
      <c r="F146" s="19">
        <f t="shared" si="69"/>
        <v>1</v>
      </c>
      <c r="G146" s="19">
        <f t="shared" si="69"/>
        <v>1</v>
      </c>
      <c r="H146" s="19">
        <f t="shared" si="69"/>
        <v>1</v>
      </c>
      <c r="I146" s="19">
        <f t="shared" si="69"/>
        <v>1</v>
      </c>
      <c r="J146" s="19">
        <f t="shared" si="69"/>
        <v>1</v>
      </c>
      <c r="K146" s="19">
        <f t="shared" si="69"/>
        <v>1</v>
      </c>
      <c r="L146" s="19">
        <f t="shared" si="69"/>
        <v>1</v>
      </c>
      <c r="M146" s="19">
        <f t="shared" si="69"/>
        <v>1</v>
      </c>
      <c r="N146" s="19">
        <f t="shared" si="69"/>
        <v>1</v>
      </c>
      <c r="O146" s="19">
        <f t="shared" si="68"/>
        <v>1</v>
      </c>
      <c r="P146" s="19">
        <f t="shared" si="68"/>
        <v>1</v>
      </c>
      <c r="Q146" s="19">
        <f t="shared" si="68"/>
        <v>1</v>
      </c>
      <c r="R146" s="19">
        <f t="shared" si="64"/>
        <v>1</v>
      </c>
      <c r="S146" s="20" cm="1">
        <f t="array" ref="S146">SUMPRODUCT((1-D146:R146),$D$2:$R$2)</f>
        <v>0</v>
      </c>
    </row>
    <row r="147" spans="1:19" x14ac:dyDescent="0.35">
      <c r="A147" s="23" t="s">
        <v>28</v>
      </c>
      <c r="B147">
        <v>2025</v>
      </c>
      <c r="C147">
        <v>1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6" cm="1">
        <f t="array" ref="S147">SUMPRODUCT((1-D147:R147),$D$2:$R$2)</f>
        <v>41419</v>
      </c>
    </row>
    <row r="148" spans="1:19" x14ac:dyDescent="0.35">
      <c r="A148" s="23" t="str">
        <f>A147</f>
        <v>COAL_OFF_2060_PMR1</v>
      </c>
      <c r="B148">
        <f>B147+1</f>
        <v>2026</v>
      </c>
      <c r="C148">
        <v>1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6" cm="1">
        <f t="array" ref="S148">SUMPRODUCT((1-D148:R148),$D$2:$R$2)</f>
        <v>41419</v>
      </c>
    </row>
    <row r="149" spans="1:19" x14ac:dyDescent="0.35">
      <c r="A149" s="23" t="str">
        <f t="shared" ref="A149:A182" si="72">A148</f>
        <v>COAL_OFF_2060_PMR1</v>
      </c>
      <c r="B149">
        <f t="shared" ref="B149:B167" si="73">B148+1</f>
        <v>2027</v>
      </c>
      <c r="C149">
        <v>1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0</v>
      </c>
      <c r="K149" s="15">
        <v>0</v>
      </c>
      <c r="L149" s="15">
        <v>0</v>
      </c>
      <c r="M149" s="15">
        <v>0</v>
      </c>
      <c r="N149" s="15">
        <v>0</v>
      </c>
      <c r="O149" s="15">
        <v>0</v>
      </c>
      <c r="P149" s="15">
        <v>0</v>
      </c>
      <c r="Q149" s="15">
        <v>0</v>
      </c>
      <c r="R149" s="15">
        <v>0</v>
      </c>
      <c r="S149" s="16" cm="1">
        <f t="array" ref="S149">SUMPRODUCT((1-D149:R149),$D$2:$R$2)</f>
        <v>41419</v>
      </c>
    </row>
    <row r="150" spans="1:19" x14ac:dyDescent="0.35">
      <c r="A150" s="23" t="str">
        <f t="shared" si="72"/>
        <v>COAL_OFF_2060_PMR1</v>
      </c>
      <c r="B150">
        <f t="shared" si="73"/>
        <v>2028</v>
      </c>
      <c r="C150">
        <v>1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6" cm="1">
        <f t="array" ref="S150">SUMPRODUCT((1-D150:R150),$D$2:$R$2)</f>
        <v>41419</v>
      </c>
    </row>
    <row r="151" spans="1:19" x14ac:dyDescent="0.35">
      <c r="A151" s="23" t="str">
        <f t="shared" si="72"/>
        <v>COAL_OFF_2060_PMR1</v>
      </c>
      <c r="B151">
        <f t="shared" si="73"/>
        <v>2029</v>
      </c>
      <c r="C151">
        <v>1</v>
      </c>
      <c r="D151" s="15">
        <v>0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0</v>
      </c>
      <c r="K151" s="15">
        <v>0</v>
      </c>
      <c r="L151" s="15">
        <v>0</v>
      </c>
      <c r="M151" s="15">
        <v>0</v>
      </c>
      <c r="N151" s="15">
        <v>0</v>
      </c>
      <c r="O151" s="15">
        <v>0</v>
      </c>
      <c r="P151" s="15">
        <v>0</v>
      </c>
      <c r="Q151" s="15">
        <v>0</v>
      </c>
      <c r="R151" s="15">
        <v>0</v>
      </c>
      <c r="S151" s="16" cm="1">
        <f t="array" ref="S151">SUMPRODUCT((1-D151:R151),$D$2:$R$2)</f>
        <v>41419</v>
      </c>
    </row>
    <row r="152" spans="1:19" x14ac:dyDescent="0.35">
      <c r="A152" s="23" t="str">
        <f t="shared" si="72"/>
        <v>COAL_OFF_2060_PMR1</v>
      </c>
      <c r="B152">
        <f t="shared" si="73"/>
        <v>2030</v>
      </c>
      <c r="C152">
        <v>1</v>
      </c>
      <c r="D152" s="15">
        <v>0</v>
      </c>
      <c r="E152" s="15">
        <v>0</v>
      </c>
      <c r="F152" s="15">
        <v>0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6" cm="1">
        <f t="array" ref="S152">SUMPRODUCT((1-D152:R152),$D$2:$R$2)</f>
        <v>41419</v>
      </c>
    </row>
    <row r="153" spans="1:19" x14ac:dyDescent="0.35">
      <c r="A153" s="23" t="str">
        <f t="shared" si="72"/>
        <v>COAL_OFF_2060_PMR1</v>
      </c>
      <c r="B153">
        <f t="shared" si="73"/>
        <v>2031</v>
      </c>
      <c r="C153">
        <v>1</v>
      </c>
      <c r="D153" s="15">
        <f>1/6</f>
        <v>0.16666666666666666</v>
      </c>
      <c r="E153" s="15">
        <v>0</v>
      </c>
      <c r="F153" s="15">
        <v>0</v>
      </c>
      <c r="G153" s="15">
        <v>1</v>
      </c>
      <c r="H153" s="15">
        <v>0</v>
      </c>
      <c r="I153" s="15">
        <v>0</v>
      </c>
      <c r="J153" s="15">
        <v>0</v>
      </c>
      <c r="K153" s="15">
        <v>0</v>
      </c>
      <c r="L153" s="15">
        <v>0</v>
      </c>
      <c r="M153" s="15">
        <v>0</v>
      </c>
      <c r="N153" s="15">
        <v>0</v>
      </c>
      <c r="O153" s="15">
        <v>0</v>
      </c>
      <c r="P153" s="15">
        <v>0</v>
      </c>
      <c r="Q153" s="15">
        <v>0</v>
      </c>
      <c r="R153" s="15">
        <f>2/6</f>
        <v>0.33333333333333331</v>
      </c>
      <c r="S153" s="16" cm="1">
        <f t="array" ref="S153">SUMPRODUCT((1-D153:R153),$D$2:$R$2)</f>
        <v>39329</v>
      </c>
    </row>
    <row r="154" spans="1:19" x14ac:dyDescent="0.35">
      <c r="A154" s="23" t="str">
        <f t="shared" si="72"/>
        <v>COAL_OFF_2060_PMR1</v>
      </c>
      <c r="B154">
        <f t="shared" si="73"/>
        <v>2032</v>
      </c>
      <c r="C154">
        <v>1</v>
      </c>
      <c r="D154" s="15">
        <f>D153</f>
        <v>0.16666666666666666</v>
      </c>
      <c r="E154" s="15">
        <v>0</v>
      </c>
      <c r="F154" s="15">
        <v>0</v>
      </c>
      <c r="G154" s="15">
        <f t="shared" ref="G154:I159" si="74">G153</f>
        <v>1</v>
      </c>
      <c r="H154" s="15">
        <f>3/6</f>
        <v>0.5</v>
      </c>
      <c r="I154" s="15">
        <v>0</v>
      </c>
      <c r="J154" s="15">
        <v>0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f>0.5</f>
        <v>0.5</v>
      </c>
      <c r="Q154" s="15">
        <v>0</v>
      </c>
      <c r="R154" s="15">
        <f>R153</f>
        <v>0.33333333333333331</v>
      </c>
      <c r="S154" s="16" cm="1">
        <f t="array" ref="S154">SUMPRODUCT((1-D154:R154),$D$2:$R$2)</f>
        <v>37055</v>
      </c>
    </row>
    <row r="155" spans="1:19" x14ac:dyDescent="0.35">
      <c r="A155" s="23" t="str">
        <f t="shared" si="72"/>
        <v>COAL_OFF_2060_PMR1</v>
      </c>
      <c r="B155">
        <f t="shared" si="73"/>
        <v>2033</v>
      </c>
      <c r="C155">
        <v>1</v>
      </c>
      <c r="D155" s="15">
        <f>2/6</f>
        <v>0.33333333333333331</v>
      </c>
      <c r="E155" s="15">
        <v>0</v>
      </c>
      <c r="F155" s="15">
        <v>0</v>
      </c>
      <c r="G155" s="15">
        <f t="shared" si="74"/>
        <v>1</v>
      </c>
      <c r="H155" s="15">
        <v>1</v>
      </c>
      <c r="I155" s="15">
        <v>1</v>
      </c>
      <c r="J155" s="15">
        <v>0</v>
      </c>
      <c r="K155" s="15">
        <f>2/6</f>
        <v>0.33333333333333331</v>
      </c>
      <c r="L155" s="15">
        <v>0</v>
      </c>
      <c r="M155" s="15">
        <v>0</v>
      </c>
      <c r="N155" s="15">
        <v>0</v>
      </c>
      <c r="O155" s="15">
        <v>0</v>
      </c>
      <c r="P155" s="15">
        <f t="shared" ref="P155:P158" si="75">0.5</f>
        <v>0.5</v>
      </c>
      <c r="Q155" s="15">
        <v>0</v>
      </c>
      <c r="R155" s="15">
        <f>3/6</f>
        <v>0.5</v>
      </c>
      <c r="S155" s="16" cm="1">
        <f t="array" ref="S155">SUMPRODUCT((1-D155:R155),$D$2:$R$2)</f>
        <v>34531</v>
      </c>
    </row>
    <row r="156" spans="1:19" x14ac:dyDescent="0.35">
      <c r="A156" s="23" t="str">
        <f t="shared" si="72"/>
        <v>COAL_OFF_2060_PMR1</v>
      </c>
      <c r="B156">
        <f t="shared" si="73"/>
        <v>2034</v>
      </c>
      <c r="C156">
        <v>1</v>
      </c>
      <c r="D156" s="15">
        <f>3/6</f>
        <v>0.5</v>
      </c>
      <c r="E156" s="15">
        <v>0</v>
      </c>
      <c r="F156" s="15">
        <v>0</v>
      </c>
      <c r="G156" s="15">
        <f t="shared" si="74"/>
        <v>1</v>
      </c>
      <c r="H156" s="15">
        <f t="shared" si="74"/>
        <v>1</v>
      </c>
      <c r="I156" s="15">
        <f t="shared" si="74"/>
        <v>1</v>
      </c>
      <c r="J156" s="15">
        <v>0</v>
      </c>
      <c r="K156" s="15">
        <f>K155</f>
        <v>0.33333333333333331</v>
      </c>
      <c r="L156" s="15">
        <v>0</v>
      </c>
      <c r="M156" s="15">
        <v>0</v>
      </c>
      <c r="N156" s="15">
        <v>0</v>
      </c>
      <c r="O156" s="15">
        <v>0</v>
      </c>
      <c r="P156" s="15">
        <f t="shared" si="75"/>
        <v>0.5</v>
      </c>
      <c r="Q156" s="15">
        <v>0</v>
      </c>
      <c r="R156" s="15">
        <v>1</v>
      </c>
      <c r="S156" s="16" cm="1">
        <f t="array" ref="S156">SUMPRODUCT((1-D156:R156),$D$2:$R$2)</f>
        <v>32426</v>
      </c>
    </row>
    <row r="157" spans="1:19" x14ac:dyDescent="0.35">
      <c r="A157" s="23" t="str">
        <f t="shared" si="72"/>
        <v>COAL_OFF_2060_PMR1</v>
      </c>
      <c r="B157">
        <f t="shared" si="73"/>
        <v>2035</v>
      </c>
      <c r="C157">
        <v>1</v>
      </c>
      <c r="D157" s="15">
        <v>1</v>
      </c>
      <c r="E157" s="15">
        <f>6/8</f>
        <v>0.75</v>
      </c>
      <c r="F157" s="15">
        <v>0</v>
      </c>
      <c r="G157" s="15">
        <f t="shared" si="74"/>
        <v>1</v>
      </c>
      <c r="H157" s="15">
        <f t="shared" si="74"/>
        <v>1</v>
      </c>
      <c r="I157" s="15">
        <f t="shared" si="74"/>
        <v>1</v>
      </c>
      <c r="J157" s="15">
        <v>0</v>
      </c>
      <c r="K157" s="15">
        <f t="shared" ref="K157" si="76">K156</f>
        <v>0.33333333333333331</v>
      </c>
      <c r="L157" s="15">
        <v>0</v>
      </c>
      <c r="M157" s="15">
        <v>0</v>
      </c>
      <c r="N157" s="15">
        <v>0</v>
      </c>
      <c r="O157" s="15">
        <v>0</v>
      </c>
      <c r="P157" s="15">
        <f t="shared" si="75"/>
        <v>0.5</v>
      </c>
      <c r="Q157" s="15">
        <v>0</v>
      </c>
      <c r="R157" s="15">
        <f>R156</f>
        <v>1</v>
      </c>
      <c r="S157" s="16" cm="1">
        <f t="array" ref="S157">SUMPRODUCT((1-D157:R157),$D$2:$R$2)</f>
        <v>30265.25</v>
      </c>
    </row>
    <row r="158" spans="1:19" x14ac:dyDescent="0.35">
      <c r="A158" s="23" t="str">
        <f t="shared" si="72"/>
        <v>COAL_OFF_2060_PMR1</v>
      </c>
      <c r="B158">
        <f t="shared" si="73"/>
        <v>2036</v>
      </c>
      <c r="C158">
        <v>1</v>
      </c>
      <c r="D158" s="15">
        <f t="shared" ref="D158:K173" si="77">D157</f>
        <v>1</v>
      </c>
      <c r="E158" s="15">
        <v>1</v>
      </c>
      <c r="F158" s="15">
        <v>0</v>
      </c>
      <c r="G158" s="15">
        <f t="shared" si="74"/>
        <v>1</v>
      </c>
      <c r="H158" s="15">
        <f t="shared" si="74"/>
        <v>1</v>
      </c>
      <c r="I158" s="15">
        <f t="shared" si="74"/>
        <v>1</v>
      </c>
      <c r="J158" s="15">
        <v>0</v>
      </c>
      <c r="K158" s="15">
        <v>1</v>
      </c>
      <c r="L158" s="15">
        <v>0</v>
      </c>
      <c r="M158" s="15">
        <v>0</v>
      </c>
      <c r="N158" s="15">
        <v>0</v>
      </c>
      <c r="O158" s="15">
        <v>0</v>
      </c>
      <c r="P158" s="15">
        <f t="shared" si="75"/>
        <v>0.5</v>
      </c>
      <c r="Q158" s="15">
        <v>0</v>
      </c>
      <c r="R158" s="15">
        <f t="shared" ref="R158:R182" si="78">R157</f>
        <v>1</v>
      </c>
      <c r="S158" s="16" cm="1">
        <f t="array" ref="S158">SUMPRODUCT((1-D158:R158),$D$2:$R$2)</f>
        <v>28135</v>
      </c>
    </row>
    <row r="159" spans="1:19" x14ac:dyDescent="0.35">
      <c r="A159" s="23" t="str">
        <f t="shared" si="72"/>
        <v>COAL_OFF_2060_PMR1</v>
      </c>
      <c r="B159">
        <f t="shared" si="73"/>
        <v>2037</v>
      </c>
      <c r="C159">
        <v>1</v>
      </c>
      <c r="D159" s="15">
        <f t="shared" si="77"/>
        <v>1</v>
      </c>
      <c r="E159" s="15">
        <f t="shared" si="77"/>
        <v>1</v>
      </c>
      <c r="F159" s="15">
        <v>0</v>
      </c>
      <c r="G159" s="15">
        <f t="shared" si="74"/>
        <v>1</v>
      </c>
      <c r="H159" s="15">
        <f t="shared" si="74"/>
        <v>1</v>
      </c>
      <c r="I159" s="15">
        <f t="shared" si="74"/>
        <v>1</v>
      </c>
      <c r="J159" s="15">
        <f>1/6</f>
        <v>0.16666666666666666</v>
      </c>
      <c r="K159" s="15">
        <f t="shared" ref="K159:K165" si="79">K158</f>
        <v>1</v>
      </c>
      <c r="L159" s="15">
        <v>0</v>
      </c>
      <c r="M159" s="15">
        <v>0</v>
      </c>
      <c r="N159" s="15">
        <v>0</v>
      </c>
      <c r="O159" s="15">
        <v>0</v>
      </c>
      <c r="P159" s="15">
        <v>1</v>
      </c>
      <c r="Q159" s="15">
        <v>0</v>
      </c>
      <c r="R159" s="15">
        <f t="shared" si="78"/>
        <v>1</v>
      </c>
      <c r="S159" s="16" cm="1">
        <f t="array" ref="S159">SUMPRODUCT((1-D159:R159),$D$2:$R$2)</f>
        <v>25770</v>
      </c>
    </row>
    <row r="160" spans="1:19" x14ac:dyDescent="0.35">
      <c r="A160" s="23" t="str">
        <f t="shared" si="72"/>
        <v>COAL_OFF_2060_PMR1</v>
      </c>
      <c r="B160">
        <f t="shared" si="73"/>
        <v>2038</v>
      </c>
      <c r="C160">
        <v>1</v>
      </c>
      <c r="D160" s="15">
        <f t="shared" si="77"/>
        <v>1</v>
      </c>
      <c r="E160" s="15">
        <f t="shared" si="77"/>
        <v>1</v>
      </c>
      <c r="F160" s="15">
        <f>1/5</f>
        <v>0.2</v>
      </c>
      <c r="G160" s="15">
        <f t="shared" si="77"/>
        <v>1</v>
      </c>
      <c r="H160" s="15">
        <f t="shared" si="77"/>
        <v>1</v>
      </c>
      <c r="I160" s="15">
        <f t="shared" si="77"/>
        <v>1</v>
      </c>
      <c r="J160" s="15">
        <f>3/6</f>
        <v>0.5</v>
      </c>
      <c r="K160" s="15">
        <f t="shared" si="79"/>
        <v>1</v>
      </c>
      <c r="L160" s="15">
        <v>0</v>
      </c>
      <c r="M160" s="15">
        <v>0</v>
      </c>
      <c r="N160" s="15">
        <v>0</v>
      </c>
      <c r="O160" s="15">
        <v>0</v>
      </c>
      <c r="P160" s="15">
        <f>P159</f>
        <v>1</v>
      </c>
      <c r="Q160" s="15">
        <v>0</v>
      </c>
      <c r="R160" s="15">
        <f t="shared" si="78"/>
        <v>1</v>
      </c>
      <c r="S160" s="16" cm="1">
        <f t="array" ref="S160">SUMPRODUCT((1-D160:R160),$D$2:$R$2)</f>
        <v>23915</v>
      </c>
    </row>
    <row r="161" spans="1:19" x14ac:dyDescent="0.35">
      <c r="A161" s="23" t="str">
        <f t="shared" si="72"/>
        <v>COAL_OFF_2060_PMR1</v>
      </c>
      <c r="B161">
        <f t="shared" si="73"/>
        <v>2039</v>
      </c>
      <c r="C161">
        <v>1</v>
      </c>
      <c r="D161" s="15">
        <f t="shared" si="77"/>
        <v>1</v>
      </c>
      <c r="E161" s="15">
        <f t="shared" si="77"/>
        <v>1</v>
      </c>
      <c r="F161" s="15">
        <v>1</v>
      </c>
      <c r="G161" s="15">
        <f t="shared" si="77"/>
        <v>1</v>
      </c>
      <c r="H161" s="15">
        <f t="shared" si="77"/>
        <v>1</v>
      </c>
      <c r="I161" s="15">
        <f t="shared" si="77"/>
        <v>1</v>
      </c>
      <c r="J161" s="15">
        <f>J160</f>
        <v>0.5</v>
      </c>
      <c r="K161" s="15">
        <f t="shared" si="79"/>
        <v>1</v>
      </c>
      <c r="L161" s="15">
        <v>0</v>
      </c>
      <c r="M161" s="15">
        <v>0</v>
      </c>
      <c r="N161" s="15">
        <v>0</v>
      </c>
      <c r="O161" s="15">
        <v>0</v>
      </c>
      <c r="P161" s="15">
        <f t="shared" ref="P161:P169" si="80">P160</f>
        <v>1</v>
      </c>
      <c r="Q161" s="15">
        <v>0</v>
      </c>
      <c r="R161" s="15">
        <f t="shared" si="78"/>
        <v>1</v>
      </c>
      <c r="S161" s="16" cm="1">
        <f t="array" ref="S161">SUMPRODUCT((1-D161:R161),$D$2:$R$2)</f>
        <v>21615</v>
      </c>
    </row>
    <row r="162" spans="1:19" x14ac:dyDescent="0.35">
      <c r="A162" s="23" t="str">
        <f t="shared" si="72"/>
        <v>COAL_OFF_2060_PMR1</v>
      </c>
      <c r="B162">
        <f t="shared" si="73"/>
        <v>2040</v>
      </c>
      <c r="C162">
        <v>1</v>
      </c>
      <c r="D162" s="15">
        <f t="shared" si="77"/>
        <v>1</v>
      </c>
      <c r="E162" s="15">
        <f t="shared" si="77"/>
        <v>1</v>
      </c>
      <c r="F162" s="15">
        <f t="shared" si="77"/>
        <v>1</v>
      </c>
      <c r="G162" s="15">
        <f t="shared" si="77"/>
        <v>1</v>
      </c>
      <c r="H162" s="15">
        <f t="shared" si="77"/>
        <v>1</v>
      </c>
      <c r="I162" s="15">
        <f t="shared" si="77"/>
        <v>1</v>
      </c>
      <c r="J162" s="15">
        <v>0.5</v>
      </c>
      <c r="K162" s="15">
        <f t="shared" si="79"/>
        <v>1</v>
      </c>
      <c r="L162" s="15">
        <v>0</v>
      </c>
      <c r="M162" s="15">
        <f>4/6</f>
        <v>0.66666666666666663</v>
      </c>
      <c r="N162" s="15">
        <v>0</v>
      </c>
      <c r="O162" s="15">
        <v>0</v>
      </c>
      <c r="P162" s="15">
        <f t="shared" si="80"/>
        <v>1</v>
      </c>
      <c r="Q162" s="15">
        <v>0</v>
      </c>
      <c r="R162" s="15">
        <f t="shared" si="78"/>
        <v>1</v>
      </c>
      <c r="S162" s="16" cm="1">
        <f t="array" ref="S162">SUMPRODUCT((1-D162:R162),$D$2:$R$2)</f>
        <v>19243</v>
      </c>
    </row>
    <row r="163" spans="1:19" x14ac:dyDescent="0.35">
      <c r="A163" s="23" t="str">
        <f t="shared" si="72"/>
        <v>COAL_OFF_2060_PMR1</v>
      </c>
      <c r="B163">
        <f t="shared" si="73"/>
        <v>2041</v>
      </c>
      <c r="C163">
        <v>1</v>
      </c>
      <c r="D163" s="15">
        <f t="shared" si="77"/>
        <v>1</v>
      </c>
      <c r="E163" s="15">
        <f t="shared" si="77"/>
        <v>1</v>
      </c>
      <c r="F163" s="15">
        <f t="shared" si="77"/>
        <v>1</v>
      </c>
      <c r="G163" s="15">
        <f t="shared" si="77"/>
        <v>1</v>
      </c>
      <c r="H163" s="15">
        <f t="shared" si="77"/>
        <v>1</v>
      </c>
      <c r="I163" s="15">
        <f t="shared" si="77"/>
        <v>1</v>
      </c>
      <c r="J163" s="15">
        <f>J162</f>
        <v>0.5</v>
      </c>
      <c r="K163" s="15">
        <f t="shared" si="79"/>
        <v>1</v>
      </c>
      <c r="L163" s="15">
        <v>0</v>
      </c>
      <c r="M163" s="15">
        <f>5/6</f>
        <v>0.83333333333333337</v>
      </c>
      <c r="N163" s="15">
        <v>0</v>
      </c>
      <c r="O163" s="15">
        <f>1/6</f>
        <v>0.16666666666666666</v>
      </c>
      <c r="P163" s="15">
        <f t="shared" si="80"/>
        <v>1</v>
      </c>
      <c r="Q163" s="15">
        <v>0</v>
      </c>
      <c r="R163" s="15">
        <f t="shared" si="78"/>
        <v>1</v>
      </c>
      <c r="S163" s="16" cm="1">
        <f t="array" ref="S163">SUMPRODUCT((1-D163:R163),$D$2:$R$2)</f>
        <v>18035</v>
      </c>
    </row>
    <row r="164" spans="1:19" x14ac:dyDescent="0.35">
      <c r="A164" s="23" t="str">
        <f t="shared" si="72"/>
        <v>COAL_OFF_2060_PMR1</v>
      </c>
      <c r="B164">
        <f t="shared" si="73"/>
        <v>2042</v>
      </c>
      <c r="C164">
        <v>1</v>
      </c>
      <c r="D164" s="15">
        <f t="shared" si="77"/>
        <v>1</v>
      </c>
      <c r="E164" s="15">
        <f t="shared" si="77"/>
        <v>1</v>
      </c>
      <c r="F164" s="15">
        <f t="shared" si="77"/>
        <v>1</v>
      </c>
      <c r="G164" s="15">
        <f t="shared" si="77"/>
        <v>1</v>
      </c>
      <c r="H164" s="15">
        <f t="shared" si="77"/>
        <v>1</v>
      </c>
      <c r="I164" s="15">
        <f t="shared" si="77"/>
        <v>1</v>
      </c>
      <c r="J164" s="15">
        <f>J163+2/6</f>
        <v>0.83333333333333326</v>
      </c>
      <c r="K164" s="15">
        <f t="shared" si="79"/>
        <v>1</v>
      </c>
      <c r="L164" s="15">
        <v>0</v>
      </c>
      <c r="M164" s="15">
        <v>1</v>
      </c>
      <c r="N164" s="15">
        <v>0</v>
      </c>
      <c r="O164" s="15">
        <f>1/6</f>
        <v>0.16666666666666666</v>
      </c>
      <c r="P164" s="15">
        <f t="shared" si="80"/>
        <v>1</v>
      </c>
      <c r="Q164" s="15">
        <v>0</v>
      </c>
      <c r="R164" s="15">
        <f t="shared" si="78"/>
        <v>1</v>
      </c>
      <c r="S164" s="16" cm="1">
        <f t="array" ref="S164">SUMPRODUCT((1-D164:R164),$D$2:$R$2)</f>
        <v>16162</v>
      </c>
    </row>
    <row r="165" spans="1:19" x14ac:dyDescent="0.35">
      <c r="A165" s="23" t="str">
        <f t="shared" si="72"/>
        <v>COAL_OFF_2060_PMR1</v>
      </c>
      <c r="B165">
        <f t="shared" si="73"/>
        <v>2043</v>
      </c>
      <c r="C165">
        <v>1</v>
      </c>
      <c r="D165" s="15">
        <f t="shared" si="77"/>
        <v>1</v>
      </c>
      <c r="E165" s="15">
        <f t="shared" si="77"/>
        <v>1</v>
      </c>
      <c r="F165" s="15">
        <f t="shared" si="77"/>
        <v>1</v>
      </c>
      <c r="G165" s="15">
        <f t="shared" si="77"/>
        <v>1</v>
      </c>
      <c r="H165" s="15">
        <f t="shared" si="77"/>
        <v>1</v>
      </c>
      <c r="I165" s="15">
        <f t="shared" si="77"/>
        <v>1</v>
      </c>
      <c r="J165" s="15">
        <v>1</v>
      </c>
      <c r="K165" s="15">
        <f t="shared" si="79"/>
        <v>1</v>
      </c>
      <c r="L165" s="15">
        <v>0</v>
      </c>
      <c r="M165" s="15">
        <f t="shared" ref="M165:P177" si="81">M164</f>
        <v>1</v>
      </c>
      <c r="N165" s="15">
        <f>1/6</f>
        <v>0.16666666666666666</v>
      </c>
      <c r="O165" s="15">
        <f>O164</f>
        <v>0.16666666666666666</v>
      </c>
      <c r="P165" s="15">
        <f t="shared" si="80"/>
        <v>1</v>
      </c>
      <c r="Q165" s="15">
        <v>0</v>
      </c>
      <c r="R165" s="15">
        <f t="shared" si="78"/>
        <v>1</v>
      </c>
      <c r="S165" s="16" cm="1">
        <f t="array" ref="S165">SUMPRODUCT((1-D165:R165),$D$2:$R$2)</f>
        <v>14887.5</v>
      </c>
    </row>
    <row r="166" spans="1:19" x14ac:dyDescent="0.35">
      <c r="A166" s="23" t="str">
        <f t="shared" si="72"/>
        <v>COAL_OFF_2060_PMR1</v>
      </c>
      <c r="B166">
        <f t="shared" si="73"/>
        <v>2044</v>
      </c>
      <c r="C166">
        <v>1</v>
      </c>
      <c r="D166" s="15">
        <f t="shared" si="77"/>
        <v>1</v>
      </c>
      <c r="E166" s="15">
        <f t="shared" si="77"/>
        <v>1</v>
      </c>
      <c r="F166" s="15">
        <f t="shared" si="77"/>
        <v>1</v>
      </c>
      <c r="G166" s="15">
        <f t="shared" si="77"/>
        <v>1</v>
      </c>
      <c r="H166" s="15">
        <f t="shared" si="77"/>
        <v>1</v>
      </c>
      <c r="I166" s="15">
        <f t="shared" si="77"/>
        <v>1</v>
      </c>
      <c r="J166" s="15">
        <f t="shared" si="77"/>
        <v>1</v>
      </c>
      <c r="K166" s="15">
        <f t="shared" si="77"/>
        <v>1</v>
      </c>
      <c r="L166" s="15">
        <v>0</v>
      </c>
      <c r="M166" s="15">
        <f t="shared" si="81"/>
        <v>1</v>
      </c>
      <c r="N166" s="15">
        <f>2/6</f>
        <v>0.33333333333333331</v>
      </c>
      <c r="O166" s="15">
        <f>2/6</f>
        <v>0.33333333333333331</v>
      </c>
      <c r="P166" s="15">
        <f t="shared" si="80"/>
        <v>1</v>
      </c>
      <c r="Q166" s="15">
        <v>0</v>
      </c>
      <c r="R166" s="15">
        <f t="shared" si="78"/>
        <v>1</v>
      </c>
      <c r="S166" s="16" cm="1">
        <f t="array" ref="S166">SUMPRODUCT((1-D166:R166),$D$2:$R$2)</f>
        <v>13638</v>
      </c>
    </row>
    <row r="167" spans="1:19" x14ac:dyDescent="0.35">
      <c r="A167" s="23" t="str">
        <f t="shared" si="72"/>
        <v>COAL_OFF_2060_PMR1</v>
      </c>
      <c r="B167">
        <f t="shared" si="73"/>
        <v>2045</v>
      </c>
      <c r="C167">
        <v>1</v>
      </c>
      <c r="D167" s="15">
        <f t="shared" si="77"/>
        <v>1</v>
      </c>
      <c r="E167" s="15">
        <f t="shared" si="77"/>
        <v>1</v>
      </c>
      <c r="F167" s="15">
        <f t="shared" si="77"/>
        <v>1</v>
      </c>
      <c r="G167" s="15">
        <f t="shared" si="77"/>
        <v>1</v>
      </c>
      <c r="H167" s="15">
        <f t="shared" si="77"/>
        <v>1</v>
      </c>
      <c r="I167" s="15">
        <f t="shared" si="77"/>
        <v>1</v>
      </c>
      <c r="J167" s="15">
        <f t="shared" si="77"/>
        <v>1</v>
      </c>
      <c r="K167" s="15">
        <f t="shared" si="77"/>
        <v>1</v>
      </c>
      <c r="L167" s="15">
        <v>0</v>
      </c>
      <c r="M167" s="15">
        <f t="shared" si="81"/>
        <v>1</v>
      </c>
      <c r="N167" s="15">
        <f>N166</f>
        <v>0.33333333333333331</v>
      </c>
      <c r="O167" s="15">
        <f>4/6</f>
        <v>0.66666666666666663</v>
      </c>
      <c r="P167" s="15">
        <f t="shared" si="80"/>
        <v>1</v>
      </c>
      <c r="Q167" s="15">
        <v>0</v>
      </c>
      <c r="R167" s="15">
        <f t="shared" si="78"/>
        <v>1</v>
      </c>
      <c r="S167" s="16" cm="1">
        <f t="array" ref="S167">SUMPRODUCT((1-D167:R167),$D$2:$R$2)</f>
        <v>12408</v>
      </c>
    </row>
    <row r="168" spans="1:19" x14ac:dyDescent="0.35">
      <c r="A168" s="23" t="str">
        <f t="shared" si="72"/>
        <v>COAL_OFF_2060_PMR1</v>
      </c>
      <c r="B168">
        <f>B167+1</f>
        <v>2046</v>
      </c>
      <c r="C168">
        <v>1</v>
      </c>
      <c r="D168" s="15">
        <f t="shared" si="77"/>
        <v>1</v>
      </c>
      <c r="E168" s="15">
        <f t="shared" si="77"/>
        <v>1</v>
      </c>
      <c r="F168" s="15">
        <f t="shared" si="77"/>
        <v>1</v>
      </c>
      <c r="G168" s="15">
        <f t="shared" si="77"/>
        <v>1</v>
      </c>
      <c r="H168" s="15">
        <f t="shared" si="77"/>
        <v>1</v>
      </c>
      <c r="I168" s="15">
        <f t="shared" si="77"/>
        <v>1</v>
      </c>
      <c r="J168" s="15">
        <f t="shared" si="77"/>
        <v>1</v>
      </c>
      <c r="K168" s="15">
        <f t="shared" si="77"/>
        <v>1</v>
      </c>
      <c r="L168" s="15">
        <v>0</v>
      </c>
      <c r="M168" s="15">
        <f t="shared" si="81"/>
        <v>1</v>
      </c>
      <c r="N168" s="15">
        <f>N167</f>
        <v>0.33333333333333331</v>
      </c>
      <c r="O168" s="15">
        <f>5/6</f>
        <v>0.83333333333333337</v>
      </c>
      <c r="P168" s="15">
        <f t="shared" si="80"/>
        <v>1</v>
      </c>
      <c r="Q168" s="15">
        <v>0</v>
      </c>
      <c r="R168" s="15">
        <f t="shared" si="78"/>
        <v>1</v>
      </c>
      <c r="S168" s="16" cm="1">
        <f t="array" ref="S168">SUMPRODUCT((1-D168:R168),$D$2:$R$2)</f>
        <v>11793</v>
      </c>
    </row>
    <row r="169" spans="1:19" x14ac:dyDescent="0.35">
      <c r="A169" s="23" t="str">
        <f t="shared" si="72"/>
        <v>COAL_OFF_2060_PMR1</v>
      </c>
      <c r="B169">
        <f t="shared" ref="B169:B175" si="82">B168+1</f>
        <v>2047</v>
      </c>
      <c r="C169">
        <v>1</v>
      </c>
      <c r="D169" s="15">
        <f t="shared" si="77"/>
        <v>1</v>
      </c>
      <c r="E169" s="15">
        <f t="shared" si="77"/>
        <v>1</v>
      </c>
      <c r="F169" s="15">
        <f t="shared" si="77"/>
        <v>1</v>
      </c>
      <c r="G169" s="15">
        <f t="shared" si="77"/>
        <v>1</v>
      </c>
      <c r="H169" s="15">
        <f t="shared" si="77"/>
        <v>1</v>
      </c>
      <c r="I169" s="15">
        <f t="shared" si="77"/>
        <v>1</v>
      </c>
      <c r="J169" s="15">
        <f t="shared" si="77"/>
        <v>1</v>
      </c>
      <c r="K169" s="15">
        <f t="shared" si="77"/>
        <v>1</v>
      </c>
      <c r="L169" s="15">
        <v>0</v>
      </c>
      <c r="M169" s="15">
        <f t="shared" si="81"/>
        <v>1</v>
      </c>
      <c r="N169" s="15">
        <f>N168</f>
        <v>0.33333333333333331</v>
      </c>
      <c r="O169" s="15">
        <v>1</v>
      </c>
      <c r="P169" s="15">
        <f t="shared" si="80"/>
        <v>1</v>
      </c>
      <c r="Q169" s="15">
        <v>0</v>
      </c>
      <c r="R169" s="15">
        <f t="shared" si="78"/>
        <v>1</v>
      </c>
      <c r="S169" s="16" cm="1">
        <f t="array" ref="S169">SUMPRODUCT((1-D169:R169),$D$2:$R$2)</f>
        <v>11178</v>
      </c>
    </row>
    <row r="170" spans="1:19" x14ac:dyDescent="0.35">
      <c r="A170" s="23" t="str">
        <f t="shared" si="72"/>
        <v>COAL_OFF_2060_PMR1</v>
      </c>
      <c r="B170">
        <f t="shared" si="82"/>
        <v>2048</v>
      </c>
      <c r="C170">
        <v>1</v>
      </c>
      <c r="D170" s="15">
        <f t="shared" si="77"/>
        <v>1</v>
      </c>
      <c r="E170" s="15">
        <f t="shared" si="77"/>
        <v>1</v>
      </c>
      <c r="F170" s="15">
        <f t="shared" si="77"/>
        <v>1</v>
      </c>
      <c r="G170" s="15">
        <f t="shared" si="77"/>
        <v>1</v>
      </c>
      <c r="H170" s="15">
        <f t="shared" si="77"/>
        <v>1</v>
      </c>
      <c r="I170" s="15">
        <f t="shared" si="77"/>
        <v>1</v>
      </c>
      <c r="J170" s="15">
        <f t="shared" si="77"/>
        <v>1</v>
      </c>
      <c r="K170" s="15">
        <f t="shared" si="77"/>
        <v>1</v>
      </c>
      <c r="L170" s="15">
        <v>0</v>
      </c>
      <c r="M170" s="15">
        <f t="shared" si="81"/>
        <v>1</v>
      </c>
      <c r="N170" s="15">
        <f>3/6</f>
        <v>0.5</v>
      </c>
      <c r="O170" s="15">
        <f t="shared" ref="O170:P173" si="83">O169</f>
        <v>1</v>
      </c>
      <c r="P170" s="15">
        <f t="shared" si="83"/>
        <v>1</v>
      </c>
      <c r="Q170" s="15">
        <v>0</v>
      </c>
      <c r="R170" s="15">
        <f t="shared" si="78"/>
        <v>1</v>
      </c>
      <c r="S170" s="16" cm="1">
        <f t="array" ref="S170">SUMPRODUCT((1-D170:R170),$D$2:$R$2)</f>
        <v>10543.5</v>
      </c>
    </row>
    <row r="171" spans="1:19" x14ac:dyDescent="0.35">
      <c r="A171" s="23" t="str">
        <f t="shared" si="72"/>
        <v>COAL_OFF_2060_PMR1</v>
      </c>
      <c r="B171">
        <f t="shared" si="82"/>
        <v>2049</v>
      </c>
      <c r="C171">
        <v>1</v>
      </c>
      <c r="D171" s="15">
        <f t="shared" si="77"/>
        <v>1</v>
      </c>
      <c r="E171" s="15">
        <f t="shared" si="77"/>
        <v>1</v>
      </c>
      <c r="F171" s="15">
        <f t="shared" si="77"/>
        <v>1</v>
      </c>
      <c r="G171" s="15">
        <f t="shared" si="77"/>
        <v>1</v>
      </c>
      <c r="H171" s="15">
        <f t="shared" si="77"/>
        <v>1</v>
      </c>
      <c r="I171" s="15">
        <f t="shared" si="77"/>
        <v>1</v>
      </c>
      <c r="J171" s="15">
        <f t="shared" si="77"/>
        <v>1</v>
      </c>
      <c r="K171" s="15">
        <f t="shared" si="77"/>
        <v>1</v>
      </c>
      <c r="L171" s="15">
        <v>0</v>
      </c>
      <c r="M171" s="15">
        <f t="shared" si="81"/>
        <v>1</v>
      </c>
      <c r="N171" s="15">
        <f>4/6</f>
        <v>0.66666666666666663</v>
      </c>
      <c r="O171" s="15">
        <f t="shared" si="83"/>
        <v>1</v>
      </c>
      <c r="P171" s="15">
        <f t="shared" si="83"/>
        <v>1</v>
      </c>
      <c r="Q171" s="15">
        <v>0</v>
      </c>
      <c r="R171" s="15">
        <f t="shared" si="78"/>
        <v>1</v>
      </c>
      <c r="S171" s="16" cm="1">
        <f t="array" ref="S171">SUMPRODUCT((1-D171:R171),$D$2:$R$2)</f>
        <v>9909</v>
      </c>
    </row>
    <row r="172" spans="1:19" x14ac:dyDescent="0.35">
      <c r="A172" s="23" t="str">
        <f t="shared" si="72"/>
        <v>COAL_OFF_2060_PMR1</v>
      </c>
      <c r="B172">
        <f t="shared" si="82"/>
        <v>2050</v>
      </c>
      <c r="C172">
        <v>1</v>
      </c>
      <c r="D172" s="15">
        <f t="shared" si="77"/>
        <v>1</v>
      </c>
      <c r="E172" s="15">
        <f t="shared" si="77"/>
        <v>1</v>
      </c>
      <c r="F172" s="15">
        <f t="shared" si="77"/>
        <v>1</v>
      </c>
      <c r="G172" s="15">
        <f t="shared" si="77"/>
        <v>1</v>
      </c>
      <c r="H172" s="15">
        <f t="shared" si="77"/>
        <v>1</v>
      </c>
      <c r="I172" s="15">
        <f t="shared" si="77"/>
        <v>1</v>
      </c>
      <c r="J172" s="15">
        <f t="shared" si="77"/>
        <v>1</v>
      </c>
      <c r="K172" s="15">
        <f t="shared" si="77"/>
        <v>1</v>
      </c>
      <c r="L172" s="15">
        <v>0</v>
      </c>
      <c r="M172" s="15">
        <f t="shared" si="81"/>
        <v>1</v>
      </c>
      <c r="N172" s="15">
        <f>5/6</f>
        <v>0.83333333333333337</v>
      </c>
      <c r="O172" s="15">
        <f t="shared" si="83"/>
        <v>1</v>
      </c>
      <c r="P172" s="15">
        <f t="shared" si="83"/>
        <v>1</v>
      </c>
      <c r="Q172" s="15">
        <v>0</v>
      </c>
      <c r="R172" s="15">
        <f t="shared" si="78"/>
        <v>1</v>
      </c>
      <c r="S172" s="16" cm="1">
        <f t="array" ref="S172">SUMPRODUCT((1-D172:R172),$D$2:$R$2)</f>
        <v>9274.5</v>
      </c>
    </row>
    <row r="173" spans="1:19" x14ac:dyDescent="0.35">
      <c r="A173" s="23" t="str">
        <f t="shared" si="72"/>
        <v>COAL_OFF_2060_PMR1</v>
      </c>
      <c r="B173">
        <f t="shared" si="82"/>
        <v>2051</v>
      </c>
      <c r="C173">
        <v>1</v>
      </c>
      <c r="D173" s="15">
        <f t="shared" si="77"/>
        <v>1</v>
      </c>
      <c r="E173" s="15">
        <f t="shared" si="77"/>
        <v>1</v>
      </c>
      <c r="F173" s="15">
        <f t="shared" si="77"/>
        <v>1</v>
      </c>
      <c r="G173" s="15">
        <f t="shared" si="77"/>
        <v>1</v>
      </c>
      <c r="H173" s="15">
        <f t="shared" si="77"/>
        <v>1</v>
      </c>
      <c r="I173" s="15">
        <f t="shared" si="77"/>
        <v>1</v>
      </c>
      <c r="J173" s="15">
        <f t="shared" si="77"/>
        <v>1</v>
      </c>
      <c r="K173" s="15">
        <f t="shared" si="77"/>
        <v>1</v>
      </c>
      <c r="L173" s="15">
        <v>0</v>
      </c>
      <c r="M173" s="15">
        <f t="shared" si="81"/>
        <v>1</v>
      </c>
      <c r="N173" s="15">
        <v>1</v>
      </c>
      <c r="O173" s="15">
        <f t="shared" si="83"/>
        <v>1</v>
      </c>
      <c r="P173" s="15">
        <f t="shared" si="83"/>
        <v>1</v>
      </c>
      <c r="Q173" s="15">
        <v>0</v>
      </c>
      <c r="R173" s="15">
        <f t="shared" si="78"/>
        <v>1</v>
      </c>
      <c r="S173" s="16" cm="1">
        <f t="array" ref="S173">SUMPRODUCT((1-D173:R173),$D$2:$R$2)</f>
        <v>8640</v>
      </c>
    </row>
    <row r="174" spans="1:19" x14ac:dyDescent="0.35">
      <c r="A174" s="23" t="str">
        <f t="shared" si="72"/>
        <v>COAL_OFF_2060_PMR1</v>
      </c>
      <c r="B174">
        <f t="shared" si="82"/>
        <v>2052</v>
      </c>
      <c r="C174">
        <v>1</v>
      </c>
      <c r="D174" s="15">
        <f t="shared" ref="D174:Q182" si="84">D173</f>
        <v>1</v>
      </c>
      <c r="E174" s="15">
        <f t="shared" si="84"/>
        <v>1</v>
      </c>
      <c r="F174" s="15">
        <f t="shared" si="84"/>
        <v>1</v>
      </c>
      <c r="G174" s="15">
        <f t="shared" si="84"/>
        <v>1</v>
      </c>
      <c r="H174" s="15">
        <f t="shared" si="84"/>
        <v>1</v>
      </c>
      <c r="I174" s="15">
        <f t="shared" si="84"/>
        <v>1</v>
      </c>
      <c r="J174" s="15">
        <f t="shared" si="84"/>
        <v>1</v>
      </c>
      <c r="K174" s="15">
        <f t="shared" si="84"/>
        <v>1</v>
      </c>
      <c r="L174" s="15">
        <v>0</v>
      </c>
      <c r="M174" s="15">
        <f t="shared" si="81"/>
        <v>1</v>
      </c>
      <c r="N174" s="15">
        <f t="shared" si="81"/>
        <v>1</v>
      </c>
      <c r="O174" s="15">
        <f t="shared" si="81"/>
        <v>1</v>
      </c>
      <c r="P174" s="15">
        <f t="shared" si="81"/>
        <v>1</v>
      </c>
      <c r="Q174" s="15">
        <v>0</v>
      </c>
      <c r="R174" s="15">
        <f t="shared" si="78"/>
        <v>1</v>
      </c>
      <c r="S174" s="16" cm="1">
        <f t="array" ref="S174">SUMPRODUCT((1-D174:R174),$D$2:$R$2)</f>
        <v>8640</v>
      </c>
    </row>
    <row r="175" spans="1:19" x14ac:dyDescent="0.35">
      <c r="A175" s="23" t="str">
        <f t="shared" si="72"/>
        <v>COAL_OFF_2060_PMR1</v>
      </c>
      <c r="B175">
        <f t="shared" si="82"/>
        <v>2053</v>
      </c>
      <c r="C175">
        <v>1</v>
      </c>
      <c r="D175" s="15">
        <f t="shared" si="84"/>
        <v>1</v>
      </c>
      <c r="E175" s="15">
        <f t="shared" si="84"/>
        <v>1</v>
      </c>
      <c r="F175" s="15">
        <f t="shared" si="84"/>
        <v>1</v>
      </c>
      <c r="G175" s="15">
        <f t="shared" si="84"/>
        <v>1</v>
      </c>
      <c r="H175" s="15">
        <f t="shared" si="84"/>
        <v>1</v>
      </c>
      <c r="I175" s="15">
        <f t="shared" si="84"/>
        <v>1</v>
      </c>
      <c r="J175" s="15">
        <f t="shared" si="84"/>
        <v>1</v>
      </c>
      <c r="K175" s="15">
        <f t="shared" si="84"/>
        <v>1</v>
      </c>
      <c r="L175" s="15">
        <v>0</v>
      </c>
      <c r="M175" s="15">
        <f t="shared" si="81"/>
        <v>1</v>
      </c>
      <c r="N175" s="15">
        <f t="shared" si="81"/>
        <v>1</v>
      </c>
      <c r="O175" s="15">
        <f t="shared" si="81"/>
        <v>1</v>
      </c>
      <c r="P175" s="15">
        <f t="shared" si="81"/>
        <v>1</v>
      </c>
      <c r="Q175" s="15">
        <v>0</v>
      </c>
      <c r="R175" s="15">
        <f t="shared" si="78"/>
        <v>1</v>
      </c>
      <c r="S175" s="16" cm="1">
        <f t="array" ref="S175">SUMPRODUCT((1-D175:R175),$D$2:$R$2)</f>
        <v>8640</v>
      </c>
    </row>
    <row r="176" spans="1:19" x14ac:dyDescent="0.35">
      <c r="A176" s="23" t="str">
        <f t="shared" si="72"/>
        <v>COAL_OFF_2060_PMR1</v>
      </c>
      <c r="B176">
        <f>B175+1</f>
        <v>2054</v>
      </c>
      <c r="C176">
        <v>1</v>
      </c>
      <c r="D176" s="15">
        <f t="shared" si="84"/>
        <v>1</v>
      </c>
      <c r="E176" s="15">
        <f t="shared" si="84"/>
        <v>1</v>
      </c>
      <c r="F176" s="15">
        <f t="shared" si="84"/>
        <v>1</v>
      </c>
      <c r="G176" s="15">
        <f t="shared" si="84"/>
        <v>1</v>
      </c>
      <c r="H176" s="15">
        <f t="shared" si="84"/>
        <v>1</v>
      </c>
      <c r="I176" s="15">
        <f t="shared" si="84"/>
        <v>1</v>
      </c>
      <c r="J176" s="15">
        <f t="shared" si="84"/>
        <v>1</v>
      </c>
      <c r="K176" s="15">
        <f t="shared" si="84"/>
        <v>1</v>
      </c>
      <c r="L176" s="15">
        <v>0</v>
      </c>
      <c r="M176" s="15">
        <f t="shared" si="81"/>
        <v>1</v>
      </c>
      <c r="N176" s="15">
        <f t="shared" si="81"/>
        <v>1</v>
      </c>
      <c r="O176" s="15">
        <f t="shared" si="81"/>
        <v>1</v>
      </c>
      <c r="P176" s="15">
        <f t="shared" si="81"/>
        <v>1</v>
      </c>
      <c r="Q176" s="15">
        <v>0</v>
      </c>
      <c r="R176" s="15">
        <f t="shared" si="78"/>
        <v>1</v>
      </c>
      <c r="S176" s="16" cm="1">
        <f t="array" ref="S176">SUMPRODUCT((1-D176:R176),$D$2:$R$2)</f>
        <v>8640</v>
      </c>
    </row>
    <row r="177" spans="1:19" x14ac:dyDescent="0.35">
      <c r="A177" s="23" t="str">
        <f t="shared" si="72"/>
        <v>COAL_OFF_2060_PMR1</v>
      </c>
      <c r="B177">
        <f t="shared" ref="B177:B179" si="85">B176+1</f>
        <v>2055</v>
      </c>
      <c r="C177">
        <v>1</v>
      </c>
      <c r="D177" s="15">
        <f t="shared" si="84"/>
        <v>1</v>
      </c>
      <c r="E177" s="15">
        <f t="shared" si="84"/>
        <v>1</v>
      </c>
      <c r="F177" s="15">
        <f t="shared" si="84"/>
        <v>1</v>
      </c>
      <c r="G177" s="15">
        <f t="shared" si="84"/>
        <v>1</v>
      </c>
      <c r="H177" s="15">
        <f t="shared" si="84"/>
        <v>1</v>
      </c>
      <c r="I177" s="15">
        <f t="shared" si="84"/>
        <v>1</v>
      </c>
      <c r="J177" s="15">
        <f t="shared" si="84"/>
        <v>1</v>
      </c>
      <c r="K177" s="15">
        <f t="shared" si="84"/>
        <v>1</v>
      </c>
      <c r="L177" s="15">
        <v>0</v>
      </c>
      <c r="M177" s="15">
        <f t="shared" si="81"/>
        <v>1</v>
      </c>
      <c r="N177" s="15">
        <f t="shared" si="81"/>
        <v>1</v>
      </c>
      <c r="O177" s="15">
        <f t="shared" si="81"/>
        <v>1</v>
      </c>
      <c r="P177" s="15">
        <f t="shared" si="81"/>
        <v>1</v>
      </c>
      <c r="Q177" s="15">
        <f>1/6</f>
        <v>0.16666666666666666</v>
      </c>
      <c r="R177" s="15">
        <f t="shared" si="78"/>
        <v>1</v>
      </c>
      <c r="S177" s="16" cm="1">
        <f t="array" ref="S177">SUMPRODUCT((1-D177:R177),$D$2:$R$2)</f>
        <v>7920</v>
      </c>
    </row>
    <row r="178" spans="1:19" x14ac:dyDescent="0.35">
      <c r="A178" s="23" t="str">
        <f t="shared" si="72"/>
        <v>COAL_OFF_2060_PMR1</v>
      </c>
      <c r="B178">
        <f t="shared" si="85"/>
        <v>2056</v>
      </c>
      <c r="C178">
        <v>1</v>
      </c>
      <c r="D178" s="15">
        <f t="shared" si="84"/>
        <v>1</v>
      </c>
      <c r="E178" s="15">
        <f t="shared" si="84"/>
        <v>1</v>
      </c>
      <c r="F178" s="15">
        <f t="shared" si="84"/>
        <v>1</v>
      </c>
      <c r="G178" s="15">
        <f t="shared" si="84"/>
        <v>1</v>
      </c>
      <c r="H178" s="15">
        <f t="shared" si="84"/>
        <v>1</v>
      </c>
      <c r="I178" s="15">
        <f t="shared" si="84"/>
        <v>1</v>
      </c>
      <c r="J178" s="15">
        <f t="shared" si="84"/>
        <v>1</v>
      </c>
      <c r="K178" s="15">
        <f t="shared" si="84"/>
        <v>1</v>
      </c>
      <c r="L178" s="15">
        <f>1/6</f>
        <v>0.16666666666666666</v>
      </c>
      <c r="M178" s="15">
        <f t="shared" si="84"/>
        <v>1</v>
      </c>
      <c r="N178" s="15">
        <f t="shared" si="84"/>
        <v>1</v>
      </c>
      <c r="O178" s="15">
        <f t="shared" si="84"/>
        <v>1</v>
      </c>
      <c r="P178" s="15">
        <f t="shared" si="84"/>
        <v>1</v>
      </c>
      <c r="Q178" s="15">
        <f>2/6</f>
        <v>0.33333333333333331</v>
      </c>
      <c r="R178" s="15">
        <f t="shared" si="78"/>
        <v>1</v>
      </c>
      <c r="S178" s="16" cm="1">
        <f t="array" ref="S178">SUMPRODUCT((1-D178:R178),$D$2:$R$2)</f>
        <v>6480</v>
      </c>
    </row>
    <row r="179" spans="1:19" x14ac:dyDescent="0.35">
      <c r="A179" s="23" t="str">
        <f t="shared" si="72"/>
        <v>COAL_OFF_2060_PMR1</v>
      </c>
      <c r="B179">
        <f t="shared" si="85"/>
        <v>2057</v>
      </c>
      <c r="C179">
        <v>1</v>
      </c>
      <c r="D179" s="15">
        <f t="shared" si="84"/>
        <v>1</v>
      </c>
      <c r="E179" s="15">
        <f t="shared" si="84"/>
        <v>1</v>
      </c>
      <c r="F179" s="15">
        <f t="shared" si="84"/>
        <v>1</v>
      </c>
      <c r="G179" s="15">
        <f t="shared" si="84"/>
        <v>1</v>
      </c>
      <c r="H179" s="15">
        <f t="shared" si="84"/>
        <v>1</v>
      </c>
      <c r="I179" s="15">
        <f t="shared" si="84"/>
        <v>1</v>
      </c>
      <c r="J179" s="15">
        <f t="shared" si="84"/>
        <v>1</v>
      </c>
      <c r="K179" s="15">
        <f t="shared" si="84"/>
        <v>1</v>
      </c>
      <c r="L179" s="15">
        <f>2/6</f>
        <v>0.33333333333333331</v>
      </c>
      <c r="M179" s="15">
        <f t="shared" si="84"/>
        <v>1</v>
      </c>
      <c r="N179" s="15">
        <f t="shared" si="84"/>
        <v>1</v>
      </c>
      <c r="O179" s="15">
        <f t="shared" si="84"/>
        <v>1</v>
      </c>
      <c r="P179" s="15">
        <f t="shared" si="84"/>
        <v>1</v>
      </c>
      <c r="Q179" s="15">
        <f>3/6</f>
        <v>0.5</v>
      </c>
      <c r="R179" s="15">
        <f t="shared" si="78"/>
        <v>1</v>
      </c>
      <c r="S179" s="16" cm="1">
        <f t="array" ref="S179">SUMPRODUCT((1-D179:R179),$D$2:$R$2)</f>
        <v>5040</v>
      </c>
    </row>
    <row r="180" spans="1:19" x14ac:dyDescent="0.35">
      <c r="A180" s="23" t="str">
        <f t="shared" si="72"/>
        <v>COAL_OFF_2060_PMR1</v>
      </c>
      <c r="B180">
        <f>B179+1</f>
        <v>2058</v>
      </c>
      <c r="C180">
        <v>1</v>
      </c>
      <c r="D180" s="15">
        <f t="shared" si="84"/>
        <v>1</v>
      </c>
      <c r="E180" s="15">
        <f t="shared" si="84"/>
        <v>1</v>
      </c>
      <c r="F180" s="15">
        <f t="shared" si="84"/>
        <v>1</v>
      </c>
      <c r="G180" s="15">
        <f t="shared" si="84"/>
        <v>1</v>
      </c>
      <c r="H180" s="15">
        <f t="shared" si="84"/>
        <v>1</v>
      </c>
      <c r="I180" s="15">
        <f t="shared" si="84"/>
        <v>1</v>
      </c>
      <c r="J180" s="15">
        <f t="shared" si="84"/>
        <v>1</v>
      </c>
      <c r="K180" s="15">
        <f t="shared" si="84"/>
        <v>1</v>
      </c>
      <c r="L180" s="15">
        <f>3/6</f>
        <v>0.5</v>
      </c>
      <c r="M180" s="15">
        <f t="shared" si="84"/>
        <v>1</v>
      </c>
      <c r="N180" s="15">
        <f t="shared" si="84"/>
        <v>1</v>
      </c>
      <c r="O180" s="15">
        <f t="shared" si="84"/>
        <v>1</v>
      </c>
      <c r="P180" s="15">
        <f t="shared" si="84"/>
        <v>1</v>
      </c>
      <c r="Q180" s="15">
        <f>4/6</f>
        <v>0.66666666666666663</v>
      </c>
      <c r="R180" s="15">
        <f t="shared" si="78"/>
        <v>1</v>
      </c>
      <c r="S180" s="16" cm="1">
        <f t="array" ref="S180">SUMPRODUCT((1-D180:R180),$D$2:$R$2)</f>
        <v>3600</v>
      </c>
    </row>
    <row r="181" spans="1:19" x14ac:dyDescent="0.35">
      <c r="A181" s="23" t="str">
        <f t="shared" si="72"/>
        <v>COAL_OFF_2060_PMR1</v>
      </c>
      <c r="B181">
        <f t="shared" ref="B181" si="86">B180+1</f>
        <v>2059</v>
      </c>
      <c r="C181">
        <v>1</v>
      </c>
      <c r="D181" s="15">
        <f t="shared" si="84"/>
        <v>1</v>
      </c>
      <c r="E181" s="15">
        <f t="shared" si="84"/>
        <v>1</v>
      </c>
      <c r="F181" s="15">
        <f t="shared" si="84"/>
        <v>1</v>
      </c>
      <c r="G181" s="15">
        <f t="shared" si="84"/>
        <v>1</v>
      </c>
      <c r="H181" s="15">
        <f t="shared" si="84"/>
        <v>1</v>
      </c>
      <c r="I181" s="15">
        <f t="shared" si="84"/>
        <v>1</v>
      </c>
      <c r="J181" s="15">
        <f t="shared" si="84"/>
        <v>1</v>
      </c>
      <c r="K181" s="15">
        <f t="shared" si="84"/>
        <v>1</v>
      </c>
      <c r="L181" s="15">
        <f>4/6</f>
        <v>0.66666666666666663</v>
      </c>
      <c r="M181" s="15">
        <f t="shared" si="84"/>
        <v>1</v>
      </c>
      <c r="N181" s="15">
        <f t="shared" si="84"/>
        <v>1</v>
      </c>
      <c r="O181" s="15">
        <f t="shared" si="84"/>
        <v>1</v>
      </c>
      <c r="P181" s="15">
        <f t="shared" si="84"/>
        <v>1</v>
      </c>
      <c r="Q181" s="15">
        <v>1</v>
      </c>
      <c r="R181" s="15">
        <f t="shared" si="78"/>
        <v>1</v>
      </c>
      <c r="S181" s="16" cm="1">
        <f t="array" ref="S181">SUMPRODUCT((1-D181:R181),$D$2:$R$2)</f>
        <v>1440.0000000000002</v>
      </c>
    </row>
    <row r="182" spans="1:19" x14ac:dyDescent="0.35">
      <c r="A182" s="23" t="str">
        <f t="shared" si="72"/>
        <v>COAL_OFF_2060_PMR1</v>
      </c>
      <c r="B182">
        <f>B181+1</f>
        <v>2060</v>
      </c>
      <c r="C182">
        <v>1</v>
      </c>
      <c r="D182" s="15">
        <f t="shared" si="84"/>
        <v>1</v>
      </c>
      <c r="E182" s="15">
        <f t="shared" si="84"/>
        <v>1</v>
      </c>
      <c r="F182" s="15">
        <f t="shared" si="84"/>
        <v>1</v>
      </c>
      <c r="G182" s="15">
        <f t="shared" si="84"/>
        <v>1</v>
      </c>
      <c r="H182" s="15">
        <f t="shared" si="84"/>
        <v>1</v>
      </c>
      <c r="I182" s="15">
        <f t="shared" si="84"/>
        <v>1</v>
      </c>
      <c r="J182" s="15">
        <f t="shared" si="84"/>
        <v>1</v>
      </c>
      <c r="K182" s="15">
        <f t="shared" si="84"/>
        <v>1</v>
      </c>
      <c r="L182" s="15">
        <v>1</v>
      </c>
      <c r="M182" s="15">
        <f t="shared" si="84"/>
        <v>1</v>
      </c>
      <c r="N182" s="15">
        <f t="shared" si="84"/>
        <v>1</v>
      </c>
      <c r="O182" s="15">
        <f t="shared" si="84"/>
        <v>1</v>
      </c>
      <c r="P182" s="15">
        <f t="shared" si="84"/>
        <v>1</v>
      </c>
      <c r="Q182" s="15">
        <f t="shared" si="84"/>
        <v>1</v>
      </c>
      <c r="R182" s="15">
        <f t="shared" si="78"/>
        <v>1</v>
      </c>
      <c r="S182" s="16" cm="1">
        <f t="array" ref="S182">SUMPRODUCT((1-D182:R182),$D$2:$R$2)</f>
        <v>0</v>
      </c>
    </row>
    <row r="183" spans="1:19" x14ac:dyDescent="0.35">
      <c r="A183" s="14" t="s">
        <v>29</v>
      </c>
      <c r="B183">
        <v>2025</v>
      </c>
      <c r="C183">
        <v>1</v>
      </c>
      <c r="D183" s="15">
        <v>0</v>
      </c>
      <c r="E183" s="15">
        <v>0</v>
      </c>
      <c r="F183" s="15">
        <v>0</v>
      </c>
      <c r="G183" s="15">
        <v>0</v>
      </c>
      <c r="H183" s="15">
        <v>0</v>
      </c>
      <c r="I183" s="15">
        <v>0</v>
      </c>
      <c r="J183" s="15">
        <v>0</v>
      </c>
      <c r="K183" s="15">
        <v>0</v>
      </c>
      <c r="L183" s="15">
        <v>0</v>
      </c>
      <c r="M183" s="15">
        <v>0</v>
      </c>
      <c r="N183" s="15">
        <v>0</v>
      </c>
      <c r="O183" s="15">
        <v>0</v>
      </c>
      <c r="P183" s="15">
        <v>0</v>
      </c>
      <c r="Q183" s="15">
        <v>0</v>
      </c>
      <c r="R183" s="15">
        <v>0</v>
      </c>
      <c r="S183" s="16" cm="1">
        <f t="array" ref="S183">SUMPRODUCT((1-D183:R183),$D$2:$R$2)</f>
        <v>41419</v>
      </c>
    </row>
    <row r="184" spans="1:19" x14ac:dyDescent="0.35">
      <c r="A184" s="14" t="str">
        <f>A183</f>
        <v>COAL_OFF_2050_PMR1b</v>
      </c>
      <c r="B184">
        <f>B183+1</f>
        <v>2026</v>
      </c>
      <c r="C184">
        <v>1</v>
      </c>
      <c r="D184" s="15">
        <v>0</v>
      </c>
      <c r="E184" s="15">
        <v>0</v>
      </c>
      <c r="F184" s="15">
        <v>0</v>
      </c>
      <c r="G184" s="15">
        <v>0</v>
      </c>
      <c r="H184" s="15">
        <v>0</v>
      </c>
      <c r="I184" s="15">
        <v>0</v>
      </c>
      <c r="J184" s="15">
        <v>0</v>
      </c>
      <c r="K184" s="15">
        <v>0</v>
      </c>
      <c r="L184" s="15">
        <v>0</v>
      </c>
      <c r="M184" s="15">
        <v>0</v>
      </c>
      <c r="N184" s="15">
        <v>0</v>
      </c>
      <c r="O184" s="15">
        <v>0</v>
      </c>
      <c r="P184" s="15">
        <v>0</v>
      </c>
      <c r="Q184" s="15">
        <v>0</v>
      </c>
      <c r="R184" s="15">
        <v>0</v>
      </c>
      <c r="S184" s="16" cm="1">
        <f t="array" ref="S184">SUMPRODUCT((1-D184:R184),$D$2:$R$2)</f>
        <v>41419</v>
      </c>
    </row>
    <row r="185" spans="1:19" x14ac:dyDescent="0.35">
      <c r="A185" s="14" t="str">
        <f t="shared" ref="A185:A218" si="87">A184</f>
        <v>COAL_OFF_2050_PMR1b</v>
      </c>
      <c r="B185">
        <f t="shared" ref="B185:B203" si="88">B184+1</f>
        <v>2027</v>
      </c>
      <c r="C185">
        <v>1</v>
      </c>
      <c r="D185" s="15">
        <v>0</v>
      </c>
      <c r="E185" s="15">
        <v>0</v>
      </c>
      <c r="F185" s="15">
        <v>0</v>
      </c>
      <c r="G185" s="15">
        <v>0</v>
      </c>
      <c r="H185" s="15">
        <v>0</v>
      </c>
      <c r="I185" s="15">
        <v>0</v>
      </c>
      <c r="J185" s="15">
        <v>0</v>
      </c>
      <c r="K185" s="15">
        <v>0</v>
      </c>
      <c r="L185" s="15">
        <v>0</v>
      </c>
      <c r="M185" s="15">
        <v>0</v>
      </c>
      <c r="N185" s="15">
        <v>0</v>
      </c>
      <c r="O185" s="15">
        <v>0</v>
      </c>
      <c r="P185" s="15">
        <v>0</v>
      </c>
      <c r="Q185" s="15">
        <v>0</v>
      </c>
      <c r="R185" s="15">
        <v>0</v>
      </c>
      <c r="S185" s="16" cm="1">
        <f t="array" ref="S185">SUMPRODUCT((1-D185:R185),$D$2:$R$2)</f>
        <v>41419</v>
      </c>
    </row>
    <row r="186" spans="1:19" x14ac:dyDescent="0.35">
      <c r="A186" s="14" t="str">
        <f t="shared" si="87"/>
        <v>COAL_OFF_2050_PMR1b</v>
      </c>
      <c r="B186">
        <f t="shared" si="88"/>
        <v>2028</v>
      </c>
      <c r="C186">
        <v>1</v>
      </c>
      <c r="D186" s="15">
        <v>0</v>
      </c>
      <c r="E186" s="15">
        <v>0</v>
      </c>
      <c r="F186" s="15">
        <v>0</v>
      </c>
      <c r="G186" s="15">
        <v>0</v>
      </c>
      <c r="H186" s="15">
        <v>0</v>
      </c>
      <c r="I186" s="15">
        <v>0</v>
      </c>
      <c r="J186" s="15">
        <v>0</v>
      </c>
      <c r="K186" s="15">
        <v>0</v>
      </c>
      <c r="L186" s="15">
        <v>0</v>
      </c>
      <c r="M186" s="15">
        <v>0</v>
      </c>
      <c r="N186" s="15">
        <v>0</v>
      </c>
      <c r="O186" s="15">
        <v>0</v>
      </c>
      <c r="P186" s="15">
        <v>0</v>
      </c>
      <c r="Q186" s="15">
        <v>0</v>
      </c>
      <c r="R186" s="15">
        <v>0</v>
      </c>
      <c r="S186" s="16" cm="1">
        <f t="array" ref="S186">SUMPRODUCT((1-D186:R186),$D$2:$R$2)</f>
        <v>41419</v>
      </c>
    </row>
    <row r="187" spans="1:19" x14ac:dyDescent="0.35">
      <c r="A187" s="14" t="str">
        <f t="shared" si="87"/>
        <v>COAL_OFF_2050_PMR1b</v>
      </c>
      <c r="B187">
        <f t="shared" si="88"/>
        <v>2029</v>
      </c>
      <c r="C187">
        <v>1</v>
      </c>
      <c r="D187" s="15">
        <v>0</v>
      </c>
      <c r="E187" s="15">
        <v>0</v>
      </c>
      <c r="F187" s="15">
        <v>0</v>
      </c>
      <c r="G187" s="15">
        <v>0</v>
      </c>
      <c r="H187" s="15">
        <v>0</v>
      </c>
      <c r="I187" s="15">
        <v>0</v>
      </c>
      <c r="J187" s="15">
        <v>0</v>
      </c>
      <c r="K187" s="15">
        <v>0</v>
      </c>
      <c r="L187" s="15">
        <v>0</v>
      </c>
      <c r="M187" s="15">
        <v>0</v>
      </c>
      <c r="N187" s="15">
        <v>0</v>
      </c>
      <c r="O187" s="15">
        <v>0</v>
      </c>
      <c r="P187" s="15">
        <v>0</v>
      </c>
      <c r="Q187" s="15">
        <v>0</v>
      </c>
      <c r="R187" s="15">
        <v>0</v>
      </c>
      <c r="S187" s="16" cm="1">
        <f t="array" ref="S187">SUMPRODUCT((1-D187:R187),$D$2:$R$2)</f>
        <v>41419</v>
      </c>
    </row>
    <row r="188" spans="1:19" x14ac:dyDescent="0.35">
      <c r="A188" s="14" t="str">
        <f t="shared" si="87"/>
        <v>COAL_OFF_2050_PMR1b</v>
      </c>
      <c r="B188">
        <f t="shared" si="88"/>
        <v>2030</v>
      </c>
      <c r="C188">
        <v>1</v>
      </c>
      <c r="D188" s="15">
        <f>5/6</f>
        <v>0.83333333333333337</v>
      </c>
      <c r="E188" s="15">
        <f>4/8</f>
        <v>0.5</v>
      </c>
      <c r="F188" s="15">
        <v>0</v>
      </c>
      <c r="G188" s="15">
        <v>1</v>
      </c>
      <c r="H188" s="15">
        <v>1</v>
      </c>
      <c r="I188" s="15">
        <v>1</v>
      </c>
      <c r="J188" s="15">
        <v>0</v>
      </c>
      <c r="K188" s="15">
        <v>1</v>
      </c>
      <c r="L188" s="15">
        <v>0</v>
      </c>
      <c r="M188" s="15">
        <v>0</v>
      </c>
      <c r="N188" s="15">
        <v>0</v>
      </c>
      <c r="O188" s="15">
        <v>0</v>
      </c>
      <c r="P188" s="15">
        <v>0</v>
      </c>
      <c r="Q188" s="15">
        <v>0</v>
      </c>
      <c r="R188" s="15">
        <v>0</v>
      </c>
      <c r="S188" s="16" cm="1">
        <f t="array" ref="S188">SUMPRODUCT((1-D188:R188),$D$2:$R$2)</f>
        <v>34460.5</v>
      </c>
    </row>
    <row r="189" spans="1:19" x14ac:dyDescent="0.35">
      <c r="A189" s="14" t="str">
        <f t="shared" si="87"/>
        <v>COAL_OFF_2050_PMR1b</v>
      </c>
      <c r="B189">
        <f t="shared" si="88"/>
        <v>2031</v>
      </c>
      <c r="C189">
        <v>1</v>
      </c>
      <c r="D189" s="15">
        <f>5/6</f>
        <v>0.83333333333333337</v>
      </c>
      <c r="E189" s="15">
        <f>4/8</f>
        <v>0.5</v>
      </c>
      <c r="F189" s="15">
        <v>0</v>
      </c>
      <c r="G189" s="15">
        <f>G188</f>
        <v>1</v>
      </c>
      <c r="H189" s="15">
        <f>H188</f>
        <v>1</v>
      </c>
      <c r="I189" s="15">
        <f>I188</f>
        <v>1</v>
      </c>
      <c r="J189" s="15">
        <v>0</v>
      </c>
      <c r="K189" s="15">
        <f>K188</f>
        <v>1</v>
      </c>
      <c r="L189" s="15">
        <v>0</v>
      </c>
      <c r="M189" s="15">
        <v>0</v>
      </c>
      <c r="N189" s="15">
        <v>0</v>
      </c>
      <c r="O189" s="15">
        <v>0</v>
      </c>
      <c r="P189" s="15">
        <v>0</v>
      </c>
      <c r="Q189" s="15">
        <v>0</v>
      </c>
      <c r="R189" s="15">
        <f>2/6</f>
        <v>0.33333333333333331</v>
      </c>
      <c r="S189" s="16" cm="1">
        <f t="array" ref="S189">SUMPRODUCT((1-D189:R189),$D$2:$R$2)</f>
        <v>33290.5</v>
      </c>
    </row>
    <row r="190" spans="1:19" x14ac:dyDescent="0.35">
      <c r="A190" s="14" t="str">
        <f t="shared" si="87"/>
        <v>COAL_OFF_2050_PMR1b</v>
      </c>
      <c r="B190">
        <f t="shared" si="88"/>
        <v>2032</v>
      </c>
      <c r="C190">
        <v>1</v>
      </c>
      <c r="D190" s="15">
        <f>5/6</f>
        <v>0.83333333333333337</v>
      </c>
      <c r="E190" s="15">
        <f>E189+1/8</f>
        <v>0.625</v>
      </c>
      <c r="F190" s="15">
        <v>0</v>
      </c>
      <c r="G190" s="15">
        <f t="shared" ref="G190:J205" si="89">G189</f>
        <v>1</v>
      </c>
      <c r="H190" s="15">
        <f t="shared" si="89"/>
        <v>1</v>
      </c>
      <c r="I190" s="15">
        <f t="shared" si="89"/>
        <v>1</v>
      </c>
      <c r="J190" s="15">
        <v>0</v>
      </c>
      <c r="K190" s="15">
        <f t="shared" ref="K190:K205" si="90">K189</f>
        <v>1</v>
      </c>
      <c r="L190" s="15">
        <v>0</v>
      </c>
      <c r="M190" s="15">
        <v>0</v>
      </c>
      <c r="N190" s="15">
        <v>0</v>
      </c>
      <c r="O190" s="15">
        <v>0</v>
      </c>
      <c r="P190" s="15">
        <f>0.5</f>
        <v>0.5</v>
      </c>
      <c r="Q190" s="15">
        <v>0</v>
      </c>
      <c r="R190" s="15">
        <f>R189</f>
        <v>0.33333333333333331</v>
      </c>
      <c r="S190" s="16" cm="1">
        <f t="array" ref="S190">SUMPRODUCT((1-D190:R190),$D$2:$R$2)</f>
        <v>31380.375</v>
      </c>
    </row>
    <row r="191" spans="1:19" x14ac:dyDescent="0.35">
      <c r="A191" s="14" t="str">
        <f t="shared" si="87"/>
        <v>COAL_OFF_2050_PMR1b</v>
      </c>
      <c r="B191">
        <f t="shared" si="88"/>
        <v>2033</v>
      </c>
      <c r="C191">
        <v>1</v>
      </c>
      <c r="D191" s="15">
        <v>1</v>
      </c>
      <c r="E191" s="15">
        <v>1</v>
      </c>
      <c r="F191" s="15">
        <v>0</v>
      </c>
      <c r="G191" s="15">
        <f t="shared" si="89"/>
        <v>1</v>
      </c>
      <c r="H191" s="15">
        <f t="shared" si="89"/>
        <v>1</v>
      </c>
      <c r="I191" s="15">
        <f t="shared" si="89"/>
        <v>1</v>
      </c>
      <c r="J191" s="15">
        <v>0</v>
      </c>
      <c r="K191" s="15">
        <f t="shared" si="90"/>
        <v>1</v>
      </c>
      <c r="L191" s="15">
        <v>0</v>
      </c>
      <c r="M191" s="15">
        <v>0</v>
      </c>
      <c r="N191" s="15">
        <v>0</v>
      </c>
      <c r="O191" s="15">
        <v>0</v>
      </c>
      <c r="P191" s="15">
        <f t="shared" ref="P191:P194" si="91">0.5</f>
        <v>0.5</v>
      </c>
      <c r="Q191" s="15">
        <v>0</v>
      </c>
      <c r="R191" s="15">
        <f>3/6</f>
        <v>0.5</v>
      </c>
      <c r="S191" s="16" cm="1">
        <f t="array" ref="S191">SUMPRODUCT((1-D191:R191),$D$2:$R$2)</f>
        <v>29890</v>
      </c>
    </row>
    <row r="192" spans="1:19" x14ac:dyDescent="0.35">
      <c r="A192" s="14" t="str">
        <f t="shared" si="87"/>
        <v>COAL_OFF_2050_PMR1b</v>
      </c>
      <c r="B192">
        <f t="shared" si="88"/>
        <v>2034</v>
      </c>
      <c r="C192">
        <v>1</v>
      </c>
      <c r="D192" s="15">
        <f>D191</f>
        <v>1</v>
      </c>
      <c r="E192" s="15">
        <f>E191</f>
        <v>1</v>
      </c>
      <c r="F192" s="15">
        <v>0</v>
      </c>
      <c r="G192" s="15">
        <f t="shared" si="89"/>
        <v>1</v>
      </c>
      <c r="H192" s="15">
        <f t="shared" si="89"/>
        <v>1</v>
      </c>
      <c r="I192" s="15">
        <f t="shared" si="89"/>
        <v>1</v>
      </c>
      <c r="J192" s="15">
        <v>0</v>
      </c>
      <c r="K192" s="15">
        <f t="shared" si="90"/>
        <v>1</v>
      </c>
      <c r="L192" s="15">
        <v>0</v>
      </c>
      <c r="M192" s="15">
        <v>0</v>
      </c>
      <c r="N192" s="15">
        <v>0</v>
      </c>
      <c r="O192" s="15">
        <v>0</v>
      </c>
      <c r="P192" s="15">
        <f t="shared" si="91"/>
        <v>0.5</v>
      </c>
      <c r="Q192" s="15">
        <v>0</v>
      </c>
      <c r="R192" s="15">
        <v>1</v>
      </c>
      <c r="S192" s="16" cm="1">
        <f t="array" ref="S192">SUMPRODUCT((1-D192:R192),$D$2:$R$2)</f>
        <v>28135</v>
      </c>
    </row>
    <row r="193" spans="1:19" x14ac:dyDescent="0.35">
      <c r="A193" s="14" t="str">
        <f t="shared" si="87"/>
        <v>COAL_OFF_2050_PMR1b</v>
      </c>
      <c r="B193">
        <f t="shared" si="88"/>
        <v>2035</v>
      </c>
      <c r="C193">
        <v>1</v>
      </c>
      <c r="D193" s="15">
        <f t="shared" ref="D193:K208" si="92">D192</f>
        <v>1</v>
      </c>
      <c r="E193" s="15">
        <f t="shared" si="92"/>
        <v>1</v>
      </c>
      <c r="F193" s="15">
        <f>2/5</f>
        <v>0.4</v>
      </c>
      <c r="G193" s="15">
        <f t="shared" si="89"/>
        <v>1</v>
      </c>
      <c r="H193" s="15">
        <f t="shared" si="89"/>
        <v>1</v>
      </c>
      <c r="I193" s="15">
        <f t="shared" si="89"/>
        <v>1</v>
      </c>
      <c r="J193" s="15">
        <v>0</v>
      </c>
      <c r="K193" s="15">
        <f t="shared" si="90"/>
        <v>1</v>
      </c>
      <c r="L193" s="15">
        <v>0</v>
      </c>
      <c r="M193" s="15">
        <v>0</v>
      </c>
      <c r="N193" s="15">
        <v>0</v>
      </c>
      <c r="O193" s="15">
        <v>0</v>
      </c>
      <c r="P193" s="15">
        <f t="shared" si="91"/>
        <v>0.5</v>
      </c>
      <c r="Q193" s="15">
        <v>0</v>
      </c>
      <c r="R193" s="15">
        <f>R192</f>
        <v>1</v>
      </c>
      <c r="S193" s="16" cm="1">
        <f t="array" ref="S193">SUMPRODUCT((1-D193:R193),$D$2:$R$2)</f>
        <v>26985</v>
      </c>
    </row>
    <row r="194" spans="1:19" x14ac:dyDescent="0.35">
      <c r="A194" s="14" t="str">
        <f t="shared" si="87"/>
        <v>COAL_OFF_2050_PMR1b</v>
      </c>
      <c r="B194">
        <f t="shared" si="88"/>
        <v>2036</v>
      </c>
      <c r="C194">
        <v>1</v>
      </c>
      <c r="D194" s="15">
        <f t="shared" si="92"/>
        <v>1</v>
      </c>
      <c r="E194" s="15">
        <f t="shared" si="92"/>
        <v>1</v>
      </c>
      <c r="F194" s="15">
        <v>1</v>
      </c>
      <c r="G194" s="15">
        <f t="shared" si="89"/>
        <v>1</v>
      </c>
      <c r="H194" s="15">
        <f t="shared" si="89"/>
        <v>1</v>
      </c>
      <c r="I194" s="15">
        <f t="shared" si="89"/>
        <v>1</v>
      </c>
      <c r="J194" s="15">
        <v>0</v>
      </c>
      <c r="K194" s="15">
        <f t="shared" si="90"/>
        <v>1</v>
      </c>
      <c r="L194" s="15">
        <v>0</v>
      </c>
      <c r="M194" s="15">
        <v>0</v>
      </c>
      <c r="N194" s="15">
        <v>0</v>
      </c>
      <c r="O194" s="15">
        <v>0</v>
      </c>
      <c r="P194" s="15">
        <f t="shared" si="91"/>
        <v>0.5</v>
      </c>
      <c r="Q194" s="15">
        <v>0</v>
      </c>
      <c r="R194" s="15">
        <f t="shared" ref="R194:R218" si="93">R193</f>
        <v>1</v>
      </c>
      <c r="S194" s="16" cm="1">
        <f t="array" ref="S194">SUMPRODUCT((1-D194:R194),$D$2:$R$2)</f>
        <v>25260</v>
      </c>
    </row>
    <row r="195" spans="1:19" x14ac:dyDescent="0.35">
      <c r="A195" s="14" t="str">
        <f t="shared" si="87"/>
        <v>COAL_OFF_2050_PMR1b</v>
      </c>
      <c r="B195">
        <f t="shared" si="88"/>
        <v>2037</v>
      </c>
      <c r="C195">
        <v>1</v>
      </c>
      <c r="D195" s="15">
        <f t="shared" si="92"/>
        <v>1</v>
      </c>
      <c r="E195" s="15">
        <f t="shared" si="92"/>
        <v>1</v>
      </c>
      <c r="F195" s="15">
        <f>F194</f>
        <v>1</v>
      </c>
      <c r="G195" s="15">
        <f t="shared" si="89"/>
        <v>1</v>
      </c>
      <c r="H195" s="15">
        <f t="shared" si="89"/>
        <v>1</v>
      </c>
      <c r="I195" s="15">
        <f t="shared" si="89"/>
        <v>1</v>
      </c>
      <c r="J195" s="15">
        <v>0</v>
      </c>
      <c r="K195" s="15">
        <f t="shared" si="90"/>
        <v>1</v>
      </c>
      <c r="L195" s="15">
        <v>0</v>
      </c>
      <c r="M195" s="15">
        <v>0</v>
      </c>
      <c r="N195" s="15">
        <v>0</v>
      </c>
      <c r="O195" s="15">
        <v>0</v>
      </c>
      <c r="P195" s="15">
        <v>1</v>
      </c>
      <c r="Q195" s="15">
        <v>0</v>
      </c>
      <c r="R195" s="15">
        <f t="shared" si="93"/>
        <v>1</v>
      </c>
      <c r="S195" s="16" cm="1">
        <f t="array" ref="S195">SUMPRODUCT((1-D195:R195),$D$2:$R$2)</f>
        <v>23535</v>
      </c>
    </row>
    <row r="196" spans="1:19" x14ac:dyDescent="0.35">
      <c r="A196" s="14" t="str">
        <f t="shared" si="87"/>
        <v>COAL_OFF_2050_PMR1b</v>
      </c>
      <c r="B196">
        <f t="shared" si="88"/>
        <v>2038</v>
      </c>
      <c r="C196">
        <v>1</v>
      </c>
      <c r="D196" s="15">
        <f t="shared" si="92"/>
        <v>1</v>
      </c>
      <c r="E196" s="15">
        <f t="shared" si="92"/>
        <v>1</v>
      </c>
      <c r="F196" s="15">
        <f t="shared" si="92"/>
        <v>1</v>
      </c>
      <c r="G196" s="15">
        <f t="shared" si="89"/>
        <v>1</v>
      </c>
      <c r="H196" s="15">
        <f t="shared" si="89"/>
        <v>1</v>
      </c>
      <c r="I196" s="15">
        <f t="shared" si="89"/>
        <v>1</v>
      </c>
      <c r="J196" s="15">
        <f>2/6</f>
        <v>0.33333333333333331</v>
      </c>
      <c r="K196" s="15">
        <f t="shared" si="90"/>
        <v>1</v>
      </c>
      <c r="L196" s="15">
        <v>0</v>
      </c>
      <c r="M196" s="15">
        <v>0</v>
      </c>
      <c r="N196" s="15">
        <v>0</v>
      </c>
      <c r="O196" s="15">
        <v>0</v>
      </c>
      <c r="P196" s="15">
        <f>P195</f>
        <v>1</v>
      </c>
      <c r="Q196" s="15">
        <v>0</v>
      </c>
      <c r="R196" s="15">
        <f t="shared" si="93"/>
        <v>1</v>
      </c>
      <c r="S196" s="16" cm="1">
        <f t="array" ref="S196">SUMPRODUCT((1-D196:R196),$D$2:$R$2)</f>
        <v>22255</v>
      </c>
    </row>
    <row r="197" spans="1:19" x14ac:dyDescent="0.35">
      <c r="A197" s="14" t="str">
        <f t="shared" si="87"/>
        <v>COAL_OFF_2050_PMR1b</v>
      </c>
      <c r="B197">
        <f t="shared" si="88"/>
        <v>2039</v>
      </c>
      <c r="C197">
        <v>1</v>
      </c>
      <c r="D197" s="15">
        <f t="shared" si="92"/>
        <v>1</v>
      </c>
      <c r="E197" s="15">
        <f t="shared" si="92"/>
        <v>1</v>
      </c>
      <c r="F197" s="15">
        <f t="shared" si="92"/>
        <v>1</v>
      </c>
      <c r="G197" s="15">
        <f t="shared" si="89"/>
        <v>1</v>
      </c>
      <c r="H197" s="15">
        <f t="shared" si="89"/>
        <v>1</v>
      </c>
      <c r="I197" s="15">
        <f t="shared" si="89"/>
        <v>1</v>
      </c>
      <c r="J197" s="15">
        <f>J196+1/6</f>
        <v>0.5</v>
      </c>
      <c r="K197" s="15">
        <f t="shared" si="90"/>
        <v>1</v>
      </c>
      <c r="L197" s="15">
        <v>0</v>
      </c>
      <c r="M197" s="15">
        <f>2/6</f>
        <v>0.33333333333333331</v>
      </c>
      <c r="N197" s="15">
        <v>0</v>
      </c>
      <c r="O197" s="15">
        <v>0</v>
      </c>
      <c r="P197" s="15">
        <f t="shared" ref="P197:Q212" si="94">P196</f>
        <v>1</v>
      </c>
      <c r="Q197" s="15">
        <v>0</v>
      </c>
      <c r="R197" s="15">
        <f t="shared" si="93"/>
        <v>1</v>
      </c>
      <c r="S197" s="16" cm="1">
        <f t="array" ref="S197">SUMPRODUCT((1-D197:R197),$D$2:$R$2)</f>
        <v>20429</v>
      </c>
    </row>
    <row r="198" spans="1:19" x14ac:dyDescent="0.35">
      <c r="A198" s="14" t="str">
        <f t="shared" si="87"/>
        <v>COAL_OFF_2050_PMR1b</v>
      </c>
      <c r="B198">
        <f t="shared" si="88"/>
        <v>2040</v>
      </c>
      <c r="C198">
        <v>1</v>
      </c>
      <c r="D198" s="15">
        <f t="shared" si="92"/>
        <v>1</v>
      </c>
      <c r="E198" s="15">
        <f t="shared" si="92"/>
        <v>1</v>
      </c>
      <c r="F198" s="15">
        <f t="shared" si="92"/>
        <v>1</v>
      </c>
      <c r="G198" s="15">
        <f t="shared" si="89"/>
        <v>1</v>
      </c>
      <c r="H198" s="15">
        <f t="shared" si="89"/>
        <v>1</v>
      </c>
      <c r="I198" s="15">
        <f t="shared" si="89"/>
        <v>1</v>
      </c>
      <c r="J198" s="15">
        <v>0.5</v>
      </c>
      <c r="K198" s="15">
        <f t="shared" si="90"/>
        <v>1</v>
      </c>
      <c r="L198" s="15">
        <v>0</v>
      </c>
      <c r="M198" s="15">
        <f>4/6</f>
        <v>0.66666666666666663</v>
      </c>
      <c r="N198" s="15">
        <v>0</v>
      </c>
      <c r="O198" s="15">
        <v>0</v>
      </c>
      <c r="P198" s="15">
        <f t="shared" si="94"/>
        <v>1</v>
      </c>
      <c r="Q198" s="15">
        <v>0</v>
      </c>
      <c r="R198" s="15">
        <f t="shared" si="93"/>
        <v>1</v>
      </c>
      <c r="S198" s="16" cm="1">
        <f t="array" ref="S198">SUMPRODUCT((1-D198:R198),$D$2:$R$2)</f>
        <v>19243</v>
      </c>
    </row>
    <row r="199" spans="1:19" x14ac:dyDescent="0.35">
      <c r="A199" s="14" t="str">
        <f t="shared" si="87"/>
        <v>COAL_OFF_2050_PMR1b</v>
      </c>
      <c r="B199">
        <f t="shared" si="88"/>
        <v>2041</v>
      </c>
      <c r="C199">
        <v>1</v>
      </c>
      <c r="D199" s="15">
        <f t="shared" si="92"/>
        <v>1</v>
      </c>
      <c r="E199" s="15">
        <f t="shared" si="92"/>
        <v>1</v>
      </c>
      <c r="F199" s="15">
        <f t="shared" si="92"/>
        <v>1</v>
      </c>
      <c r="G199" s="15">
        <f t="shared" si="89"/>
        <v>1</v>
      </c>
      <c r="H199" s="15">
        <f t="shared" si="89"/>
        <v>1</v>
      </c>
      <c r="I199" s="15">
        <f t="shared" si="89"/>
        <v>1</v>
      </c>
      <c r="J199" s="15">
        <f>J198</f>
        <v>0.5</v>
      </c>
      <c r="K199" s="15">
        <f t="shared" si="90"/>
        <v>1</v>
      </c>
      <c r="L199" s="15">
        <v>0</v>
      </c>
      <c r="M199" s="15">
        <v>1</v>
      </c>
      <c r="N199" s="15">
        <v>0</v>
      </c>
      <c r="O199" s="15">
        <f>1/6</f>
        <v>0.16666666666666666</v>
      </c>
      <c r="P199" s="15">
        <f t="shared" si="94"/>
        <v>1</v>
      </c>
      <c r="Q199" s="15">
        <v>0</v>
      </c>
      <c r="R199" s="15">
        <f t="shared" si="93"/>
        <v>1</v>
      </c>
      <c r="S199" s="16" cm="1">
        <f t="array" ref="S199">SUMPRODUCT((1-D199:R199),$D$2:$R$2)</f>
        <v>17442</v>
      </c>
    </row>
    <row r="200" spans="1:19" x14ac:dyDescent="0.35">
      <c r="A200" s="14" t="str">
        <f t="shared" si="87"/>
        <v>COAL_OFF_2050_PMR1b</v>
      </c>
      <c r="B200">
        <f t="shared" si="88"/>
        <v>2042</v>
      </c>
      <c r="C200">
        <v>1</v>
      </c>
      <c r="D200" s="15">
        <f t="shared" si="92"/>
        <v>1</v>
      </c>
      <c r="E200" s="15">
        <f t="shared" si="92"/>
        <v>1</v>
      </c>
      <c r="F200" s="15">
        <f t="shared" si="92"/>
        <v>1</v>
      </c>
      <c r="G200" s="15">
        <f t="shared" si="89"/>
        <v>1</v>
      </c>
      <c r="H200" s="15">
        <f t="shared" si="89"/>
        <v>1</v>
      </c>
      <c r="I200" s="15">
        <f t="shared" si="89"/>
        <v>1</v>
      </c>
      <c r="J200" s="15">
        <v>1</v>
      </c>
      <c r="K200" s="15">
        <f t="shared" si="90"/>
        <v>1</v>
      </c>
      <c r="L200" s="15">
        <v>0</v>
      </c>
      <c r="M200" s="15">
        <f>M199</f>
        <v>1</v>
      </c>
      <c r="N200" s="15">
        <v>0</v>
      </c>
      <c r="O200" s="15">
        <f>1/6</f>
        <v>0.16666666666666666</v>
      </c>
      <c r="P200" s="15">
        <f t="shared" si="94"/>
        <v>1</v>
      </c>
      <c r="Q200" s="15">
        <v>0</v>
      </c>
      <c r="R200" s="15">
        <f t="shared" si="93"/>
        <v>1</v>
      </c>
      <c r="S200" s="16" cm="1">
        <f t="array" ref="S200">SUMPRODUCT((1-D200:R200),$D$2:$R$2)</f>
        <v>15522</v>
      </c>
    </row>
    <row r="201" spans="1:19" x14ac:dyDescent="0.35">
      <c r="A201" s="14" t="str">
        <f t="shared" si="87"/>
        <v>COAL_OFF_2050_PMR1b</v>
      </c>
      <c r="B201">
        <f t="shared" si="88"/>
        <v>2043</v>
      </c>
      <c r="C201">
        <v>1</v>
      </c>
      <c r="D201" s="15">
        <f t="shared" si="92"/>
        <v>1</v>
      </c>
      <c r="E201" s="15">
        <f t="shared" si="92"/>
        <v>1</v>
      </c>
      <c r="F201" s="15">
        <f t="shared" si="92"/>
        <v>1</v>
      </c>
      <c r="G201" s="15">
        <f t="shared" si="89"/>
        <v>1</v>
      </c>
      <c r="H201" s="15">
        <f t="shared" si="89"/>
        <v>1</v>
      </c>
      <c r="I201" s="15">
        <f t="shared" si="89"/>
        <v>1</v>
      </c>
      <c r="J201" s="15">
        <f t="shared" si="89"/>
        <v>1</v>
      </c>
      <c r="K201" s="15">
        <f t="shared" si="90"/>
        <v>1</v>
      </c>
      <c r="L201" s="15">
        <v>0</v>
      </c>
      <c r="M201" s="15">
        <f t="shared" ref="M201:N216" si="95">M200</f>
        <v>1</v>
      </c>
      <c r="N201" s="15">
        <f>1/6</f>
        <v>0.16666666666666666</v>
      </c>
      <c r="O201" s="15">
        <f>3/6</f>
        <v>0.5</v>
      </c>
      <c r="P201" s="15">
        <f t="shared" si="94"/>
        <v>1</v>
      </c>
      <c r="Q201" s="15">
        <v>0</v>
      </c>
      <c r="R201" s="15">
        <f t="shared" si="93"/>
        <v>1</v>
      </c>
      <c r="S201" s="16" cm="1">
        <f t="array" ref="S201">SUMPRODUCT((1-D201:R201),$D$2:$R$2)</f>
        <v>13657.5</v>
      </c>
    </row>
    <row r="202" spans="1:19" x14ac:dyDescent="0.35">
      <c r="A202" s="14" t="str">
        <f t="shared" si="87"/>
        <v>COAL_OFF_2050_PMR1b</v>
      </c>
      <c r="B202">
        <f t="shared" si="88"/>
        <v>2044</v>
      </c>
      <c r="C202">
        <v>1</v>
      </c>
      <c r="D202" s="15">
        <f t="shared" si="92"/>
        <v>1</v>
      </c>
      <c r="E202" s="15">
        <f t="shared" si="92"/>
        <v>1</v>
      </c>
      <c r="F202" s="15">
        <f t="shared" si="92"/>
        <v>1</v>
      </c>
      <c r="G202" s="15">
        <f t="shared" si="89"/>
        <v>1</v>
      </c>
      <c r="H202" s="15">
        <f t="shared" si="89"/>
        <v>1</v>
      </c>
      <c r="I202" s="15">
        <f t="shared" si="89"/>
        <v>1</v>
      </c>
      <c r="J202" s="15">
        <f t="shared" si="89"/>
        <v>1</v>
      </c>
      <c r="K202" s="15">
        <f t="shared" si="90"/>
        <v>1</v>
      </c>
      <c r="L202" s="15">
        <v>0</v>
      </c>
      <c r="M202" s="15">
        <f t="shared" si="95"/>
        <v>1</v>
      </c>
      <c r="N202" s="15">
        <f>2/6</f>
        <v>0.33333333333333331</v>
      </c>
      <c r="O202" s="15">
        <f>5/6</f>
        <v>0.83333333333333337</v>
      </c>
      <c r="P202" s="15">
        <f t="shared" si="94"/>
        <v>1</v>
      </c>
      <c r="Q202" s="15">
        <v>0</v>
      </c>
      <c r="R202" s="15">
        <f t="shared" si="93"/>
        <v>1</v>
      </c>
      <c r="S202" s="16" cm="1">
        <f t="array" ref="S202">SUMPRODUCT((1-D202:R202),$D$2:$R$2)</f>
        <v>11793</v>
      </c>
    </row>
    <row r="203" spans="1:19" x14ac:dyDescent="0.35">
      <c r="A203" s="14" t="str">
        <f t="shared" si="87"/>
        <v>COAL_OFF_2050_PMR1b</v>
      </c>
      <c r="B203">
        <f t="shared" si="88"/>
        <v>2045</v>
      </c>
      <c r="C203">
        <v>1</v>
      </c>
      <c r="D203" s="15">
        <f t="shared" si="92"/>
        <v>1</v>
      </c>
      <c r="E203" s="15">
        <f t="shared" si="92"/>
        <v>1</v>
      </c>
      <c r="F203" s="15">
        <f t="shared" si="92"/>
        <v>1</v>
      </c>
      <c r="G203" s="15">
        <f t="shared" si="89"/>
        <v>1</v>
      </c>
      <c r="H203" s="15">
        <f t="shared" si="89"/>
        <v>1</v>
      </c>
      <c r="I203" s="15">
        <f t="shared" si="89"/>
        <v>1</v>
      </c>
      <c r="J203" s="15">
        <f t="shared" si="89"/>
        <v>1</v>
      </c>
      <c r="K203" s="15">
        <f t="shared" si="90"/>
        <v>1</v>
      </c>
      <c r="L203" s="15">
        <v>0</v>
      </c>
      <c r="M203" s="15">
        <f t="shared" si="95"/>
        <v>1</v>
      </c>
      <c r="N203" s="15">
        <f>4/6</f>
        <v>0.66666666666666663</v>
      </c>
      <c r="O203" s="15">
        <v>1</v>
      </c>
      <c r="P203" s="15">
        <f t="shared" si="94"/>
        <v>1</v>
      </c>
      <c r="Q203" s="15">
        <v>0</v>
      </c>
      <c r="R203" s="15">
        <f t="shared" si="93"/>
        <v>1</v>
      </c>
      <c r="S203" s="16" cm="1">
        <f t="array" ref="S203">SUMPRODUCT((1-D203:R203),$D$2:$R$2)</f>
        <v>9909</v>
      </c>
    </row>
    <row r="204" spans="1:19" x14ac:dyDescent="0.35">
      <c r="A204" s="14" t="str">
        <f t="shared" si="87"/>
        <v>COAL_OFF_2050_PMR1b</v>
      </c>
      <c r="B204">
        <f>B203+1</f>
        <v>2046</v>
      </c>
      <c r="C204">
        <v>1</v>
      </c>
      <c r="D204" s="15">
        <f t="shared" si="92"/>
        <v>1</v>
      </c>
      <c r="E204" s="15">
        <f t="shared" si="92"/>
        <v>1</v>
      </c>
      <c r="F204" s="15">
        <f t="shared" si="92"/>
        <v>1</v>
      </c>
      <c r="G204" s="15">
        <f t="shared" si="89"/>
        <v>1</v>
      </c>
      <c r="H204" s="15">
        <f t="shared" si="89"/>
        <v>1</v>
      </c>
      <c r="I204" s="15">
        <f t="shared" si="89"/>
        <v>1</v>
      </c>
      <c r="J204" s="15">
        <f t="shared" si="89"/>
        <v>1</v>
      </c>
      <c r="K204" s="15">
        <f t="shared" si="90"/>
        <v>1</v>
      </c>
      <c r="L204" s="15">
        <v>0</v>
      </c>
      <c r="M204" s="15">
        <f t="shared" si="95"/>
        <v>1</v>
      </c>
      <c r="N204" s="15">
        <v>1</v>
      </c>
      <c r="O204" s="15">
        <f>O203</f>
        <v>1</v>
      </c>
      <c r="P204" s="15">
        <f t="shared" si="94"/>
        <v>1</v>
      </c>
      <c r="Q204" s="15">
        <f>1/6</f>
        <v>0.16666666666666666</v>
      </c>
      <c r="R204" s="15">
        <f t="shared" si="93"/>
        <v>1</v>
      </c>
      <c r="S204" s="16" cm="1">
        <f t="array" ref="S204">SUMPRODUCT((1-D204:R204),$D$2:$R$2)</f>
        <v>7920</v>
      </c>
    </row>
    <row r="205" spans="1:19" x14ac:dyDescent="0.35">
      <c r="A205" s="14" t="str">
        <f t="shared" si="87"/>
        <v>COAL_OFF_2050_PMR1b</v>
      </c>
      <c r="B205">
        <f t="shared" ref="B205:B211" si="96">B204+1</f>
        <v>2047</v>
      </c>
      <c r="C205">
        <v>1</v>
      </c>
      <c r="D205" s="15">
        <f t="shared" si="92"/>
        <v>1</v>
      </c>
      <c r="E205" s="15">
        <f t="shared" si="92"/>
        <v>1</v>
      </c>
      <c r="F205" s="15">
        <f t="shared" si="92"/>
        <v>1</v>
      </c>
      <c r="G205" s="15">
        <f t="shared" si="89"/>
        <v>1</v>
      </c>
      <c r="H205" s="15">
        <f t="shared" si="89"/>
        <v>1</v>
      </c>
      <c r="I205" s="15">
        <f t="shared" si="89"/>
        <v>1</v>
      </c>
      <c r="J205" s="15">
        <f t="shared" si="89"/>
        <v>1</v>
      </c>
      <c r="K205" s="15">
        <f t="shared" si="90"/>
        <v>1</v>
      </c>
      <c r="L205" s="15">
        <v>0</v>
      </c>
      <c r="M205" s="15">
        <f t="shared" si="95"/>
        <v>1</v>
      </c>
      <c r="N205" s="15">
        <f>N204</f>
        <v>1</v>
      </c>
      <c r="O205" s="15">
        <f t="shared" ref="O205:Q218" si="97">O204</f>
        <v>1</v>
      </c>
      <c r="P205" s="15">
        <f t="shared" si="94"/>
        <v>1</v>
      </c>
      <c r="Q205" s="15">
        <f>4/6</f>
        <v>0.66666666666666663</v>
      </c>
      <c r="R205" s="15">
        <f t="shared" si="93"/>
        <v>1</v>
      </c>
      <c r="S205" s="16" cm="1">
        <f t="array" ref="S205">SUMPRODUCT((1-D205:R205),$D$2:$R$2)</f>
        <v>5760</v>
      </c>
    </row>
    <row r="206" spans="1:19" x14ac:dyDescent="0.35">
      <c r="A206" s="14" t="str">
        <f t="shared" si="87"/>
        <v>COAL_OFF_2050_PMR1b</v>
      </c>
      <c r="B206">
        <f t="shared" si="96"/>
        <v>2048</v>
      </c>
      <c r="C206">
        <v>1</v>
      </c>
      <c r="D206" s="15">
        <f t="shared" si="92"/>
        <v>1</v>
      </c>
      <c r="E206" s="15">
        <f t="shared" si="92"/>
        <v>1</v>
      </c>
      <c r="F206" s="15">
        <f t="shared" si="92"/>
        <v>1</v>
      </c>
      <c r="G206" s="15">
        <f t="shared" si="92"/>
        <v>1</v>
      </c>
      <c r="H206" s="15">
        <f t="shared" si="92"/>
        <v>1</v>
      </c>
      <c r="I206" s="15">
        <f t="shared" si="92"/>
        <v>1</v>
      </c>
      <c r="J206" s="15">
        <f t="shared" si="92"/>
        <v>1</v>
      </c>
      <c r="K206" s="15">
        <f t="shared" si="92"/>
        <v>1</v>
      </c>
      <c r="L206" s="15">
        <f>1/6</f>
        <v>0.16666666666666666</v>
      </c>
      <c r="M206" s="15">
        <f t="shared" si="95"/>
        <v>1</v>
      </c>
      <c r="N206" s="15">
        <f t="shared" si="95"/>
        <v>1</v>
      </c>
      <c r="O206" s="15">
        <f t="shared" si="97"/>
        <v>1</v>
      </c>
      <c r="P206" s="15">
        <f t="shared" si="94"/>
        <v>1</v>
      </c>
      <c r="Q206" s="15">
        <v>1</v>
      </c>
      <c r="R206" s="15">
        <f t="shared" si="93"/>
        <v>1</v>
      </c>
      <c r="S206" s="16" cm="1">
        <f t="array" ref="S206">SUMPRODUCT((1-D206:R206),$D$2:$R$2)</f>
        <v>3600</v>
      </c>
    </row>
    <row r="207" spans="1:19" x14ac:dyDescent="0.35">
      <c r="A207" s="14" t="str">
        <f t="shared" si="87"/>
        <v>COAL_OFF_2050_PMR1b</v>
      </c>
      <c r="B207">
        <f t="shared" si="96"/>
        <v>2049</v>
      </c>
      <c r="C207">
        <v>1</v>
      </c>
      <c r="D207" s="15">
        <f t="shared" si="92"/>
        <v>1</v>
      </c>
      <c r="E207" s="15">
        <f t="shared" si="92"/>
        <v>1</v>
      </c>
      <c r="F207" s="15">
        <f t="shared" si="92"/>
        <v>1</v>
      </c>
      <c r="G207" s="15">
        <f t="shared" si="92"/>
        <v>1</v>
      </c>
      <c r="H207" s="15">
        <f t="shared" si="92"/>
        <v>1</v>
      </c>
      <c r="I207" s="15">
        <f t="shared" si="92"/>
        <v>1</v>
      </c>
      <c r="J207" s="15">
        <f t="shared" si="92"/>
        <v>1</v>
      </c>
      <c r="K207" s="15">
        <f t="shared" si="92"/>
        <v>1</v>
      </c>
      <c r="L207" s="15">
        <f>L206+2/6</f>
        <v>0.5</v>
      </c>
      <c r="M207" s="15">
        <f t="shared" si="95"/>
        <v>1</v>
      </c>
      <c r="N207" s="15">
        <f t="shared" si="95"/>
        <v>1</v>
      </c>
      <c r="O207" s="15">
        <f t="shared" si="97"/>
        <v>1</v>
      </c>
      <c r="P207" s="15">
        <f t="shared" si="94"/>
        <v>1</v>
      </c>
      <c r="Q207" s="15">
        <f>Q206</f>
        <v>1</v>
      </c>
      <c r="R207" s="15">
        <f t="shared" si="93"/>
        <v>1</v>
      </c>
      <c r="S207" s="16" cm="1">
        <f t="array" ref="S207">SUMPRODUCT((1-D207:R207),$D$2:$R$2)</f>
        <v>2160</v>
      </c>
    </row>
    <row r="208" spans="1:19" x14ac:dyDescent="0.35">
      <c r="A208" s="14" t="str">
        <f t="shared" si="87"/>
        <v>COAL_OFF_2050_PMR1b</v>
      </c>
      <c r="B208">
        <f t="shared" si="96"/>
        <v>2050</v>
      </c>
      <c r="C208">
        <v>1</v>
      </c>
      <c r="D208" s="15">
        <f t="shared" si="92"/>
        <v>1</v>
      </c>
      <c r="E208" s="15">
        <f t="shared" si="92"/>
        <v>1</v>
      </c>
      <c r="F208" s="15">
        <f t="shared" si="92"/>
        <v>1</v>
      </c>
      <c r="G208" s="15">
        <f t="shared" si="92"/>
        <v>1</v>
      </c>
      <c r="H208" s="15">
        <f t="shared" si="92"/>
        <v>1</v>
      </c>
      <c r="I208" s="15">
        <f t="shared" si="92"/>
        <v>1</v>
      </c>
      <c r="J208" s="15">
        <f t="shared" si="92"/>
        <v>1</v>
      </c>
      <c r="K208" s="15">
        <f t="shared" si="92"/>
        <v>1</v>
      </c>
      <c r="L208" s="15">
        <v>1</v>
      </c>
      <c r="M208" s="15">
        <f t="shared" si="95"/>
        <v>1</v>
      </c>
      <c r="N208" s="15">
        <f t="shared" si="95"/>
        <v>1</v>
      </c>
      <c r="O208" s="15">
        <f t="shared" si="97"/>
        <v>1</v>
      </c>
      <c r="P208" s="15">
        <f t="shared" si="94"/>
        <v>1</v>
      </c>
      <c r="Q208" s="15">
        <f t="shared" si="94"/>
        <v>1</v>
      </c>
      <c r="R208" s="15">
        <f t="shared" si="93"/>
        <v>1</v>
      </c>
      <c r="S208" s="16" cm="1">
        <f t="array" ref="S208">SUMPRODUCT((1-D208:R208),$D$2:$R$2)</f>
        <v>0</v>
      </c>
    </row>
    <row r="209" spans="1:19" x14ac:dyDescent="0.35">
      <c r="A209" s="14" t="str">
        <f t="shared" si="87"/>
        <v>COAL_OFF_2050_PMR1b</v>
      </c>
      <c r="B209">
        <f t="shared" si="96"/>
        <v>2051</v>
      </c>
      <c r="C209">
        <v>1</v>
      </c>
      <c r="D209" s="15">
        <f t="shared" ref="D209:N218" si="98">D208</f>
        <v>1</v>
      </c>
      <c r="E209" s="15">
        <f t="shared" si="98"/>
        <v>1</v>
      </c>
      <c r="F209" s="15">
        <f t="shared" si="98"/>
        <v>1</v>
      </c>
      <c r="G209" s="15">
        <f t="shared" si="98"/>
        <v>1</v>
      </c>
      <c r="H209" s="15">
        <f t="shared" si="98"/>
        <v>1</v>
      </c>
      <c r="I209" s="15">
        <f t="shared" si="98"/>
        <v>1</v>
      </c>
      <c r="J209" s="15">
        <f t="shared" si="98"/>
        <v>1</v>
      </c>
      <c r="K209" s="15">
        <f t="shared" si="98"/>
        <v>1</v>
      </c>
      <c r="L209" s="15">
        <f>L208</f>
        <v>1</v>
      </c>
      <c r="M209" s="15">
        <f t="shared" si="95"/>
        <v>1</v>
      </c>
      <c r="N209" s="15">
        <f t="shared" si="95"/>
        <v>1</v>
      </c>
      <c r="O209" s="15">
        <f t="shared" si="97"/>
        <v>1</v>
      </c>
      <c r="P209" s="15">
        <f t="shared" si="94"/>
        <v>1</v>
      </c>
      <c r="Q209" s="15">
        <f t="shared" si="94"/>
        <v>1</v>
      </c>
      <c r="R209" s="15">
        <f t="shared" si="93"/>
        <v>1</v>
      </c>
      <c r="S209" s="16" cm="1">
        <f t="array" ref="S209">SUMPRODUCT((1-D209:R209),$D$2:$R$2)</f>
        <v>0</v>
      </c>
    </row>
    <row r="210" spans="1:19" x14ac:dyDescent="0.35">
      <c r="A210" s="14" t="str">
        <f t="shared" si="87"/>
        <v>COAL_OFF_2050_PMR1b</v>
      </c>
      <c r="B210">
        <f t="shared" si="96"/>
        <v>2052</v>
      </c>
      <c r="C210">
        <v>1</v>
      </c>
      <c r="D210" s="15">
        <f t="shared" si="98"/>
        <v>1</v>
      </c>
      <c r="E210" s="15">
        <f t="shared" si="98"/>
        <v>1</v>
      </c>
      <c r="F210" s="15">
        <f t="shared" si="98"/>
        <v>1</v>
      </c>
      <c r="G210" s="15">
        <f t="shared" si="98"/>
        <v>1</v>
      </c>
      <c r="H210" s="15">
        <f t="shared" si="98"/>
        <v>1</v>
      </c>
      <c r="I210" s="15">
        <f t="shared" si="98"/>
        <v>1</v>
      </c>
      <c r="J210" s="15">
        <f t="shared" si="98"/>
        <v>1</v>
      </c>
      <c r="K210" s="15">
        <f t="shared" si="98"/>
        <v>1</v>
      </c>
      <c r="L210" s="15">
        <f t="shared" si="98"/>
        <v>1</v>
      </c>
      <c r="M210" s="15">
        <f t="shared" si="95"/>
        <v>1</v>
      </c>
      <c r="N210" s="15">
        <f t="shared" si="95"/>
        <v>1</v>
      </c>
      <c r="O210" s="15">
        <f t="shared" si="97"/>
        <v>1</v>
      </c>
      <c r="P210" s="15">
        <f t="shared" si="94"/>
        <v>1</v>
      </c>
      <c r="Q210" s="15">
        <f t="shared" si="94"/>
        <v>1</v>
      </c>
      <c r="R210" s="15">
        <f t="shared" si="93"/>
        <v>1</v>
      </c>
      <c r="S210" s="16" cm="1">
        <f t="array" ref="S210">SUMPRODUCT((1-D210:R210),$D$2:$R$2)</f>
        <v>0</v>
      </c>
    </row>
    <row r="211" spans="1:19" x14ac:dyDescent="0.35">
      <c r="A211" s="14" t="str">
        <f t="shared" si="87"/>
        <v>COAL_OFF_2050_PMR1b</v>
      </c>
      <c r="B211">
        <f t="shared" si="96"/>
        <v>2053</v>
      </c>
      <c r="C211">
        <v>1</v>
      </c>
      <c r="D211" s="15">
        <f t="shared" si="98"/>
        <v>1</v>
      </c>
      <c r="E211" s="15">
        <f t="shared" si="98"/>
        <v>1</v>
      </c>
      <c r="F211" s="15">
        <f t="shared" si="98"/>
        <v>1</v>
      </c>
      <c r="G211" s="15">
        <f t="shared" si="98"/>
        <v>1</v>
      </c>
      <c r="H211" s="15">
        <f t="shared" si="98"/>
        <v>1</v>
      </c>
      <c r="I211" s="15">
        <f t="shared" si="98"/>
        <v>1</v>
      </c>
      <c r="J211" s="15">
        <f t="shared" si="98"/>
        <v>1</v>
      </c>
      <c r="K211" s="15">
        <f t="shared" si="98"/>
        <v>1</v>
      </c>
      <c r="L211" s="15">
        <f t="shared" si="98"/>
        <v>1</v>
      </c>
      <c r="M211" s="15">
        <f t="shared" si="95"/>
        <v>1</v>
      </c>
      <c r="N211" s="15">
        <f t="shared" si="95"/>
        <v>1</v>
      </c>
      <c r="O211" s="15">
        <f t="shared" si="97"/>
        <v>1</v>
      </c>
      <c r="P211" s="15">
        <f t="shared" si="94"/>
        <v>1</v>
      </c>
      <c r="Q211" s="15">
        <f t="shared" si="94"/>
        <v>1</v>
      </c>
      <c r="R211" s="15">
        <f t="shared" si="93"/>
        <v>1</v>
      </c>
      <c r="S211" s="16" cm="1">
        <f t="array" ref="S211">SUMPRODUCT((1-D211:R211),$D$2:$R$2)</f>
        <v>0</v>
      </c>
    </row>
    <row r="212" spans="1:19" x14ac:dyDescent="0.35">
      <c r="A212" s="14" t="str">
        <f t="shared" si="87"/>
        <v>COAL_OFF_2050_PMR1b</v>
      </c>
      <c r="B212">
        <f>B211+1</f>
        <v>2054</v>
      </c>
      <c r="C212">
        <v>1</v>
      </c>
      <c r="D212" s="15">
        <f t="shared" si="98"/>
        <v>1</v>
      </c>
      <c r="E212" s="15">
        <f t="shared" si="98"/>
        <v>1</v>
      </c>
      <c r="F212" s="15">
        <f t="shared" si="98"/>
        <v>1</v>
      </c>
      <c r="G212" s="15">
        <f t="shared" si="98"/>
        <v>1</v>
      </c>
      <c r="H212" s="15">
        <f t="shared" si="98"/>
        <v>1</v>
      </c>
      <c r="I212" s="15">
        <f t="shared" si="98"/>
        <v>1</v>
      </c>
      <c r="J212" s="15">
        <f t="shared" si="98"/>
        <v>1</v>
      </c>
      <c r="K212" s="15">
        <f t="shared" si="98"/>
        <v>1</v>
      </c>
      <c r="L212" s="15">
        <f t="shared" si="98"/>
        <v>1</v>
      </c>
      <c r="M212" s="15">
        <f t="shared" si="95"/>
        <v>1</v>
      </c>
      <c r="N212" s="15">
        <f t="shared" si="95"/>
        <v>1</v>
      </c>
      <c r="O212" s="15">
        <f t="shared" si="97"/>
        <v>1</v>
      </c>
      <c r="P212" s="15">
        <f t="shared" si="94"/>
        <v>1</v>
      </c>
      <c r="Q212" s="15">
        <f t="shared" si="94"/>
        <v>1</v>
      </c>
      <c r="R212" s="15">
        <f t="shared" si="93"/>
        <v>1</v>
      </c>
      <c r="S212" s="16" cm="1">
        <f t="array" ref="S212">SUMPRODUCT((1-D212:R212),$D$2:$R$2)</f>
        <v>0</v>
      </c>
    </row>
    <row r="213" spans="1:19" x14ac:dyDescent="0.35">
      <c r="A213" s="14" t="str">
        <f t="shared" si="87"/>
        <v>COAL_OFF_2050_PMR1b</v>
      </c>
      <c r="B213">
        <f t="shared" ref="B213:B215" si="99">B212+1</f>
        <v>2055</v>
      </c>
      <c r="C213">
        <v>1</v>
      </c>
      <c r="D213" s="15">
        <f t="shared" si="98"/>
        <v>1</v>
      </c>
      <c r="E213" s="15">
        <f t="shared" si="98"/>
        <v>1</v>
      </c>
      <c r="F213" s="15">
        <f t="shared" si="98"/>
        <v>1</v>
      </c>
      <c r="G213" s="15">
        <f t="shared" si="98"/>
        <v>1</v>
      </c>
      <c r="H213" s="15">
        <f t="shared" si="98"/>
        <v>1</v>
      </c>
      <c r="I213" s="15">
        <f t="shared" si="98"/>
        <v>1</v>
      </c>
      <c r="J213" s="15">
        <f t="shared" si="98"/>
        <v>1</v>
      </c>
      <c r="K213" s="15">
        <f t="shared" si="98"/>
        <v>1</v>
      </c>
      <c r="L213" s="15">
        <f t="shared" si="98"/>
        <v>1</v>
      </c>
      <c r="M213" s="15">
        <f t="shared" si="95"/>
        <v>1</v>
      </c>
      <c r="N213" s="15">
        <f t="shared" si="95"/>
        <v>1</v>
      </c>
      <c r="O213" s="15">
        <f t="shared" si="97"/>
        <v>1</v>
      </c>
      <c r="P213" s="15">
        <f t="shared" si="97"/>
        <v>1</v>
      </c>
      <c r="Q213" s="15">
        <f t="shared" si="97"/>
        <v>1</v>
      </c>
      <c r="R213" s="15">
        <f t="shared" si="93"/>
        <v>1</v>
      </c>
      <c r="S213" s="16" cm="1">
        <f t="array" ref="S213">SUMPRODUCT((1-D213:R213),$D$2:$R$2)</f>
        <v>0</v>
      </c>
    </row>
    <row r="214" spans="1:19" x14ac:dyDescent="0.35">
      <c r="A214" s="14" t="str">
        <f t="shared" si="87"/>
        <v>COAL_OFF_2050_PMR1b</v>
      </c>
      <c r="B214">
        <f t="shared" si="99"/>
        <v>2056</v>
      </c>
      <c r="C214">
        <v>1</v>
      </c>
      <c r="D214" s="15">
        <f t="shared" si="98"/>
        <v>1</v>
      </c>
      <c r="E214" s="15">
        <f t="shared" si="98"/>
        <v>1</v>
      </c>
      <c r="F214" s="15">
        <f t="shared" si="98"/>
        <v>1</v>
      </c>
      <c r="G214" s="15">
        <f t="shared" si="98"/>
        <v>1</v>
      </c>
      <c r="H214" s="15">
        <f t="shared" si="98"/>
        <v>1</v>
      </c>
      <c r="I214" s="15">
        <f t="shared" si="98"/>
        <v>1</v>
      </c>
      <c r="J214" s="15">
        <f t="shared" si="98"/>
        <v>1</v>
      </c>
      <c r="K214" s="15">
        <f t="shared" si="98"/>
        <v>1</v>
      </c>
      <c r="L214" s="15">
        <f t="shared" si="98"/>
        <v>1</v>
      </c>
      <c r="M214" s="15">
        <f t="shared" si="95"/>
        <v>1</v>
      </c>
      <c r="N214" s="15">
        <f t="shared" si="95"/>
        <v>1</v>
      </c>
      <c r="O214" s="15">
        <f t="shared" si="97"/>
        <v>1</v>
      </c>
      <c r="P214" s="15">
        <f t="shared" si="97"/>
        <v>1</v>
      </c>
      <c r="Q214" s="15">
        <f t="shared" si="97"/>
        <v>1</v>
      </c>
      <c r="R214" s="15">
        <f t="shared" si="93"/>
        <v>1</v>
      </c>
      <c r="S214" s="16" cm="1">
        <f t="array" ref="S214">SUMPRODUCT((1-D214:R214),$D$2:$R$2)</f>
        <v>0</v>
      </c>
    </row>
    <row r="215" spans="1:19" x14ac:dyDescent="0.35">
      <c r="A215" s="14" t="str">
        <f t="shared" si="87"/>
        <v>COAL_OFF_2050_PMR1b</v>
      </c>
      <c r="B215">
        <f t="shared" si="99"/>
        <v>2057</v>
      </c>
      <c r="C215">
        <v>1</v>
      </c>
      <c r="D215" s="15">
        <f t="shared" si="98"/>
        <v>1</v>
      </c>
      <c r="E215" s="15">
        <f t="shared" si="98"/>
        <v>1</v>
      </c>
      <c r="F215" s="15">
        <f t="shared" si="98"/>
        <v>1</v>
      </c>
      <c r="G215" s="15">
        <f t="shared" si="98"/>
        <v>1</v>
      </c>
      <c r="H215" s="15">
        <f t="shared" si="98"/>
        <v>1</v>
      </c>
      <c r="I215" s="15">
        <f t="shared" si="98"/>
        <v>1</v>
      </c>
      <c r="J215" s="15">
        <f t="shared" si="98"/>
        <v>1</v>
      </c>
      <c r="K215" s="15">
        <f t="shared" si="98"/>
        <v>1</v>
      </c>
      <c r="L215" s="15">
        <f t="shared" si="98"/>
        <v>1</v>
      </c>
      <c r="M215" s="15">
        <f t="shared" si="95"/>
        <v>1</v>
      </c>
      <c r="N215" s="15">
        <f t="shared" si="95"/>
        <v>1</v>
      </c>
      <c r="O215" s="15">
        <f t="shared" si="97"/>
        <v>1</v>
      </c>
      <c r="P215" s="15">
        <f t="shared" si="97"/>
        <v>1</v>
      </c>
      <c r="Q215" s="15">
        <f t="shared" si="97"/>
        <v>1</v>
      </c>
      <c r="R215" s="15">
        <f t="shared" si="93"/>
        <v>1</v>
      </c>
      <c r="S215" s="16" cm="1">
        <f t="array" ref="S215">SUMPRODUCT((1-D215:R215),$D$2:$R$2)</f>
        <v>0</v>
      </c>
    </row>
    <row r="216" spans="1:19" x14ac:dyDescent="0.35">
      <c r="A216" s="14" t="str">
        <f t="shared" si="87"/>
        <v>COAL_OFF_2050_PMR1b</v>
      </c>
      <c r="B216">
        <f>B215+1</f>
        <v>2058</v>
      </c>
      <c r="C216">
        <v>1</v>
      </c>
      <c r="D216" s="15">
        <f t="shared" si="98"/>
        <v>1</v>
      </c>
      <c r="E216" s="15">
        <f t="shared" si="98"/>
        <v>1</v>
      </c>
      <c r="F216" s="15">
        <f t="shared" si="98"/>
        <v>1</v>
      </c>
      <c r="G216" s="15">
        <f t="shared" si="98"/>
        <v>1</v>
      </c>
      <c r="H216" s="15">
        <f t="shared" si="98"/>
        <v>1</v>
      </c>
      <c r="I216" s="15">
        <f t="shared" si="98"/>
        <v>1</v>
      </c>
      <c r="J216" s="15">
        <f t="shared" si="98"/>
        <v>1</v>
      </c>
      <c r="K216" s="15">
        <f t="shared" si="98"/>
        <v>1</v>
      </c>
      <c r="L216" s="15">
        <f t="shared" si="98"/>
        <v>1</v>
      </c>
      <c r="M216" s="15">
        <f t="shared" si="95"/>
        <v>1</v>
      </c>
      <c r="N216" s="15">
        <f t="shared" si="95"/>
        <v>1</v>
      </c>
      <c r="O216" s="15">
        <f t="shared" si="97"/>
        <v>1</v>
      </c>
      <c r="P216" s="15">
        <f t="shared" si="97"/>
        <v>1</v>
      </c>
      <c r="Q216" s="15">
        <f t="shared" si="97"/>
        <v>1</v>
      </c>
      <c r="R216" s="15">
        <f t="shared" si="93"/>
        <v>1</v>
      </c>
      <c r="S216" s="16" cm="1">
        <f t="array" ref="S216">SUMPRODUCT((1-D216:R216),$D$2:$R$2)</f>
        <v>0</v>
      </c>
    </row>
    <row r="217" spans="1:19" x14ac:dyDescent="0.35">
      <c r="A217" s="14" t="str">
        <f t="shared" si="87"/>
        <v>COAL_OFF_2050_PMR1b</v>
      </c>
      <c r="B217">
        <f t="shared" ref="B217" si="100">B216+1</f>
        <v>2059</v>
      </c>
      <c r="C217">
        <v>1</v>
      </c>
      <c r="D217" s="15">
        <f t="shared" si="98"/>
        <v>1</v>
      </c>
      <c r="E217" s="15">
        <f t="shared" si="98"/>
        <v>1</v>
      </c>
      <c r="F217" s="15">
        <f t="shared" si="98"/>
        <v>1</v>
      </c>
      <c r="G217" s="15">
        <f t="shared" si="98"/>
        <v>1</v>
      </c>
      <c r="H217" s="15">
        <f t="shared" si="98"/>
        <v>1</v>
      </c>
      <c r="I217" s="15">
        <f t="shared" si="98"/>
        <v>1</v>
      </c>
      <c r="J217" s="15">
        <f t="shared" si="98"/>
        <v>1</v>
      </c>
      <c r="K217" s="15">
        <f t="shared" si="98"/>
        <v>1</v>
      </c>
      <c r="L217" s="15">
        <f t="shared" si="98"/>
        <v>1</v>
      </c>
      <c r="M217" s="15">
        <f t="shared" si="98"/>
        <v>1</v>
      </c>
      <c r="N217" s="15">
        <f t="shared" si="98"/>
        <v>1</v>
      </c>
      <c r="O217" s="15">
        <f t="shared" si="97"/>
        <v>1</v>
      </c>
      <c r="P217" s="15">
        <f t="shared" si="97"/>
        <v>1</v>
      </c>
      <c r="Q217" s="15">
        <f t="shared" si="97"/>
        <v>1</v>
      </c>
      <c r="R217" s="15">
        <f t="shared" si="93"/>
        <v>1</v>
      </c>
      <c r="S217" s="16" cm="1">
        <f t="array" ref="S217">SUMPRODUCT((1-D217:R217),$D$2:$R$2)</f>
        <v>0</v>
      </c>
    </row>
    <row r="218" spans="1:19" x14ac:dyDescent="0.35">
      <c r="A218" s="17" t="str">
        <f t="shared" si="87"/>
        <v>COAL_OFF_2050_PMR1b</v>
      </c>
      <c r="B218" s="18">
        <f>B217+1</f>
        <v>2060</v>
      </c>
      <c r="C218" s="18">
        <v>1</v>
      </c>
      <c r="D218" s="19">
        <f t="shared" si="98"/>
        <v>1</v>
      </c>
      <c r="E218" s="19">
        <f t="shared" si="98"/>
        <v>1</v>
      </c>
      <c r="F218" s="19">
        <f t="shared" si="98"/>
        <v>1</v>
      </c>
      <c r="G218" s="19">
        <f t="shared" si="98"/>
        <v>1</v>
      </c>
      <c r="H218" s="19">
        <f t="shared" si="98"/>
        <v>1</v>
      </c>
      <c r="I218" s="19">
        <f t="shared" si="98"/>
        <v>1</v>
      </c>
      <c r="J218" s="19">
        <f t="shared" si="98"/>
        <v>1</v>
      </c>
      <c r="K218" s="19">
        <f t="shared" si="98"/>
        <v>1</v>
      </c>
      <c r="L218" s="19">
        <f t="shared" si="98"/>
        <v>1</v>
      </c>
      <c r="M218" s="19">
        <f t="shared" si="98"/>
        <v>1</v>
      </c>
      <c r="N218" s="19">
        <f t="shared" si="98"/>
        <v>1</v>
      </c>
      <c r="O218" s="19">
        <f t="shared" si="97"/>
        <v>1</v>
      </c>
      <c r="P218" s="19">
        <f t="shared" si="97"/>
        <v>1</v>
      </c>
      <c r="Q218" s="19">
        <f t="shared" si="97"/>
        <v>1</v>
      </c>
      <c r="R218" s="19">
        <f t="shared" si="93"/>
        <v>1</v>
      </c>
      <c r="S218" s="20" cm="1">
        <f t="array" ref="S218">SUMPRODUCT((1-D218:R218),$D$2:$R$2)</f>
        <v>0</v>
      </c>
    </row>
    <row r="219" spans="1:19" x14ac:dyDescent="0.35">
      <c r="A219" s="21" t="s">
        <v>30</v>
      </c>
      <c r="B219">
        <v>2025</v>
      </c>
      <c r="C219">
        <v>1</v>
      </c>
      <c r="D219" s="15">
        <v>0</v>
      </c>
      <c r="E219" s="15">
        <v>0</v>
      </c>
      <c r="F219" s="15">
        <v>0</v>
      </c>
      <c r="G219" s="15">
        <v>0</v>
      </c>
      <c r="H219" s="15">
        <v>0</v>
      </c>
      <c r="I219" s="15">
        <v>0</v>
      </c>
      <c r="J219" s="15">
        <v>0</v>
      </c>
      <c r="K219" s="15">
        <v>0</v>
      </c>
      <c r="L219" s="15">
        <v>0</v>
      </c>
      <c r="M219" s="15">
        <v>0</v>
      </c>
      <c r="N219" s="15">
        <v>0</v>
      </c>
      <c r="O219" s="15">
        <v>0</v>
      </c>
      <c r="P219" s="15">
        <v>0</v>
      </c>
      <c r="Q219" s="15">
        <v>0</v>
      </c>
      <c r="R219" s="15">
        <v>0</v>
      </c>
      <c r="S219" s="16" cm="1">
        <f t="array" ref="S219">SUMPRODUCT((1-D219:R219),$D$2:$R$2)</f>
        <v>41419</v>
      </c>
    </row>
    <row r="220" spans="1:19" x14ac:dyDescent="0.35">
      <c r="A220" s="21" t="str">
        <f>A219</f>
        <v>COAL_OFF_2055_PMR1b</v>
      </c>
      <c r="B220">
        <f>B219+1</f>
        <v>2026</v>
      </c>
      <c r="C220">
        <v>1</v>
      </c>
      <c r="D220" s="15">
        <v>0</v>
      </c>
      <c r="E220" s="15">
        <v>0</v>
      </c>
      <c r="F220" s="15">
        <v>0</v>
      </c>
      <c r="G220" s="15">
        <v>0</v>
      </c>
      <c r="H220" s="15">
        <v>0</v>
      </c>
      <c r="I220" s="15">
        <v>0</v>
      </c>
      <c r="J220" s="15">
        <v>0</v>
      </c>
      <c r="K220" s="15">
        <v>0</v>
      </c>
      <c r="L220" s="15">
        <v>0</v>
      </c>
      <c r="M220" s="15">
        <v>0</v>
      </c>
      <c r="N220" s="15">
        <v>0</v>
      </c>
      <c r="O220" s="15">
        <v>0</v>
      </c>
      <c r="P220" s="15">
        <v>0</v>
      </c>
      <c r="Q220" s="15">
        <v>0</v>
      </c>
      <c r="R220" s="15">
        <v>0</v>
      </c>
      <c r="S220" s="16" cm="1">
        <f t="array" ref="S220">SUMPRODUCT((1-D220:R220),$D$2:$R$2)</f>
        <v>41419</v>
      </c>
    </row>
    <row r="221" spans="1:19" x14ac:dyDescent="0.35">
      <c r="A221" s="21" t="str">
        <f t="shared" ref="A221:A254" si="101">A220</f>
        <v>COAL_OFF_2055_PMR1b</v>
      </c>
      <c r="B221">
        <f t="shared" ref="B221:B239" si="102">B220+1</f>
        <v>2027</v>
      </c>
      <c r="C221">
        <v>1</v>
      </c>
      <c r="D221" s="15">
        <v>0</v>
      </c>
      <c r="E221" s="15">
        <v>0</v>
      </c>
      <c r="F221" s="15">
        <v>0</v>
      </c>
      <c r="G221" s="15">
        <v>0</v>
      </c>
      <c r="H221" s="15">
        <v>0</v>
      </c>
      <c r="I221" s="15">
        <v>0</v>
      </c>
      <c r="J221" s="15">
        <v>0</v>
      </c>
      <c r="K221" s="15">
        <v>0</v>
      </c>
      <c r="L221" s="15">
        <v>0</v>
      </c>
      <c r="M221" s="15">
        <v>0</v>
      </c>
      <c r="N221" s="15">
        <v>0</v>
      </c>
      <c r="O221" s="15">
        <v>0</v>
      </c>
      <c r="P221" s="15">
        <v>0</v>
      </c>
      <c r="Q221" s="15">
        <v>0</v>
      </c>
      <c r="R221" s="15">
        <v>0</v>
      </c>
      <c r="S221" s="16" cm="1">
        <f t="array" ref="S221">SUMPRODUCT((1-D221:R221),$D$2:$R$2)</f>
        <v>41419</v>
      </c>
    </row>
    <row r="222" spans="1:19" x14ac:dyDescent="0.35">
      <c r="A222" s="21" t="str">
        <f t="shared" si="101"/>
        <v>COAL_OFF_2055_PMR1b</v>
      </c>
      <c r="B222">
        <f t="shared" si="102"/>
        <v>2028</v>
      </c>
      <c r="C222">
        <v>1</v>
      </c>
      <c r="D222" s="15">
        <v>0</v>
      </c>
      <c r="E222" s="15">
        <v>0</v>
      </c>
      <c r="F222" s="15">
        <v>0</v>
      </c>
      <c r="G222" s="15">
        <v>0</v>
      </c>
      <c r="H222" s="15">
        <v>0</v>
      </c>
      <c r="I222" s="15">
        <v>0</v>
      </c>
      <c r="J222" s="15">
        <v>0</v>
      </c>
      <c r="K222" s="15">
        <v>0</v>
      </c>
      <c r="L222" s="15">
        <v>0</v>
      </c>
      <c r="M222" s="15">
        <v>0</v>
      </c>
      <c r="N222" s="15">
        <v>0</v>
      </c>
      <c r="O222" s="15">
        <v>0</v>
      </c>
      <c r="P222" s="15">
        <v>0</v>
      </c>
      <c r="Q222" s="15">
        <v>0</v>
      </c>
      <c r="R222" s="15">
        <v>0</v>
      </c>
      <c r="S222" s="16" cm="1">
        <f t="array" ref="S222">SUMPRODUCT((1-D222:R222),$D$2:$R$2)</f>
        <v>41419</v>
      </c>
    </row>
    <row r="223" spans="1:19" x14ac:dyDescent="0.35">
      <c r="A223" s="21" t="str">
        <f t="shared" si="101"/>
        <v>COAL_OFF_2055_PMR1b</v>
      </c>
      <c r="B223">
        <f t="shared" si="102"/>
        <v>2029</v>
      </c>
      <c r="C223">
        <v>1</v>
      </c>
      <c r="D223" s="15">
        <v>0</v>
      </c>
      <c r="E223" s="15">
        <v>0</v>
      </c>
      <c r="F223" s="15">
        <v>0</v>
      </c>
      <c r="G223" s="15">
        <v>0</v>
      </c>
      <c r="H223" s="15">
        <v>0</v>
      </c>
      <c r="I223" s="15">
        <v>0</v>
      </c>
      <c r="J223" s="15">
        <v>0</v>
      </c>
      <c r="K223" s="15">
        <v>0</v>
      </c>
      <c r="L223" s="15">
        <v>0</v>
      </c>
      <c r="M223" s="15">
        <v>0</v>
      </c>
      <c r="N223" s="15">
        <v>0</v>
      </c>
      <c r="O223" s="15">
        <v>0</v>
      </c>
      <c r="P223" s="15">
        <v>0</v>
      </c>
      <c r="Q223" s="15">
        <v>0</v>
      </c>
      <c r="R223" s="15">
        <v>0</v>
      </c>
      <c r="S223" s="16" cm="1">
        <f t="array" ref="S223">SUMPRODUCT((1-D223:R223),$D$2:$R$2)</f>
        <v>41419</v>
      </c>
    </row>
    <row r="224" spans="1:19" x14ac:dyDescent="0.35">
      <c r="A224" s="21" t="str">
        <f t="shared" si="101"/>
        <v>COAL_OFF_2055_PMR1b</v>
      </c>
      <c r="B224">
        <f t="shared" si="102"/>
        <v>2030</v>
      </c>
      <c r="C224">
        <v>1</v>
      </c>
      <c r="D224" s="15">
        <f>5/6</f>
        <v>0.83333333333333337</v>
      </c>
      <c r="E224" s="15">
        <f>4/8</f>
        <v>0.5</v>
      </c>
      <c r="F224" s="15">
        <v>0</v>
      </c>
      <c r="G224" s="15">
        <v>1</v>
      </c>
      <c r="H224" s="15">
        <v>1</v>
      </c>
      <c r="I224" s="15">
        <v>1</v>
      </c>
      <c r="J224" s="15">
        <v>0</v>
      </c>
      <c r="K224" s="15">
        <v>1</v>
      </c>
      <c r="L224" s="15">
        <v>0</v>
      </c>
      <c r="M224" s="15">
        <v>0</v>
      </c>
      <c r="N224" s="15">
        <v>0</v>
      </c>
      <c r="O224" s="15">
        <v>0</v>
      </c>
      <c r="P224" s="15">
        <v>0</v>
      </c>
      <c r="Q224" s="15">
        <v>0</v>
      </c>
      <c r="R224" s="15">
        <v>0</v>
      </c>
      <c r="S224" s="16" cm="1">
        <f t="array" ref="S224">SUMPRODUCT((1-D224:R224),$D$2:$R$2)</f>
        <v>34460.5</v>
      </c>
    </row>
    <row r="225" spans="1:19" x14ac:dyDescent="0.35">
      <c r="A225" s="21" t="str">
        <f t="shared" si="101"/>
        <v>COAL_OFF_2055_PMR1b</v>
      </c>
      <c r="B225">
        <f t="shared" si="102"/>
        <v>2031</v>
      </c>
      <c r="C225">
        <v>1</v>
      </c>
      <c r="D225" s="15">
        <f>5/6</f>
        <v>0.83333333333333337</v>
      </c>
      <c r="E225" s="15">
        <f>4/8</f>
        <v>0.5</v>
      </c>
      <c r="F225" s="15">
        <v>0</v>
      </c>
      <c r="G225" s="15">
        <f>G224</f>
        <v>1</v>
      </c>
      <c r="H225" s="15">
        <f>H224</f>
        <v>1</v>
      </c>
      <c r="I225" s="15">
        <f>I224</f>
        <v>1</v>
      </c>
      <c r="J225" s="15">
        <v>0</v>
      </c>
      <c r="K225" s="15">
        <f>K224</f>
        <v>1</v>
      </c>
      <c r="L225" s="15">
        <v>0</v>
      </c>
      <c r="M225" s="15">
        <v>0</v>
      </c>
      <c r="N225" s="15">
        <v>0</v>
      </c>
      <c r="O225" s="15">
        <v>0</v>
      </c>
      <c r="P225" s="15">
        <v>0</v>
      </c>
      <c r="Q225" s="15">
        <v>0</v>
      </c>
      <c r="R225" s="15">
        <f>2/6</f>
        <v>0.33333333333333331</v>
      </c>
      <c r="S225" s="16" cm="1">
        <f t="array" ref="S225">SUMPRODUCT((1-D225:R225),$D$2:$R$2)</f>
        <v>33290.5</v>
      </c>
    </row>
    <row r="226" spans="1:19" x14ac:dyDescent="0.35">
      <c r="A226" s="21" t="str">
        <f t="shared" si="101"/>
        <v>COAL_OFF_2055_PMR1b</v>
      </c>
      <c r="B226">
        <f t="shared" si="102"/>
        <v>2032</v>
      </c>
      <c r="C226">
        <v>1</v>
      </c>
      <c r="D226" s="15">
        <f>5/6</f>
        <v>0.83333333333333337</v>
      </c>
      <c r="E226" s="15">
        <f>E225+1/8</f>
        <v>0.625</v>
      </c>
      <c r="F226" s="15">
        <v>0</v>
      </c>
      <c r="G226" s="15">
        <f t="shared" ref="G226:I231" si="103">G225</f>
        <v>1</v>
      </c>
      <c r="H226" s="15">
        <f t="shared" si="103"/>
        <v>1</v>
      </c>
      <c r="I226" s="15">
        <f t="shared" si="103"/>
        <v>1</v>
      </c>
      <c r="J226" s="15">
        <v>0</v>
      </c>
      <c r="K226" s="15">
        <f t="shared" ref="K226:K246" si="104">K225</f>
        <v>1</v>
      </c>
      <c r="L226" s="15">
        <v>0</v>
      </c>
      <c r="M226" s="15">
        <v>0</v>
      </c>
      <c r="N226" s="15">
        <v>0</v>
      </c>
      <c r="O226" s="15">
        <v>0</v>
      </c>
      <c r="P226" s="15">
        <f>0.5</f>
        <v>0.5</v>
      </c>
      <c r="Q226" s="15">
        <v>0</v>
      </c>
      <c r="R226" s="15">
        <f>R225</f>
        <v>0.33333333333333331</v>
      </c>
      <c r="S226" s="16" cm="1">
        <f t="array" ref="S226">SUMPRODUCT((1-D226:R226),$D$2:$R$2)</f>
        <v>31380.375</v>
      </c>
    </row>
    <row r="227" spans="1:19" x14ac:dyDescent="0.35">
      <c r="A227" s="21" t="str">
        <f t="shared" si="101"/>
        <v>COAL_OFF_2055_PMR1b</v>
      </c>
      <c r="B227">
        <f t="shared" si="102"/>
        <v>2033</v>
      </c>
      <c r="C227">
        <v>1</v>
      </c>
      <c r="D227" s="15">
        <v>1</v>
      </c>
      <c r="E227" s="15">
        <v>1</v>
      </c>
      <c r="F227" s="15">
        <v>0</v>
      </c>
      <c r="G227" s="15">
        <f t="shared" si="103"/>
        <v>1</v>
      </c>
      <c r="H227" s="15">
        <f t="shared" si="103"/>
        <v>1</v>
      </c>
      <c r="I227" s="15">
        <f t="shared" si="103"/>
        <v>1</v>
      </c>
      <c r="J227" s="15">
        <v>0</v>
      </c>
      <c r="K227" s="15">
        <f t="shared" si="104"/>
        <v>1</v>
      </c>
      <c r="L227" s="15">
        <v>0</v>
      </c>
      <c r="M227" s="15">
        <v>0</v>
      </c>
      <c r="N227" s="15">
        <v>0</v>
      </c>
      <c r="O227" s="15">
        <v>0</v>
      </c>
      <c r="P227" s="15">
        <f t="shared" ref="P227:P230" si="105">0.5</f>
        <v>0.5</v>
      </c>
      <c r="Q227" s="15">
        <v>0</v>
      </c>
      <c r="R227" s="15">
        <f>3/6</f>
        <v>0.5</v>
      </c>
      <c r="S227" s="16" cm="1">
        <f t="array" ref="S227">SUMPRODUCT((1-D227:R227),$D$2:$R$2)</f>
        <v>29890</v>
      </c>
    </row>
    <row r="228" spans="1:19" x14ac:dyDescent="0.35">
      <c r="A228" s="21" t="str">
        <f t="shared" si="101"/>
        <v>COAL_OFF_2055_PMR1b</v>
      </c>
      <c r="B228">
        <f t="shared" si="102"/>
        <v>2034</v>
      </c>
      <c r="C228">
        <v>1</v>
      </c>
      <c r="D228" s="15">
        <f>D227</f>
        <v>1</v>
      </c>
      <c r="E228" s="15">
        <f>E227</f>
        <v>1</v>
      </c>
      <c r="F228" s="15">
        <v>0</v>
      </c>
      <c r="G228" s="15">
        <f t="shared" si="103"/>
        <v>1</v>
      </c>
      <c r="H228" s="15">
        <f t="shared" si="103"/>
        <v>1</v>
      </c>
      <c r="I228" s="15">
        <f t="shared" si="103"/>
        <v>1</v>
      </c>
      <c r="J228" s="15">
        <v>0</v>
      </c>
      <c r="K228" s="15">
        <f t="shared" si="104"/>
        <v>1</v>
      </c>
      <c r="L228" s="15">
        <v>0</v>
      </c>
      <c r="M228" s="15">
        <v>0</v>
      </c>
      <c r="N228" s="15">
        <v>0</v>
      </c>
      <c r="O228" s="15">
        <v>0</v>
      </c>
      <c r="P228" s="15">
        <f t="shared" si="105"/>
        <v>0.5</v>
      </c>
      <c r="Q228" s="15">
        <v>0</v>
      </c>
      <c r="R228" s="15">
        <v>1</v>
      </c>
      <c r="S228" s="16" cm="1">
        <f t="array" ref="S228">SUMPRODUCT((1-D228:R228),$D$2:$R$2)</f>
        <v>28135</v>
      </c>
    </row>
    <row r="229" spans="1:19" x14ac:dyDescent="0.35">
      <c r="A229" s="21" t="str">
        <f t="shared" si="101"/>
        <v>COAL_OFF_2055_PMR1b</v>
      </c>
      <c r="B229">
        <f t="shared" si="102"/>
        <v>2035</v>
      </c>
      <c r="C229">
        <v>1</v>
      </c>
      <c r="D229" s="15">
        <f t="shared" ref="D229:J244" si="106">D228</f>
        <v>1</v>
      </c>
      <c r="E229" s="15">
        <f t="shared" si="106"/>
        <v>1</v>
      </c>
      <c r="F229" s="15">
        <f>2/5</f>
        <v>0.4</v>
      </c>
      <c r="G229" s="15">
        <f t="shared" si="103"/>
        <v>1</v>
      </c>
      <c r="H229" s="15">
        <f t="shared" si="103"/>
        <v>1</v>
      </c>
      <c r="I229" s="15">
        <f t="shared" si="103"/>
        <v>1</v>
      </c>
      <c r="J229" s="15">
        <v>0</v>
      </c>
      <c r="K229" s="15">
        <f t="shared" si="104"/>
        <v>1</v>
      </c>
      <c r="L229" s="15">
        <v>0</v>
      </c>
      <c r="M229" s="15">
        <v>0</v>
      </c>
      <c r="N229" s="15">
        <v>0</v>
      </c>
      <c r="O229" s="15">
        <v>0</v>
      </c>
      <c r="P229" s="15">
        <f t="shared" si="105"/>
        <v>0.5</v>
      </c>
      <c r="Q229" s="15">
        <v>0</v>
      </c>
      <c r="R229" s="15">
        <f>R228</f>
        <v>1</v>
      </c>
      <c r="S229" s="16" cm="1">
        <f t="array" ref="S229">SUMPRODUCT((1-D229:R229),$D$2:$R$2)</f>
        <v>26985</v>
      </c>
    </row>
    <row r="230" spans="1:19" x14ac:dyDescent="0.35">
      <c r="A230" s="21" t="str">
        <f t="shared" si="101"/>
        <v>COAL_OFF_2055_PMR1b</v>
      </c>
      <c r="B230">
        <f t="shared" si="102"/>
        <v>2036</v>
      </c>
      <c r="C230">
        <v>1</v>
      </c>
      <c r="D230" s="15">
        <f t="shared" si="106"/>
        <v>1</v>
      </c>
      <c r="E230" s="15">
        <f t="shared" si="106"/>
        <v>1</v>
      </c>
      <c r="F230" s="15">
        <v>1</v>
      </c>
      <c r="G230" s="15">
        <f t="shared" si="103"/>
        <v>1</v>
      </c>
      <c r="H230" s="15">
        <f t="shared" si="103"/>
        <v>1</v>
      </c>
      <c r="I230" s="15">
        <f t="shared" si="103"/>
        <v>1</v>
      </c>
      <c r="J230" s="15">
        <v>0</v>
      </c>
      <c r="K230" s="15">
        <f t="shared" si="104"/>
        <v>1</v>
      </c>
      <c r="L230" s="15">
        <v>0</v>
      </c>
      <c r="M230" s="15">
        <v>0</v>
      </c>
      <c r="N230" s="15">
        <v>0</v>
      </c>
      <c r="O230" s="15">
        <v>0</v>
      </c>
      <c r="P230" s="15">
        <f t="shared" si="105"/>
        <v>0.5</v>
      </c>
      <c r="Q230" s="15">
        <v>0</v>
      </c>
      <c r="R230" s="15">
        <f t="shared" ref="R230:R254" si="107">R229</f>
        <v>1</v>
      </c>
      <c r="S230" s="16" cm="1">
        <f t="array" ref="S230">SUMPRODUCT((1-D230:R230),$D$2:$R$2)</f>
        <v>25260</v>
      </c>
    </row>
    <row r="231" spans="1:19" x14ac:dyDescent="0.35">
      <c r="A231" s="21" t="str">
        <f t="shared" si="101"/>
        <v>COAL_OFF_2055_PMR1b</v>
      </c>
      <c r="B231">
        <f t="shared" si="102"/>
        <v>2037</v>
      </c>
      <c r="C231">
        <v>1</v>
      </c>
      <c r="D231" s="15">
        <f t="shared" si="106"/>
        <v>1</v>
      </c>
      <c r="E231" s="15">
        <f t="shared" si="106"/>
        <v>1</v>
      </c>
      <c r="F231" s="15">
        <f>F230</f>
        <v>1</v>
      </c>
      <c r="G231" s="15">
        <f t="shared" si="103"/>
        <v>1</v>
      </c>
      <c r="H231" s="15">
        <f t="shared" si="103"/>
        <v>1</v>
      </c>
      <c r="I231" s="15">
        <f t="shared" si="103"/>
        <v>1</v>
      </c>
      <c r="J231" s="15">
        <v>0</v>
      </c>
      <c r="K231" s="15">
        <f t="shared" si="104"/>
        <v>1</v>
      </c>
      <c r="L231" s="15">
        <v>0</v>
      </c>
      <c r="M231" s="15">
        <v>0</v>
      </c>
      <c r="N231" s="15">
        <v>0</v>
      </c>
      <c r="O231" s="15">
        <v>0</v>
      </c>
      <c r="P231" s="15">
        <v>1</v>
      </c>
      <c r="Q231" s="15">
        <v>0</v>
      </c>
      <c r="R231" s="15">
        <f t="shared" si="107"/>
        <v>1</v>
      </c>
      <c r="S231" s="16" cm="1">
        <f t="array" ref="S231">SUMPRODUCT((1-D231:R231),$D$2:$R$2)</f>
        <v>23535</v>
      </c>
    </row>
    <row r="232" spans="1:19" x14ac:dyDescent="0.35">
      <c r="A232" s="21" t="str">
        <f t="shared" si="101"/>
        <v>COAL_OFF_2055_PMR1b</v>
      </c>
      <c r="B232">
        <f t="shared" si="102"/>
        <v>2038</v>
      </c>
      <c r="C232">
        <v>1</v>
      </c>
      <c r="D232" s="15">
        <f t="shared" si="106"/>
        <v>1</v>
      </c>
      <c r="E232" s="15">
        <f t="shared" si="106"/>
        <v>1</v>
      </c>
      <c r="F232" s="15">
        <f t="shared" si="106"/>
        <v>1</v>
      </c>
      <c r="G232" s="15">
        <f t="shared" si="106"/>
        <v>1</v>
      </c>
      <c r="H232" s="15">
        <f t="shared" si="106"/>
        <v>1</v>
      </c>
      <c r="I232" s="15">
        <f t="shared" si="106"/>
        <v>1</v>
      </c>
      <c r="J232" s="15">
        <f>2/6</f>
        <v>0.33333333333333331</v>
      </c>
      <c r="K232" s="15">
        <f t="shared" si="104"/>
        <v>1</v>
      </c>
      <c r="L232" s="15">
        <v>0</v>
      </c>
      <c r="M232" s="15">
        <v>0</v>
      </c>
      <c r="N232" s="15">
        <v>0</v>
      </c>
      <c r="O232" s="15">
        <v>0</v>
      </c>
      <c r="P232" s="15">
        <f>P231</f>
        <v>1</v>
      </c>
      <c r="Q232" s="15">
        <v>0</v>
      </c>
      <c r="R232" s="15">
        <f t="shared" si="107"/>
        <v>1</v>
      </c>
      <c r="S232" s="16" cm="1">
        <f t="array" ref="S232">SUMPRODUCT((1-D232:R232),$D$2:$R$2)</f>
        <v>22255</v>
      </c>
    </row>
    <row r="233" spans="1:19" x14ac:dyDescent="0.35">
      <c r="A233" s="21" t="str">
        <f t="shared" si="101"/>
        <v>COAL_OFF_2055_PMR1b</v>
      </c>
      <c r="B233">
        <f t="shared" si="102"/>
        <v>2039</v>
      </c>
      <c r="C233">
        <v>1</v>
      </c>
      <c r="D233" s="15">
        <f t="shared" si="106"/>
        <v>1</v>
      </c>
      <c r="E233" s="15">
        <f t="shared" si="106"/>
        <v>1</v>
      </c>
      <c r="F233" s="15">
        <f t="shared" si="106"/>
        <v>1</v>
      </c>
      <c r="G233" s="15">
        <f t="shared" si="106"/>
        <v>1</v>
      </c>
      <c r="H233" s="15">
        <f t="shared" si="106"/>
        <v>1</v>
      </c>
      <c r="I233" s="15">
        <f t="shared" si="106"/>
        <v>1</v>
      </c>
      <c r="J233" s="15">
        <f>J232+1/6</f>
        <v>0.5</v>
      </c>
      <c r="K233" s="15">
        <f t="shared" si="104"/>
        <v>1</v>
      </c>
      <c r="L233" s="15">
        <v>0</v>
      </c>
      <c r="M233" s="15">
        <f>2/6</f>
        <v>0.33333333333333331</v>
      </c>
      <c r="N233" s="15">
        <v>0</v>
      </c>
      <c r="O233" s="15">
        <v>0</v>
      </c>
      <c r="P233" s="15">
        <f t="shared" ref="P233:P248" si="108">P232</f>
        <v>1</v>
      </c>
      <c r="Q233" s="15">
        <v>0</v>
      </c>
      <c r="R233" s="15">
        <f t="shared" si="107"/>
        <v>1</v>
      </c>
      <c r="S233" s="16" cm="1">
        <f t="array" ref="S233">SUMPRODUCT((1-D233:R233),$D$2:$R$2)</f>
        <v>20429</v>
      </c>
    </row>
    <row r="234" spans="1:19" x14ac:dyDescent="0.35">
      <c r="A234" s="21" t="str">
        <f t="shared" si="101"/>
        <v>COAL_OFF_2055_PMR1b</v>
      </c>
      <c r="B234">
        <f t="shared" si="102"/>
        <v>2040</v>
      </c>
      <c r="C234">
        <v>1</v>
      </c>
      <c r="D234" s="15">
        <f t="shared" si="106"/>
        <v>1</v>
      </c>
      <c r="E234" s="15">
        <f t="shared" si="106"/>
        <v>1</v>
      </c>
      <c r="F234" s="15">
        <f t="shared" si="106"/>
        <v>1</v>
      </c>
      <c r="G234" s="15">
        <f t="shared" si="106"/>
        <v>1</v>
      </c>
      <c r="H234" s="15">
        <f t="shared" si="106"/>
        <v>1</v>
      </c>
      <c r="I234" s="15">
        <f t="shared" si="106"/>
        <v>1</v>
      </c>
      <c r="J234" s="15">
        <v>0.5</v>
      </c>
      <c r="K234" s="15">
        <f t="shared" si="104"/>
        <v>1</v>
      </c>
      <c r="L234" s="15">
        <v>0</v>
      </c>
      <c r="M234" s="15">
        <f>4/6</f>
        <v>0.66666666666666663</v>
      </c>
      <c r="N234" s="15">
        <v>0</v>
      </c>
      <c r="O234" s="15">
        <v>0</v>
      </c>
      <c r="P234" s="15">
        <f t="shared" si="108"/>
        <v>1</v>
      </c>
      <c r="Q234" s="15">
        <v>0</v>
      </c>
      <c r="R234" s="15">
        <f t="shared" si="107"/>
        <v>1</v>
      </c>
      <c r="S234" s="16" cm="1">
        <f t="array" ref="S234">SUMPRODUCT((1-D234:R234),$D$2:$R$2)</f>
        <v>19243</v>
      </c>
    </row>
    <row r="235" spans="1:19" x14ac:dyDescent="0.35">
      <c r="A235" s="21" t="str">
        <f t="shared" si="101"/>
        <v>COAL_OFF_2055_PMR1b</v>
      </c>
      <c r="B235">
        <f t="shared" si="102"/>
        <v>2041</v>
      </c>
      <c r="C235">
        <v>1</v>
      </c>
      <c r="D235" s="15">
        <f t="shared" si="106"/>
        <v>1</v>
      </c>
      <c r="E235" s="15">
        <f t="shared" si="106"/>
        <v>1</v>
      </c>
      <c r="F235" s="15">
        <f t="shared" si="106"/>
        <v>1</v>
      </c>
      <c r="G235" s="15">
        <f t="shared" si="106"/>
        <v>1</v>
      </c>
      <c r="H235" s="15">
        <f t="shared" si="106"/>
        <v>1</v>
      </c>
      <c r="I235" s="15">
        <f t="shared" si="106"/>
        <v>1</v>
      </c>
      <c r="J235" s="15">
        <f>J234</f>
        <v>0.5</v>
      </c>
      <c r="K235" s="15">
        <f t="shared" si="104"/>
        <v>1</v>
      </c>
      <c r="L235" s="15">
        <v>0</v>
      </c>
      <c r="M235" s="15">
        <f>5/6</f>
        <v>0.83333333333333337</v>
      </c>
      <c r="N235" s="15">
        <v>0</v>
      </c>
      <c r="O235" s="15">
        <f>1/6</f>
        <v>0.16666666666666666</v>
      </c>
      <c r="P235" s="15">
        <f t="shared" si="108"/>
        <v>1</v>
      </c>
      <c r="Q235" s="15">
        <v>0</v>
      </c>
      <c r="R235" s="15">
        <f t="shared" si="107"/>
        <v>1</v>
      </c>
      <c r="S235" s="16" cm="1">
        <f t="array" ref="S235">SUMPRODUCT((1-D235:R235),$D$2:$R$2)</f>
        <v>18035</v>
      </c>
    </row>
    <row r="236" spans="1:19" x14ac:dyDescent="0.35">
      <c r="A236" s="21" t="str">
        <f t="shared" si="101"/>
        <v>COAL_OFF_2055_PMR1b</v>
      </c>
      <c r="B236">
        <f t="shared" si="102"/>
        <v>2042</v>
      </c>
      <c r="C236">
        <v>1</v>
      </c>
      <c r="D236" s="15">
        <f t="shared" si="106"/>
        <v>1</v>
      </c>
      <c r="E236" s="15">
        <f t="shared" si="106"/>
        <v>1</v>
      </c>
      <c r="F236" s="15">
        <f t="shared" si="106"/>
        <v>1</v>
      </c>
      <c r="G236" s="15">
        <f t="shared" si="106"/>
        <v>1</v>
      </c>
      <c r="H236" s="15">
        <f t="shared" si="106"/>
        <v>1</v>
      </c>
      <c r="I236" s="15">
        <f t="shared" si="106"/>
        <v>1</v>
      </c>
      <c r="J236" s="15">
        <f>J235+2/6</f>
        <v>0.83333333333333326</v>
      </c>
      <c r="K236" s="15">
        <f t="shared" si="104"/>
        <v>1</v>
      </c>
      <c r="L236" s="15">
        <v>0</v>
      </c>
      <c r="M236" s="15">
        <v>1</v>
      </c>
      <c r="N236" s="15">
        <v>0</v>
      </c>
      <c r="O236" s="15">
        <f>1/6</f>
        <v>0.16666666666666666</v>
      </c>
      <c r="P236" s="15">
        <f t="shared" si="108"/>
        <v>1</v>
      </c>
      <c r="Q236" s="15">
        <v>0</v>
      </c>
      <c r="R236" s="15">
        <f t="shared" si="107"/>
        <v>1</v>
      </c>
      <c r="S236" s="16" cm="1">
        <f t="array" ref="S236">SUMPRODUCT((1-D236:R236),$D$2:$R$2)</f>
        <v>16162</v>
      </c>
    </row>
    <row r="237" spans="1:19" x14ac:dyDescent="0.35">
      <c r="A237" s="21" t="str">
        <f t="shared" si="101"/>
        <v>COAL_OFF_2055_PMR1b</v>
      </c>
      <c r="B237">
        <f t="shared" si="102"/>
        <v>2043</v>
      </c>
      <c r="C237">
        <v>1</v>
      </c>
      <c r="D237" s="15">
        <f t="shared" si="106"/>
        <v>1</v>
      </c>
      <c r="E237" s="15">
        <f t="shared" si="106"/>
        <v>1</v>
      </c>
      <c r="F237" s="15">
        <f t="shared" si="106"/>
        <v>1</v>
      </c>
      <c r="G237" s="15">
        <f t="shared" si="106"/>
        <v>1</v>
      </c>
      <c r="H237" s="15">
        <f t="shared" si="106"/>
        <v>1</v>
      </c>
      <c r="I237" s="15">
        <f t="shared" si="106"/>
        <v>1</v>
      </c>
      <c r="J237" s="15">
        <v>1</v>
      </c>
      <c r="K237" s="15">
        <f t="shared" si="104"/>
        <v>1</v>
      </c>
      <c r="L237" s="15">
        <v>0</v>
      </c>
      <c r="M237" s="15">
        <f t="shared" ref="M237:Q249" si="109">M236</f>
        <v>1</v>
      </c>
      <c r="N237" s="15">
        <f>1/6</f>
        <v>0.16666666666666666</v>
      </c>
      <c r="O237" s="15">
        <f>O236</f>
        <v>0.16666666666666666</v>
      </c>
      <c r="P237" s="15">
        <f t="shared" si="108"/>
        <v>1</v>
      </c>
      <c r="Q237" s="15">
        <v>0</v>
      </c>
      <c r="R237" s="15">
        <f t="shared" si="107"/>
        <v>1</v>
      </c>
      <c r="S237" s="16" cm="1">
        <f t="array" ref="S237">SUMPRODUCT((1-D237:R237),$D$2:$R$2)</f>
        <v>14887.5</v>
      </c>
    </row>
    <row r="238" spans="1:19" x14ac:dyDescent="0.35">
      <c r="A238" s="21" t="str">
        <f t="shared" si="101"/>
        <v>COAL_OFF_2055_PMR1b</v>
      </c>
      <c r="B238">
        <f t="shared" si="102"/>
        <v>2044</v>
      </c>
      <c r="C238">
        <v>1</v>
      </c>
      <c r="D238" s="15">
        <f t="shared" si="106"/>
        <v>1</v>
      </c>
      <c r="E238" s="15">
        <f t="shared" si="106"/>
        <v>1</v>
      </c>
      <c r="F238" s="15">
        <f t="shared" si="106"/>
        <v>1</v>
      </c>
      <c r="G238" s="15">
        <f t="shared" si="106"/>
        <v>1</v>
      </c>
      <c r="H238" s="15">
        <f t="shared" si="106"/>
        <v>1</v>
      </c>
      <c r="I238" s="15">
        <f t="shared" si="106"/>
        <v>1</v>
      </c>
      <c r="J238" s="15">
        <f t="shared" si="106"/>
        <v>1</v>
      </c>
      <c r="K238" s="15">
        <f t="shared" si="104"/>
        <v>1</v>
      </c>
      <c r="L238" s="15">
        <v>0</v>
      </c>
      <c r="M238" s="15">
        <f t="shared" si="109"/>
        <v>1</v>
      </c>
      <c r="N238" s="15">
        <f>2/6</f>
        <v>0.33333333333333331</v>
      </c>
      <c r="O238" s="15">
        <f>2/6</f>
        <v>0.33333333333333331</v>
      </c>
      <c r="P238" s="15">
        <f t="shared" si="108"/>
        <v>1</v>
      </c>
      <c r="Q238" s="15">
        <v>0</v>
      </c>
      <c r="R238" s="15">
        <f t="shared" si="107"/>
        <v>1</v>
      </c>
      <c r="S238" s="16" cm="1">
        <f t="array" ref="S238">SUMPRODUCT((1-D238:R238),$D$2:$R$2)</f>
        <v>13638</v>
      </c>
    </row>
    <row r="239" spans="1:19" x14ac:dyDescent="0.35">
      <c r="A239" s="21" t="str">
        <f t="shared" si="101"/>
        <v>COAL_OFF_2055_PMR1b</v>
      </c>
      <c r="B239">
        <f t="shared" si="102"/>
        <v>2045</v>
      </c>
      <c r="C239">
        <v>1</v>
      </c>
      <c r="D239" s="15">
        <f t="shared" si="106"/>
        <v>1</v>
      </c>
      <c r="E239" s="15">
        <f t="shared" si="106"/>
        <v>1</v>
      </c>
      <c r="F239" s="15">
        <f t="shared" si="106"/>
        <v>1</v>
      </c>
      <c r="G239" s="15">
        <f t="shared" si="106"/>
        <v>1</v>
      </c>
      <c r="H239" s="15">
        <f t="shared" si="106"/>
        <v>1</v>
      </c>
      <c r="I239" s="15">
        <f t="shared" si="106"/>
        <v>1</v>
      </c>
      <c r="J239" s="15">
        <f t="shared" si="106"/>
        <v>1</v>
      </c>
      <c r="K239" s="15">
        <f t="shared" si="104"/>
        <v>1</v>
      </c>
      <c r="L239" s="15">
        <v>0</v>
      </c>
      <c r="M239" s="15">
        <f t="shared" si="109"/>
        <v>1</v>
      </c>
      <c r="N239" s="15">
        <f>N238</f>
        <v>0.33333333333333331</v>
      </c>
      <c r="O239" s="15">
        <f>4/6</f>
        <v>0.66666666666666663</v>
      </c>
      <c r="P239" s="15">
        <f t="shared" si="108"/>
        <v>1</v>
      </c>
      <c r="Q239" s="15">
        <v>0</v>
      </c>
      <c r="R239" s="15">
        <f t="shared" si="107"/>
        <v>1</v>
      </c>
      <c r="S239" s="16" cm="1">
        <f t="array" ref="S239">SUMPRODUCT((1-D239:R239),$D$2:$R$2)</f>
        <v>12408</v>
      </c>
    </row>
    <row r="240" spans="1:19" x14ac:dyDescent="0.35">
      <c r="A240" s="21" t="str">
        <f t="shared" si="101"/>
        <v>COAL_OFF_2055_PMR1b</v>
      </c>
      <c r="B240">
        <f>B239+1</f>
        <v>2046</v>
      </c>
      <c r="C240">
        <v>1</v>
      </c>
      <c r="D240" s="15">
        <f t="shared" si="106"/>
        <v>1</v>
      </c>
      <c r="E240" s="15">
        <f t="shared" si="106"/>
        <v>1</v>
      </c>
      <c r="F240" s="15">
        <f t="shared" si="106"/>
        <v>1</v>
      </c>
      <c r="G240" s="15">
        <f t="shared" si="106"/>
        <v>1</v>
      </c>
      <c r="H240" s="15">
        <f t="shared" si="106"/>
        <v>1</v>
      </c>
      <c r="I240" s="15">
        <f t="shared" si="106"/>
        <v>1</v>
      </c>
      <c r="J240" s="15">
        <f t="shared" si="106"/>
        <v>1</v>
      </c>
      <c r="K240" s="15">
        <f t="shared" si="104"/>
        <v>1</v>
      </c>
      <c r="L240" s="15">
        <v>0</v>
      </c>
      <c r="M240" s="15">
        <f t="shared" si="109"/>
        <v>1</v>
      </c>
      <c r="N240" s="15">
        <f>N239</f>
        <v>0.33333333333333331</v>
      </c>
      <c r="O240" s="15">
        <f>5/6</f>
        <v>0.83333333333333337</v>
      </c>
      <c r="P240" s="15">
        <f t="shared" si="108"/>
        <v>1</v>
      </c>
      <c r="Q240" s="15">
        <v>0</v>
      </c>
      <c r="R240" s="15">
        <f t="shared" si="107"/>
        <v>1</v>
      </c>
      <c r="S240" s="16" cm="1">
        <f t="array" ref="S240">SUMPRODUCT((1-D240:R240),$D$2:$R$2)</f>
        <v>11793</v>
      </c>
    </row>
    <row r="241" spans="1:19" x14ac:dyDescent="0.35">
      <c r="A241" s="21" t="str">
        <f t="shared" si="101"/>
        <v>COAL_OFF_2055_PMR1b</v>
      </c>
      <c r="B241">
        <f t="shared" ref="B241:B247" si="110">B240+1</f>
        <v>2047</v>
      </c>
      <c r="C241">
        <v>1</v>
      </c>
      <c r="D241" s="15">
        <f t="shared" si="106"/>
        <v>1</v>
      </c>
      <c r="E241" s="15">
        <f t="shared" si="106"/>
        <v>1</v>
      </c>
      <c r="F241" s="15">
        <f t="shared" si="106"/>
        <v>1</v>
      </c>
      <c r="G241" s="15">
        <f t="shared" si="106"/>
        <v>1</v>
      </c>
      <c r="H241" s="15">
        <f t="shared" si="106"/>
        <v>1</v>
      </c>
      <c r="I241" s="15">
        <f t="shared" si="106"/>
        <v>1</v>
      </c>
      <c r="J241" s="15">
        <f t="shared" si="106"/>
        <v>1</v>
      </c>
      <c r="K241" s="15">
        <f t="shared" si="104"/>
        <v>1</v>
      </c>
      <c r="L241" s="15">
        <v>0</v>
      </c>
      <c r="M241" s="15">
        <f t="shared" si="109"/>
        <v>1</v>
      </c>
      <c r="N241" s="15">
        <f>N240</f>
        <v>0.33333333333333331</v>
      </c>
      <c r="O241" s="15">
        <v>1</v>
      </c>
      <c r="P241" s="15">
        <f t="shared" si="108"/>
        <v>1</v>
      </c>
      <c r="Q241" s="15">
        <v>0</v>
      </c>
      <c r="R241" s="15">
        <f t="shared" si="107"/>
        <v>1</v>
      </c>
      <c r="S241" s="16" cm="1">
        <f t="array" ref="S241">SUMPRODUCT((1-D241:R241),$D$2:$R$2)</f>
        <v>11178</v>
      </c>
    </row>
    <row r="242" spans="1:19" x14ac:dyDescent="0.35">
      <c r="A242" s="21" t="str">
        <f t="shared" si="101"/>
        <v>COAL_OFF_2055_PMR1b</v>
      </c>
      <c r="B242">
        <f t="shared" si="110"/>
        <v>2048</v>
      </c>
      <c r="C242">
        <v>1</v>
      </c>
      <c r="D242" s="15">
        <f t="shared" si="106"/>
        <v>1</v>
      </c>
      <c r="E242" s="15">
        <f t="shared" si="106"/>
        <v>1</v>
      </c>
      <c r="F242" s="15">
        <f t="shared" si="106"/>
        <v>1</v>
      </c>
      <c r="G242" s="15">
        <f t="shared" si="106"/>
        <v>1</v>
      </c>
      <c r="H242" s="15">
        <f t="shared" si="106"/>
        <v>1</v>
      </c>
      <c r="I242" s="15">
        <f t="shared" si="106"/>
        <v>1</v>
      </c>
      <c r="J242" s="15">
        <f t="shared" si="106"/>
        <v>1</v>
      </c>
      <c r="K242" s="15">
        <f t="shared" si="104"/>
        <v>1</v>
      </c>
      <c r="L242" s="15">
        <v>0</v>
      </c>
      <c r="M242" s="15">
        <f t="shared" si="109"/>
        <v>1</v>
      </c>
      <c r="N242" s="15">
        <f>3/6</f>
        <v>0.5</v>
      </c>
      <c r="O242" s="15">
        <f t="shared" ref="O242:O245" si="111">O241</f>
        <v>1</v>
      </c>
      <c r="P242" s="15">
        <f t="shared" si="108"/>
        <v>1</v>
      </c>
      <c r="Q242" s="15">
        <v>0</v>
      </c>
      <c r="R242" s="15">
        <f t="shared" si="107"/>
        <v>1</v>
      </c>
      <c r="S242" s="16" cm="1">
        <f t="array" ref="S242">SUMPRODUCT((1-D242:R242),$D$2:$R$2)</f>
        <v>10543.5</v>
      </c>
    </row>
    <row r="243" spans="1:19" x14ac:dyDescent="0.35">
      <c r="A243" s="21" t="str">
        <f t="shared" si="101"/>
        <v>COAL_OFF_2055_PMR1b</v>
      </c>
      <c r="B243">
        <f t="shared" si="110"/>
        <v>2049</v>
      </c>
      <c r="C243">
        <v>1</v>
      </c>
      <c r="D243" s="15">
        <f t="shared" si="106"/>
        <v>1</v>
      </c>
      <c r="E243" s="15">
        <f t="shared" si="106"/>
        <v>1</v>
      </c>
      <c r="F243" s="15">
        <f t="shared" si="106"/>
        <v>1</v>
      </c>
      <c r="G243" s="15">
        <f t="shared" si="106"/>
        <v>1</v>
      </c>
      <c r="H243" s="15">
        <f t="shared" si="106"/>
        <v>1</v>
      </c>
      <c r="I243" s="15">
        <f t="shared" si="106"/>
        <v>1</v>
      </c>
      <c r="J243" s="15">
        <f t="shared" si="106"/>
        <v>1</v>
      </c>
      <c r="K243" s="15">
        <f t="shared" si="104"/>
        <v>1</v>
      </c>
      <c r="L243" s="15">
        <v>0</v>
      </c>
      <c r="M243" s="15">
        <f t="shared" si="109"/>
        <v>1</v>
      </c>
      <c r="N243" s="15">
        <f>4/6</f>
        <v>0.66666666666666663</v>
      </c>
      <c r="O243" s="15">
        <f t="shared" si="111"/>
        <v>1</v>
      </c>
      <c r="P243" s="15">
        <f t="shared" si="108"/>
        <v>1</v>
      </c>
      <c r="Q243" s="15">
        <v>0</v>
      </c>
      <c r="R243" s="15">
        <f t="shared" si="107"/>
        <v>1</v>
      </c>
      <c r="S243" s="16" cm="1">
        <f t="array" ref="S243">SUMPRODUCT((1-D243:R243),$D$2:$R$2)</f>
        <v>9909</v>
      </c>
    </row>
    <row r="244" spans="1:19" x14ac:dyDescent="0.35">
      <c r="A244" s="21" t="str">
        <f t="shared" si="101"/>
        <v>COAL_OFF_2055_PMR1b</v>
      </c>
      <c r="B244">
        <f t="shared" si="110"/>
        <v>2050</v>
      </c>
      <c r="C244">
        <v>1</v>
      </c>
      <c r="D244" s="15">
        <f t="shared" si="106"/>
        <v>1</v>
      </c>
      <c r="E244" s="15">
        <f t="shared" si="106"/>
        <v>1</v>
      </c>
      <c r="F244" s="15">
        <f t="shared" si="106"/>
        <v>1</v>
      </c>
      <c r="G244" s="15">
        <f t="shared" si="106"/>
        <v>1</v>
      </c>
      <c r="H244" s="15">
        <f t="shared" si="106"/>
        <v>1</v>
      </c>
      <c r="I244" s="15">
        <f t="shared" si="106"/>
        <v>1</v>
      </c>
      <c r="J244" s="15">
        <f t="shared" si="106"/>
        <v>1</v>
      </c>
      <c r="K244" s="15">
        <f t="shared" si="104"/>
        <v>1</v>
      </c>
      <c r="L244" s="15">
        <v>0</v>
      </c>
      <c r="M244" s="15">
        <f t="shared" si="109"/>
        <v>1</v>
      </c>
      <c r="N244" s="15">
        <f>5/6</f>
        <v>0.83333333333333337</v>
      </c>
      <c r="O244" s="15">
        <f t="shared" si="111"/>
        <v>1</v>
      </c>
      <c r="P244" s="15">
        <f t="shared" si="108"/>
        <v>1</v>
      </c>
      <c r="Q244" s="15">
        <v>0</v>
      </c>
      <c r="R244" s="15">
        <f t="shared" si="107"/>
        <v>1</v>
      </c>
      <c r="S244" s="16" cm="1">
        <f t="array" ref="S244">SUMPRODUCT((1-D244:R244),$D$2:$R$2)</f>
        <v>9274.5</v>
      </c>
    </row>
    <row r="245" spans="1:19" x14ac:dyDescent="0.35">
      <c r="A245" s="21" t="str">
        <f t="shared" si="101"/>
        <v>COAL_OFF_2055_PMR1b</v>
      </c>
      <c r="B245">
        <f t="shared" si="110"/>
        <v>2051</v>
      </c>
      <c r="C245">
        <v>1</v>
      </c>
      <c r="D245" s="15">
        <f t="shared" ref="D245:Q254" si="112">D244</f>
        <v>1</v>
      </c>
      <c r="E245" s="15">
        <f t="shared" si="112"/>
        <v>1</v>
      </c>
      <c r="F245" s="15">
        <f t="shared" si="112"/>
        <v>1</v>
      </c>
      <c r="G245" s="15">
        <f t="shared" si="112"/>
        <v>1</v>
      </c>
      <c r="H245" s="15">
        <f t="shared" si="112"/>
        <v>1</v>
      </c>
      <c r="I245" s="15">
        <f t="shared" si="112"/>
        <v>1</v>
      </c>
      <c r="J245" s="15">
        <f t="shared" si="112"/>
        <v>1</v>
      </c>
      <c r="K245" s="15">
        <f t="shared" si="104"/>
        <v>1</v>
      </c>
      <c r="L245" s="15">
        <v>0</v>
      </c>
      <c r="M245" s="15">
        <f t="shared" si="109"/>
        <v>1</v>
      </c>
      <c r="N245" s="15">
        <v>1</v>
      </c>
      <c r="O245" s="15">
        <f t="shared" si="111"/>
        <v>1</v>
      </c>
      <c r="P245" s="15">
        <f t="shared" si="108"/>
        <v>1</v>
      </c>
      <c r="Q245" s="15">
        <f>2/6</f>
        <v>0.33333333333333331</v>
      </c>
      <c r="R245" s="15">
        <f t="shared" si="107"/>
        <v>1</v>
      </c>
      <c r="S245" s="16" cm="1">
        <f t="array" ref="S245">SUMPRODUCT((1-D245:R245),$D$2:$R$2)</f>
        <v>7200</v>
      </c>
    </row>
    <row r="246" spans="1:19" x14ac:dyDescent="0.35">
      <c r="A246" s="21" t="str">
        <f t="shared" si="101"/>
        <v>COAL_OFF_2055_PMR1b</v>
      </c>
      <c r="B246">
        <f t="shared" si="110"/>
        <v>2052</v>
      </c>
      <c r="C246">
        <v>1</v>
      </c>
      <c r="D246" s="15">
        <f t="shared" si="112"/>
        <v>1</v>
      </c>
      <c r="E246" s="15">
        <f t="shared" si="112"/>
        <v>1</v>
      </c>
      <c r="F246" s="15">
        <f t="shared" si="112"/>
        <v>1</v>
      </c>
      <c r="G246" s="15">
        <f t="shared" si="112"/>
        <v>1</v>
      </c>
      <c r="H246" s="15">
        <f t="shared" si="112"/>
        <v>1</v>
      </c>
      <c r="I246" s="15">
        <f t="shared" si="112"/>
        <v>1</v>
      </c>
      <c r="J246" s="15">
        <f t="shared" si="112"/>
        <v>1</v>
      </c>
      <c r="K246" s="15">
        <f t="shared" si="104"/>
        <v>1</v>
      </c>
      <c r="L246" s="15">
        <f>1/6</f>
        <v>0.16666666666666666</v>
      </c>
      <c r="M246" s="15">
        <f t="shared" si="109"/>
        <v>1</v>
      </c>
      <c r="N246" s="15">
        <f t="shared" si="109"/>
        <v>1</v>
      </c>
      <c r="O246" s="15">
        <f t="shared" si="109"/>
        <v>1</v>
      </c>
      <c r="P246" s="15">
        <f t="shared" si="108"/>
        <v>1</v>
      </c>
      <c r="Q246" s="15">
        <f>3/6</f>
        <v>0.5</v>
      </c>
      <c r="R246" s="15">
        <f t="shared" si="107"/>
        <v>1</v>
      </c>
      <c r="S246" s="16" cm="1">
        <f t="array" ref="S246">SUMPRODUCT((1-D246:R246),$D$2:$R$2)</f>
        <v>5760</v>
      </c>
    </row>
    <row r="247" spans="1:19" x14ac:dyDescent="0.35">
      <c r="A247" s="21" t="str">
        <f t="shared" si="101"/>
        <v>COAL_OFF_2055_PMR1b</v>
      </c>
      <c r="B247">
        <f t="shared" si="110"/>
        <v>2053</v>
      </c>
      <c r="C247">
        <v>1</v>
      </c>
      <c r="D247" s="15">
        <f t="shared" si="112"/>
        <v>1</v>
      </c>
      <c r="E247" s="15">
        <f t="shared" si="112"/>
        <v>1</v>
      </c>
      <c r="F247" s="15">
        <f t="shared" si="112"/>
        <v>1</v>
      </c>
      <c r="G247" s="15">
        <f t="shared" si="112"/>
        <v>1</v>
      </c>
      <c r="H247" s="15">
        <f t="shared" si="112"/>
        <v>1</v>
      </c>
      <c r="I247" s="15">
        <f t="shared" si="112"/>
        <v>1</v>
      </c>
      <c r="J247" s="15">
        <f t="shared" si="112"/>
        <v>1</v>
      </c>
      <c r="K247" s="15">
        <f t="shared" si="112"/>
        <v>1</v>
      </c>
      <c r="L247" s="15">
        <f>L246+2/6</f>
        <v>0.5</v>
      </c>
      <c r="M247" s="15">
        <f t="shared" si="109"/>
        <v>1</v>
      </c>
      <c r="N247" s="15">
        <f t="shared" si="109"/>
        <v>1</v>
      </c>
      <c r="O247" s="15">
        <f t="shared" si="109"/>
        <v>1</v>
      </c>
      <c r="P247" s="15">
        <f t="shared" si="108"/>
        <v>1</v>
      </c>
      <c r="Q247" s="15">
        <f>4/6</f>
        <v>0.66666666666666663</v>
      </c>
      <c r="R247" s="15">
        <f t="shared" si="107"/>
        <v>1</v>
      </c>
      <c r="S247" s="16" cm="1">
        <f t="array" ref="S247">SUMPRODUCT((1-D247:R247),$D$2:$R$2)</f>
        <v>3600</v>
      </c>
    </row>
    <row r="248" spans="1:19" x14ac:dyDescent="0.35">
      <c r="A248" s="21" t="str">
        <f t="shared" si="101"/>
        <v>COAL_OFF_2055_PMR1b</v>
      </c>
      <c r="B248">
        <f>B247+1</f>
        <v>2054</v>
      </c>
      <c r="C248">
        <v>1</v>
      </c>
      <c r="D248" s="15">
        <f t="shared" si="112"/>
        <v>1</v>
      </c>
      <c r="E248" s="15">
        <f t="shared" si="112"/>
        <v>1</v>
      </c>
      <c r="F248" s="15">
        <f t="shared" si="112"/>
        <v>1</v>
      </c>
      <c r="G248" s="15">
        <f t="shared" si="112"/>
        <v>1</v>
      </c>
      <c r="H248" s="15">
        <f t="shared" si="112"/>
        <v>1</v>
      </c>
      <c r="I248" s="15">
        <f t="shared" si="112"/>
        <v>1</v>
      </c>
      <c r="J248" s="15">
        <f t="shared" si="112"/>
        <v>1</v>
      </c>
      <c r="K248" s="15">
        <f t="shared" si="112"/>
        <v>1</v>
      </c>
      <c r="L248" s="15">
        <f>L247+1/6</f>
        <v>0.66666666666666663</v>
      </c>
      <c r="M248" s="15">
        <f t="shared" si="109"/>
        <v>1</v>
      </c>
      <c r="N248" s="15">
        <f t="shared" si="109"/>
        <v>1</v>
      </c>
      <c r="O248" s="15">
        <f t="shared" si="109"/>
        <v>1</v>
      </c>
      <c r="P248" s="15">
        <f t="shared" si="108"/>
        <v>1</v>
      </c>
      <c r="Q248" s="15">
        <v>1</v>
      </c>
      <c r="R248" s="15">
        <f t="shared" si="107"/>
        <v>1</v>
      </c>
      <c r="S248" s="16" cm="1">
        <f t="array" ref="S248">SUMPRODUCT((1-D248:R248),$D$2:$R$2)</f>
        <v>1440.0000000000002</v>
      </c>
    </row>
    <row r="249" spans="1:19" x14ac:dyDescent="0.35">
      <c r="A249" s="21" t="str">
        <f t="shared" si="101"/>
        <v>COAL_OFF_2055_PMR1b</v>
      </c>
      <c r="B249">
        <f t="shared" ref="B249:B251" si="113">B248+1</f>
        <v>2055</v>
      </c>
      <c r="C249">
        <v>1</v>
      </c>
      <c r="D249" s="15">
        <f t="shared" si="112"/>
        <v>1</v>
      </c>
      <c r="E249" s="15">
        <f t="shared" si="112"/>
        <v>1</v>
      </c>
      <c r="F249" s="15">
        <f t="shared" si="112"/>
        <v>1</v>
      </c>
      <c r="G249" s="15">
        <f t="shared" si="112"/>
        <v>1</v>
      </c>
      <c r="H249" s="15">
        <f t="shared" si="112"/>
        <v>1</v>
      </c>
      <c r="I249" s="15">
        <f t="shared" si="112"/>
        <v>1</v>
      </c>
      <c r="J249" s="15">
        <f t="shared" si="112"/>
        <v>1</v>
      </c>
      <c r="K249" s="15">
        <f t="shared" si="112"/>
        <v>1</v>
      </c>
      <c r="L249" s="15">
        <v>1</v>
      </c>
      <c r="M249" s="15">
        <f t="shared" si="109"/>
        <v>1</v>
      </c>
      <c r="N249" s="15">
        <f t="shared" si="109"/>
        <v>1</v>
      </c>
      <c r="O249" s="15">
        <f t="shared" si="109"/>
        <v>1</v>
      </c>
      <c r="P249" s="15">
        <f t="shared" si="109"/>
        <v>1</v>
      </c>
      <c r="Q249" s="15">
        <f t="shared" si="109"/>
        <v>1</v>
      </c>
      <c r="R249" s="15">
        <f t="shared" si="107"/>
        <v>1</v>
      </c>
      <c r="S249" s="16" cm="1">
        <f t="array" ref="S249">SUMPRODUCT((1-D249:R249),$D$2:$R$2)</f>
        <v>0</v>
      </c>
    </row>
    <row r="250" spans="1:19" x14ac:dyDescent="0.35">
      <c r="A250" s="21" t="str">
        <f t="shared" si="101"/>
        <v>COAL_OFF_2055_PMR1b</v>
      </c>
      <c r="B250">
        <f t="shared" si="113"/>
        <v>2056</v>
      </c>
      <c r="C250">
        <v>1</v>
      </c>
      <c r="D250" s="15">
        <f t="shared" si="112"/>
        <v>1</v>
      </c>
      <c r="E250" s="15">
        <f t="shared" si="112"/>
        <v>1</v>
      </c>
      <c r="F250" s="15">
        <f t="shared" si="112"/>
        <v>1</v>
      </c>
      <c r="G250" s="15">
        <f t="shared" si="112"/>
        <v>1</v>
      </c>
      <c r="H250" s="15">
        <f t="shared" si="112"/>
        <v>1</v>
      </c>
      <c r="I250" s="15">
        <f t="shared" si="112"/>
        <v>1</v>
      </c>
      <c r="J250" s="15">
        <f t="shared" si="112"/>
        <v>1</v>
      </c>
      <c r="K250" s="15">
        <f t="shared" si="112"/>
        <v>1</v>
      </c>
      <c r="L250" s="15">
        <f t="shared" si="112"/>
        <v>1</v>
      </c>
      <c r="M250" s="15">
        <f t="shared" si="112"/>
        <v>1</v>
      </c>
      <c r="N250" s="15">
        <f t="shared" si="112"/>
        <v>1</v>
      </c>
      <c r="O250" s="15">
        <f t="shared" si="112"/>
        <v>1</v>
      </c>
      <c r="P250" s="15">
        <f t="shared" si="112"/>
        <v>1</v>
      </c>
      <c r="Q250" s="15">
        <f t="shared" si="112"/>
        <v>1</v>
      </c>
      <c r="R250" s="15">
        <f t="shared" si="107"/>
        <v>1</v>
      </c>
      <c r="S250" s="16" cm="1">
        <f t="array" ref="S250">SUMPRODUCT((1-D250:R250),$D$2:$R$2)</f>
        <v>0</v>
      </c>
    </row>
    <row r="251" spans="1:19" x14ac:dyDescent="0.35">
      <c r="A251" s="21" t="str">
        <f t="shared" si="101"/>
        <v>COAL_OFF_2055_PMR1b</v>
      </c>
      <c r="B251">
        <f t="shared" si="113"/>
        <v>2057</v>
      </c>
      <c r="C251">
        <v>1</v>
      </c>
      <c r="D251" s="15">
        <f t="shared" si="112"/>
        <v>1</v>
      </c>
      <c r="E251" s="15">
        <f t="shared" si="112"/>
        <v>1</v>
      </c>
      <c r="F251" s="15">
        <f t="shared" si="112"/>
        <v>1</v>
      </c>
      <c r="G251" s="15">
        <f t="shared" si="112"/>
        <v>1</v>
      </c>
      <c r="H251" s="15">
        <f t="shared" si="112"/>
        <v>1</v>
      </c>
      <c r="I251" s="15">
        <f t="shared" si="112"/>
        <v>1</v>
      </c>
      <c r="J251" s="15">
        <f t="shared" si="112"/>
        <v>1</v>
      </c>
      <c r="K251" s="15">
        <f t="shared" si="112"/>
        <v>1</v>
      </c>
      <c r="L251" s="15">
        <f t="shared" si="112"/>
        <v>1</v>
      </c>
      <c r="M251" s="15">
        <f t="shared" si="112"/>
        <v>1</v>
      </c>
      <c r="N251" s="15">
        <f t="shared" si="112"/>
        <v>1</v>
      </c>
      <c r="O251" s="15">
        <f t="shared" si="112"/>
        <v>1</v>
      </c>
      <c r="P251" s="15">
        <f t="shared" si="112"/>
        <v>1</v>
      </c>
      <c r="Q251" s="15">
        <f t="shared" si="112"/>
        <v>1</v>
      </c>
      <c r="R251" s="15">
        <f t="shared" si="107"/>
        <v>1</v>
      </c>
      <c r="S251" s="16" cm="1">
        <f t="array" ref="S251">SUMPRODUCT((1-D251:R251),$D$2:$R$2)</f>
        <v>0</v>
      </c>
    </row>
    <row r="252" spans="1:19" x14ac:dyDescent="0.35">
      <c r="A252" s="21" t="str">
        <f t="shared" si="101"/>
        <v>COAL_OFF_2055_PMR1b</v>
      </c>
      <c r="B252">
        <f>B251+1</f>
        <v>2058</v>
      </c>
      <c r="C252">
        <v>1</v>
      </c>
      <c r="D252" s="15">
        <f t="shared" si="112"/>
        <v>1</v>
      </c>
      <c r="E252" s="15">
        <f t="shared" si="112"/>
        <v>1</v>
      </c>
      <c r="F252" s="15">
        <f t="shared" si="112"/>
        <v>1</v>
      </c>
      <c r="G252" s="15">
        <f t="shared" si="112"/>
        <v>1</v>
      </c>
      <c r="H252" s="15">
        <f t="shared" si="112"/>
        <v>1</v>
      </c>
      <c r="I252" s="15">
        <f t="shared" si="112"/>
        <v>1</v>
      </c>
      <c r="J252" s="15">
        <f t="shared" si="112"/>
        <v>1</v>
      </c>
      <c r="K252" s="15">
        <f t="shared" si="112"/>
        <v>1</v>
      </c>
      <c r="L252" s="15">
        <f t="shared" si="112"/>
        <v>1</v>
      </c>
      <c r="M252" s="15">
        <f t="shared" si="112"/>
        <v>1</v>
      </c>
      <c r="N252" s="15">
        <f t="shared" si="112"/>
        <v>1</v>
      </c>
      <c r="O252" s="15">
        <f t="shared" si="112"/>
        <v>1</v>
      </c>
      <c r="P252" s="15">
        <f t="shared" si="112"/>
        <v>1</v>
      </c>
      <c r="Q252" s="15">
        <f t="shared" si="112"/>
        <v>1</v>
      </c>
      <c r="R252" s="15">
        <f t="shared" si="107"/>
        <v>1</v>
      </c>
      <c r="S252" s="16" cm="1">
        <f t="array" ref="S252">SUMPRODUCT((1-D252:R252),$D$2:$R$2)</f>
        <v>0</v>
      </c>
    </row>
    <row r="253" spans="1:19" x14ac:dyDescent="0.35">
      <c r="A253" s="21" t="str">
        <f t="shared" si="101"/>
        <v>COAL_OFF_2055_PMR1b</v>
      </c>
      <c r="B253">
        <f t="shared" ref="B253" si="114">B252+1</f>
        <v>2059</v>
      </c>
      <c r="C253">
        <v>1</v>
      </c>
      <c r="D253" s="15">
        <f t="shared" si="112"/>
        <v>1</v>
      </c>
      <c r="E253" s="15">
        <f t="shared" si="112"/>
        <v>1</v>
      </c>
      <c r="F253" s="15">
        <f t="shared" si="112"/>
        <v>1</v>
      </c>
      <c r="G253" s="15">
        <f t="shared" si="112"/>
        <v>1</v>
      </c>
      <c r="H253" s="15">
        <f t="shared" si="112"/>
        <v>1</v>
      </c>
      <c r="I253" s="15">
        <f t="shared" si="112"/>
        <v>1</v>
      </c>
      <c r="J253" s="15">
        <f t="shared" si="112"/>
        <v>1</v>
      </c>
      <c r="K253" s="15">
        <f t="shared" si="112"/>
        <v>1</v>
      </c>
      <c r="L253" s="15">
        <f t="shared" si="112"/>
        <v>1</v>
      </c>
      <c r="M253" s="15">
        <f t="shared" si="112"/>
        <v>1</v>
      </c>
      <c r="N253" s="15">
        <f t="shared" si="112"/>
        <v>1</v>
      </c>
      <c r="O253" s="15">
        <f t="shared" si="112"/>
        <v>1</v>
      </c>
      <c r="P253" s="15">
        <f t="shared" si="112"/>
        <v>1</v>
      </c>
      <c r="Q253" s="15">
        <f t="shared" si="112"/>
        <v>1</v>
      </c>
      <c r="R253" s="15">
        <f t="shared" si="107"/>
        <v>1</v>
      </c>
      <c r="S253" s="16" cm="1">
        <f t="array" ref="S253">SUMPRODUCT((1-D253:R253),$D$2:$R$2)</f>
        <v>0</v>
      </c>
    </row>
    <row r="254" spans="1:19" x14ac:dyDescent="0.35">
      <c r="A254" s="22" t="str">
        <f t="shared" si="101"/>
        <v>COAL_OFF_2055_PMR1b</v>
      </c>
      <c r="B254" s="18">
        <f>B253+1</f>
        <v>2060</v>
      </c>
      <c r="C254" s="18">
        <v>1</v>
      </c>
      <c r="D254" s="19">
        <f t="shared" si="112"/>
        <v>1</v>
      </c>
      <c r="E254" s="19">
        <f t="shared" si="112"/>
        <v>1</v>
      </c>
      <c r="F254" s="19">
        <f t="shared" si="112"/>
        <v>1</v>
      </c>
      <c r="G254" s="19">
        <f t="shared" si="112"/>
        <v>1</v>
      </c>
      <c r="H254" s="19">
        <f t="shared" si="112"/>
        <v>1</v>
      </c>
      <c r="I254" s="19">
        <f t="shared" si="112"/>
        <v>1</v>
      </c>
      <c r="J254" s="19">
        <f t="shared" si="112"/>
        <v>1</v>
      </c>
      <c r="K254" s="19">
        <f t="shared" si="112"/>
        <v>1</v>
      </c>
      <c r="L254" s="19">
        <f t="shared" si="112"/>
        <v>1</v>
      </c>
      <c r="M254" s="19">
        <f t="shared" si="112"/>
        <v>1</v>
      </c>
      <c r="N254" s="19">
        <f t="shared" si="112"/>
        <v>1</v>
      </c>
      <c r="O254" s="19">
        <f t="shared" si="112"/>
        <v>1</v>
      </c>
      <c r="P254" s="19">
        <f t="shared" si="112"/>
        <v>1</v>
      </c>
      <c r="Q254" s="19">
        <f t="shared" si="112"/>
        <v>1</v>
      </c>
      <c r="R254" s="19">
        <f t="shared" si="107"/>
        <v>1</v>
      </c>
      <c r="S254" s="20" cm="1">
        <f t="array" ref="S254">SUMPRODUCT((1-D254:R254),$D$2:$R$2)</f>
        <v>0</v>
      </c>
    </row>
    <row r="255" spans="1:19" x14ac:dyDescent="0.35">
      <c r="A255" s="23" t="s">
        <v>31</v>
      </c>
      <c r="B255">
        <v>2025</v>
      </c>
      <c r="C255">
        <v>1</v>
      </c>
      <c r="D255" s="15">
        <v>0</v>
      </c>
      <c r="E255" s="15">
        <v>0</v>
      </c>
      <c r="F255" s="15">
        <v>0</v>
      </c>
      <c r="G255" s="15">
        <v>0</v>
      </c>
      <c r="H255" s="15">
        <v>0</v>
      </c>
      <c r="I255" s="15">
        <v>0</v>
      </c>
      <c r="J255" s="15">
        <v>0</v>
      </c>
      <c r="K255" s="15">
        <v>0</v>
      </c>
      <c r="L255" s="15">
        <v>0</v>
      </c>
      <c r="M255" s="15">
        <v>0</v>
      </c>
      <c r="N255" s="15">
        <v>0</v>
      </c>
      <c r="O255" s="15">
        <v>0</v>
      </c>
      <c r="P255" s="15">
        <v>0</v>
      </c>
      <c r="Q255" s="15">
        <v>0</v>
      </c>
      <c r="R255" s="15">
        <v>0</v>
      </c>
      <c r="S255" s="16" cm="1">
        <f t="array" ref="S255">SUMPRODUCT((1-D255:R255),$D$2:$R$2)</f>
        <v>41419</v>
      </c>
    </row>
    <row r="256" spans="1:19" x14ac:dyDescent="0.35">
      <c r="A256" s="23" t="str">
        <f>A255</f>
        <v>COAL_OFF_2060_PMR1b</v>
      </c>
      <c r="B256">
        <f>B255+1</f>
        <v>2026</v>
      </c>
      <c r="C256">
        <v>1</v>
      </c>
      <c r="D256" s="15">
        <v>0</v>
      </c>
      <c r="E256" s="15">
        <v>0</v>
      </c>
      <c r="F256" s="15">
        <v>0</v>
      </c>
      <c r="G256" s="15">
        <v>0</v>
      </c>
      <c r="H256" s="15">
        <v>0</v>
      </c>
      <c r="I256" s="15">
        <v>0</v>
      </c>
      <c r="J256" s="15">
        <v>0</v>
      </c>
      <c r="K256" s="15">
        <v>0</v>
      </c>
      <c r="L256" s="15">
        <v>0</v>
      </c>
      <c r="M256" s="15">
        <v>0</v>
      </c>
      <c r="N256" s="15">
        <v>0</v>
      </c>
      <c r="O256" s="15">
        <v>0</v>
      </c>
      <c r="P256" s="15">
        <v>0</v>
      </c>
      <c r="Q256" s="15">
        <v>0</v>
      </c>
      <c r="R256" s="15">
        <v>0</v>
      </c>
      <c r="S256" s="16" cm="1">
        <f t="array" ref="S256">SUMPRODUCT((1-D256:R256),$D$2:$R$2)</f>
        <v>41419</v>
      </c>
    </row>
    <row r="257" spans="1:19" x14ac:dyDescent="0.35">
      <c r="A257" s="23" t="str">
        <f t="shared" ref="A257:A290" si="115">A256</f>
        <v>COAL_OFF_2060_PMR1b</v>
      </c>
      <c r="B257">
        <f t="shared" ref="B257:B275" si="116">B256+1</f>
        <v>2027</v>
      </c>
      <c r="C257">
        <v>1</v>
      </c>
      <c r="D257" s="15">
        <v>0</v>
      </c>
      <c r="E257" s="15">
        <v>0</v>
      </c>
      <c r="F257" s="15">
        <v>0</v>
      </c>
      <c r="G257" s="15">
        <v>0</v>
      </c>
      <c r="H257" s="15">
        <v>0</v>
      </c>
      <c r="I257" s="15">
        <v>0</v>
      </c>
      <c r="J257" s="15">
        <v>0</v>
      </c>
      <c r="K257" s="15">
        <v>0</v>
      </c>
      <c r="L257" s="15">
        <v>0</v>
      </c>
      <c r="M257" s="15">
        <v>0</v>
      </c>
      <c r="N257" s="15">
        <v>0</v>
      </c>
      <c r="O257" s="15">
        <v>0</v>
      </c>
      <c r="P257" s="15">
        <v>0</v>
      </c>
      <c r="Q257" s="15">
        <v>0</v>
      </c>
      <c r="R257" s="15">
        <v>0</v>
      </c>
      <c r="S257" s="16" cm="1">
        <f t="array" ref="S257">SUMPRODUCT((1-D257:R257),$D$2:$R$2)</f>
        <v>41419</v>
      </c>
    </row>
    <row r="258" spans="1:19" x14ac:dyDescent="0.35">
      <c r="A258" s="23" t="str">
        <f t="shared" si="115"/>
        <v>COAL_OFF_2060_PMR1b</v>
      </c>
      <c r="B258">
        <f t="shared" si="116"/>
        <v>2028</v>
      </c>
      <c r="C258">
        <v>1</v>
      </c>
      <c r="D258" s="15">
        <v>0</v>
      </c>
      <c r="E258" s="15">
        <v>0</v>
      </c>
      <c r="F258" s="15">
        <v>0</v>
      </c>
      <c r="G258" s="15">
        <v>0</v>
      </c>
      <c r="H258" s="15">
        <v>0</v>
      </c>
      <c r="I258" s="15">
        <v>0</v>
      </c>
      <c r="J258" s="15">
        <v>0</v>
      </c>
      <c r="K258" s="15">
        <v>0</v>
      </c>
      <c r="L258" s="15">
        <v>0</v>
      </c>
      <c r="M258" s="15">
        <v>0</v>
      </c>
      <c r="N258" s="15">
        <v>0</v>
      </c>
      <c r="O258" s="15">
        <v>0</v>
      </c>
      <c r="P258" s="15">
        <v>0</v>
      </c>
      <c r="Q258" s="15">
        <v>0</v>
      </c>
      <c r="R258" s="15">
        <v>0</v>
      </c>
      <c r="S258" s="16" cm="1">
        <f t="array" ref="S258">SUMPRODUCT((1-D258:R258),$D$2:$R$2)</f>
        <v>41419</v>
      </c>
    </row>
    <row r="259" spans="1:19" x14ac:dyDescent="0.35">
      <c r="A259" s="23" t="str">
        <f t="shared" si="115"/>
        <v>COAL_OFF_2060_PMR1b</v>
      </c>
      <c r="B259">
        <f t="shared" si="116"/>
        <v>2029</v>
      </c>
      <c r="C259">
        <v>1</v>
      </c>
      <c r="D259" s="15">
        <v>0</v>
      </c>
      <c r="E259" s="15">
        <v>0</v>
      </c>
      <c r="F259" s="15">
        <v>0</v>
      </c>
      <c r="G259" s="15">
        <v>0</v>
      </c>
      <c r="H259" s="15">
        <v>0</v>
      </c>
      <c r="I259" s="15">
        <v>0</v>
      </c>
      <c r="J259" s="15">
        <v>0</v>
      </c>
      <c r="K259" s="15">
        <v>0</v>
      </c>
      <c r="L259" s="15">
        <v>0</v>
      </c>
      <c r="M259" s="15">
        <v>0</v>
      </c>
      <c r="N259" s="15">
        <v>0</v>
      </c>
      <c r="O259" s="15">
        <v>0</v>
      </c>
      <c r="P259" s="15">
        <v>0</v>
      </c>
      <c r="Q259" s="15">
        <v>0</v>
      </c>
      <c r="R259" s="15">
        <v>0</v>
      </c>
      <c r="S259" s="16" cm="1">
        <f t="array" ref="S259">SUMPRODUCT((1-D259:R259),$D$2:$R$2)</f>
        <v>41419</v>
      </c>
    </row>
    <row r="260" spans="1:19" x14ac:dyDescent="0.35">
      <c r="A260" s="23" t="str">
        <f t="shared" si="115"/>
        <v>COAL_OFF_2060_PMR1b</v>
      </c>
      <c r="B260">
        <f t="shared" si="116"/>
        <v>2030</v>
      </c>
      <c r="C260">
        <v>1</v>
      </c>
      <c r="D260" s="15">
        <v>0</v>
      </c>
      <c r="E260" s="15">
        <v>0</v>
      </c>
      <c r="F260" s="15">
        <v>0</v>
      </c>
      <c r="G260" s="15">
        <v>0</v>
      </c>
      <c r="H260" s="15">
        <v>0</v>
      </c>
      <c r="I260" s="15">
        <v>0</v>
      </c>
      <c r="J260" s="15">
        <v>0</v>
      </c>
      <c r="K260" s="15">
        <v>0</v>
      </c>
      <c r="L260" s="15">
        <v>0</v>
      </c>
      <c r="M260" s="15">
        <v>0</v>
      </c>
      <c r="N260" s="15">
        <v>0</v>
      </c>
      <c r="O260" s="15">
        <v>0</v>
      </c>
      <c r="P260" s="15">
        <v>0</v>
      </c>
      <c r="Q260" s="15">
        <v>0</v>
      </c>
      <c r="R260" s="15">
        <v>0</v>
      </c>
      <c r="S260" s="16" cm="1">
        <f t="array" ref="S260">SUMPRODUCT((1-D260:R260),$D$2:$R$2)</f>
        <v>41419</v>
      </c>
    </row>
    <row r="261" spans="1:19" x14ac:dyDescent="0.35">
      <c r="A261" s="23" t="str">
        <f t="shared" si="115"/>
        <v>COAL_OFF_2060_PMR1b</v>
      </c>
      <c r="B261">
        <f t="shared" si="116"/>
        <v>2031</v>
      </c>
      <c r="C261">
        <v>1</v>
      </c>
      <c r="D261" s="15">
        <f>1/6</f>
        <v>0.16666666666666666</v>
      </c>
      <c r="E261" s="15">
        <v>0</v>
      </c>
      <c r="F261" s="15">
        <v>0</v>
      </c>
      <c r="G261" s="15">
        <v>1</v>
      </c>
      <c r="H261" s="15">
        <v>0</v>
      </c>
      <c r="I261" s="15">
        <v>0</v>
      </c>
      <c r="J261" s="15">
        <v>0</v>
      </c>
      <c r="K261" s="15">
        <v>0</v>
      </c>
      <c r="L261" s="15">
        <v>0</v>
      </c>
      <c r="M261" s="15">
        <v>0</v>
      </c>
      <c r="N261" s="15">
        <v>0</v>
      </c>
      <c r="O261" s="15">
        <v>0</v>
      </c>
      <c r="P261" s="15">
        <v>0</v>
      </c>
      <c r="Q261" s="15">
        <v>0</v>
      </c>
      <c r="R261" s="15">
        <f>2/6</f>
        <v>0.33333333333333331</v>
      </c>
      <c r="S261" s="16" cm="1">
        <f t="array" ref="S261">SUMPRODUCT((1-D261:R261),$D$2:$R$2)</f>
        <v>39329</v>
      </c>
    </row>
    <row r="262" spans="1:19" x14ac:dyDescent="0.35">
      <c r="A262" s="23" t="str">
        <f t="shared" si="115"/>
        <v>COAL_OFF_2060_PMR1b</v>
      </c>
      <c r="B262">
        <f t="shared" si="116"/>
        <v>2032</v>
      </c>
      <c r="C262">
        <v>1</v>
      </c>
      <c r="D262" s="15">
        <f>D261</f>
        <v>0.16666666666666666</v>
      </c>
      <c r="E262" s="15">
        <v>0</v>
      </c>
      <c r="F262" s="15">
        <v>0</v>
      </c>
      <c r="G262" s="15">
        <f t="shared" ref="G262:I269" si="117">G261</f>
        <v>1</v>
      </c>
      <c r="H262" s="15">
        <f>3/6</f>
        <v>0.5</v>
      </c>
      <c r="I262" s="15">
        <v>0</v>
      </c>
      <c r="J262" s="15">
        <v>0</v>
      </c>
      <c r="K262" s="15">
        <v>0</v>
      </c>
      <c r="L262" s="15">
        <v>0</v>
      </c>
      <c r="M262" s="15">
        <v>0</v>
      </c>
      <c r="N262" s="15">
        <v>0</v>
      </c>
      <c r="O262" s="15">
        <v>0</v>
      </c>
      <c r="P262" s="15">
        <f>0.5</f>
        <v>0.5</v>
      </c>
      <c r="Q262" s="15">
        <v>0</v>
      </c>
      <c r="R262" s="15">
        <f>R261</f>
        <v>0.33333333333333331</v>
      </c>
      <c r="S262" s="16" cm="1">
        <f t="array" ref="S262">SUMPRODUCT((1-D262:R262),$D$2:$R$2)</f>
        <v>37055</v>
      </c>
    </row>
    <row r="263" spans="1:19" x14ac:dyDescent="0.35">
      <c r="A263" s="23" t="str">
        <f t="shared" si="115"/>
        <v>COAL_OFF_2060_PMR1b</v>
      </c>
      <c r="B263">
        <f t="shared" si="116"/>
        <v>2033</v>
      </c>
      <c r="C263">
        <v>1</v>
      </c>
      <c r="D263" s="15">
        <f>2/6</f>
        <v>0.33333333333333331</v>
      </c>
      <c r="E263" s="15">
        <v>0</v>
      </c>
      <c r="F263" s="15">
        <v>0</v>
      </c>
      <c r="G263" s="15">
        <f t="shared" si="117"/>
        <v>1</v>
      </c>
      <c r="H263" s="15">
        <v>1</v>
      </c>
      <c r="I263" s="15">
        <v>1</v>
      </c>
      <c r="J263" s="15">
        <v>0</v>
      </c>
      <c r="K263" s="15">
        <f>2/6</f>
        <v>0.33333333333333331</v>
      </c>
      <c r="L263" s="15">
        <v>0</v>
      </c>
      <c r="M263" s="15">
        <v>0</v>
      </c>
      <c r="N263" s="15">
        <v>0</v>
      </c>
      <c r="O263" s="15">
        <v>0</v>
      </c>
      <c r="P263" s="15">
        <f t="shared" ref="P263:P266" si="118">0.5</f>
        <v>0.5</v>
      </c>
      <c r="Q263" s="15">
        <v>0</v>
      </c>
      <c r="R263" s="15">
        <f>3/6</f>
        <v>0.5</v>
      </c>
      <c r="S263" s="16" cm="1">
        <f t="array" ref="S263">SUMPRODUCT((1-D263:R263),$D$2:$R$2)</f>
        <v>34531</v>
      </c>
    </row>
    <row r="264" spans="1:19" x14ac:dyDescent="0.35">
      <c r="A264" s="23" t="str">
        <f t="shared" si="115"/>
        <v>COAL_OFF_2060_PMR1b</v>
      </c>
      <c r="B264">
        <f t="shared" si="116"/>
        <v>2034</v>
      </c>
      <c r="C264">
        <v>1</v>
      </c>
      <c r="D264" s="15">
        <f>3/6</f>
        <v>0.5</v>
      </c>
      <c r="E264" s="15">
        <v>0</v>
      </c>
      <c r="F264" s="15">
        <v>0</v>
      </c>
      <c r="G264" s="15">
        <f t="shared" si="117"/>
        <v>1</v>
      </c>
      <c r="H264" s="15">
        <f t="shared" si="117"/>
        <v>1</v>
      </c>
      <c r="I264" s="15">
        <f t="shared" si="117"/>
        <v>1</v>
      </c>
      <c r="J264" s="15">
        <v>0</v>
      </c>
      <c r="K264" s="15">
        <f>K263</f>
        <v>0.33333333333333331</v>
      </c>
      <c r="L264" s="15">
        <v>0</v>
      </c>
      <c r="M264" s="15">
        <v>0</v>
      </c>
      <c r="N264" s="15">
        <v>0</v>
      </c>
      <c r="O264" s="15">
        <v>0</v>
      </c>
      <c r="P264" s="15">
        <f t="shared" si="118"/>
        <v>0.5</v>
      </c>
      <c r="Q264" s="15">
        <v>0</v>
      </c>
      <c r="R264" s="15">
        <v>1</v>
      </c>
      <c r="S264" s="16" cm="1">
        <f t="array" ref="S264">SUMPRODUCT((1-D264:R264),$D$2:$R$2)</f>
        <v>32426</v>
      </c>
    </row>
    <row r="265" spans="1:19" x14ac:dyDescent="0.35">
      <c r="A265" s="23" t="str">
        <f t="shared" si="115"/>
        <v>COAL_OFF_2060_PMR1b</v>
      </c>
      <c r="B265">
        <f t="shared" si="116"/>
        <v>2035</v>
      </c>
      <c r="C265">
        <v>1</v>
      </c>
      <c r="D265" s="15">
        <v>1</v>
      </c>
      <c r="E265" s="15">
        <f>6/8</f>
        <v>0.75</v>
      </c>
      <c r="F265" s="15">
        <v>0</v>
      </c>
      <c r="G265" s="15">
        <f t="shared" si="117"/>
        <v>1</v>
      </c>
      <c r="H265" s="15">
        <f t="shared" si="117"/>
        <v>1</v>
      </c>
      <c r="I265" s="15">
        <f t="shared" si="117"/>
        <v>1</v>
      </c>
      <c r="J265" s="15">
        <v>0</v>
      </c>
      <c r="K265" s="15">
        <f t="shared" ref="K265" si="119">K264</f>
        <v>0.33333333333333331</v>
      </c>
      <c r="L265" s="15">
        <v>0</v>
      </c>
      <c r="M265" s="15">
        <v>0</v>
      </c>
      <c r="N265" s="15">
        <v>0</v>
      </c>
      <c r="O265" s="15">
        <v>0</v>
      </c>
      <c r="P265" s="15">
        <f t="shared" si="118"/>
        <v>0.5</v>
      </c>
      <c r="Q265" s="15">
        <v>0</v>
      </c>
      <c r="R265" s="15">
        <f>R264</f>
        <v>1</v>
      </c>
      <c r="S265" s="16" cm="1">
        <f t="array" ref="S265">SUMPRODUCT((1-D265:R265),$D$2:$R$2)</f>
        <v>30265.25</v>
      </c>
    </row>
    <row r="266" spans="1:19" x14ac:dyDescent="0.35">
      <c r="A266" s="23" t="str">
        <f t="shared" si="115"/>
        <v>COAL_OFF_2060_PMR1b</v>
      </c>
      <c r="B266">
        <f t="shared" si="116"/>
        <v>2036</v>
      </c>
      <c r="C266">
        <v>1</v>
      </c>
      <c r="D266" s="15">
        <f t="shared" ref="D266:K281" si="120">D265</f>
        <v>1</v>
      </c>
      <c r="E266" s="15">
        <v>1</v>
      </c>
      <c r="F266" s="15">
        <v>0</v>
      </c>
      <c r="G266" s="15">
        <f t="shared" si="117"/>
        <v>1</v>
      </c>
      <c r="H266" s="15">
        <f t="shared" si="117"/>
        <v>1</v>
      </c>
      <c r="I266" s="15">
        <f t="shared" si="117"/>
        <v>1</v>
      </c>
      <c r="J266" s="15">
        <v>0</v>
      </c>
      <c r="K266" s="15">
        <v>1</v>
      </c>
      <c r="L266" s="15">
        <v>0</v>
      </c>
      <c r="M266" s="15">
        <v>0</v>
      </c>
      <c r="N266" s="15">
        <v>0</v>
      </c>
      <c r="O266" s="15">
        <v>0</v>
      </c>
      <c r="P266" s="15">
        <f t="shared" si="118"/>
        <v>0.5</v>
      </c>
      <c r="Q266" s="15">
        <v>0</v>
      </c>
      <c r="R266" s="15">
        <f t="shared" ref="R266:R290" si="121">R265</f>
        <v>1</v>
      </c>
      <c r="S266" s="16" cm="1">
        <f t="array" ref="S266">SUMPRODUCT((1-D266:R266),$D$2:$R$2)</f>
        <v>28135</v>
      </c>
    </row>
    <row r="267" spans="1:19" x14ac:dyDescent="0.35">
      <c r="A267" s="23" t="str">
        <f t="shared" si="115"/>
        <v>COAL_OFF_2060_PMR1b</v>
      </c>
      <c r="B267">
        <f t="shared" si="116"/>
        <v>2037</v>
      </c>
      <c r="C267">
        <v>1</v>
      </c>
      <c r="D267" s="15">
        <f t="shared" si="120"/>
        <v>1</v>
      </c>
      <c r="E267" s="15">
        <f t="shared" si="120"/>
        <v>1</v>
      </c>
      <c r="F267" s="15">
        <v>0</v>
      </c>
      <c r="G267" s="15">
        <f t="shared" si="117"/>
        <v>1</v>
      </c>
      <c r="H267" s="15">
        <f t="shared" si="117"/>
        <v>1</v>
      </c>
      <c r="I267" s="15">
        <f t="shared" si="117"/>
        <v>1</v>
      </c>
      <c r="J267" s="15">
        <f>1/6</f>
        <v>0.16666666666666666</v>
      </c>
      <c r="K267" s="15">
        <f t="shared" ref="K267:K273" si="122">K266</f>
        <v>1</v>
      </c>
      <c r="L267" s="15">
        <v>0</v>
      </c>
      <c r="M267" s="15">
        <v>0</v>
      </c>
      <c r="N267" s="15">
        <v>0</v>
      </c>
      <c r="O267" s="15">
        <v>0</v>
      </c>
      <c r="P267" s="15">
        <v>1</v>
      </c>
      <c r="Q267" s="15">
        <v>0</v>
      </c>
      <c r="R267" s="15">
        <f t="shared" si="121"/>
        <v>1</v>
      </c>
      <c r="S267" s="16" cm="1">
        <f t="array" ref="S267">SUMPRODUCT((1-D267:R267),$D$2:$R$2)</f>
        <v>25770</v>
      </c>
    </row>
    <row r="268" spans="1:19" x14ac:dyDescent="0.35">
      <c r="A268" s="23" t="str">
        <f t="shared" si="115"/>
        <v>COAL_OFF_2060_PMR1b</v>
      </c>
      <c r="B268">
        <f t="shared" si="116"/>
        <v>2038</v>
      </c>
      <c r="C268">
        <v>1</v>
      </c>
      <c r="D268" s="15">
        <f t="shared" si="120"/>
        <v>1</v>
      </c>
      <c r="E268" s="15">
        <f t="shared" si="120"/>
        <v>1</v>
      </c>
      <c r="F268" s="15">
        <f>1/5</f>
        <v>0.2</v>
      </c>
      <c r="G268" s="15">
        <f t="shared" si="117"/>
        <v>1</v>
      </c>
      <c r="H268" s="15">
        <f t="shared" si="117"/>
        <v>1</v>
      </c>
      <c r="I268" s="15">
        <f t="shared" si="117"/>
        <v>1</v>
      </c>
      <c r="J268" s="15">
        <f>3/6</f>
        <v>0.5</v>
      </c>
      <c r="K268" s="15">
        <f t="shared" si="122"/>
        <v>1</v>
      </c>
      <c r="L268" s="15">
        <v>0</v>
      </c>
      <c r="M268" s="15">
        <v>0</v>
      </c>
      <c r="N268" s="15">
        <v>0</v>
      </c>
      <c r="O268" s="15">
        <v>0</v>
      </c>
      <c r="P268" s="15">
        <f>P267</f>
        <v>1</v>
      </c>
      <c r="Q268" s="15">
        <v>0</v>
      </c>
      <c r="R268" s="15">
        <f t="shared" si="121"/>
        <v>1</v>
      </c>
      <c r="S268" s="16" cm="1">
        <f t="array" ref="S268">SUMPRODUCT((1-D268:R268),$D$2:$R$2)</f>
        <v>23915</v>
      </c>
    </row>
    <row r="269" spans="1:19" x14ac:dyDescent="0.35">
      <c r="A269" s="23" t="str">
        <f t="shared" si="115"/>
        <v>COAL_OFF_2060_PMR1b</v>
      </c>
      <c r="B269">
        <f t="shared" si="116"/>
        <v>2039</v>
      </c>
      <c r="C269">
        <v>1</v>
      </c>
      <c r="D269" s="15">
        <f t="shared" si="120"/>
        <v>1</v>
      </c>
      <c r="E269" s="15">
        <f t="shared" si="120"/>
        <v>1</v>
      </c>
      <c r="F269" s="15">
        <v>1</v>
      </c>
      <c r="G269" s="15">
        <f t="shared" si="117"/>
        <v>1</v>
      </c>
      <c r="H269" s="15">
        <f t="shared" si="117"/>
        <v>1</v>
      </c>
      <c r="I269" s="15">
        <f t="shared" si="117"/>
        <v>1</v>
      </c>
      <c r="J269" s="15">
        <f>J268</f>
        <v>0.5</v>
      </c>
      <c r="K269" s="15">
        <f t="shared" si="122"/>
        <v>1</v>
      </c>
      <c r="L269" s="15">
        <v>0</v>
      </c>
      <c r="M269" s="15">
        <v>0</v>
      </c>
      <c r="N269" s="15">
        <v>0</v>
      </c>
      <c r="O269" s="15">
        <v>0</v>
      </c>
      <c r="P269" s="15">
        <f t="shared" ref="P269:P277" si="123">P268</f>
        <v>1</v>
      </c>
      <c r="Q269" s="15">
        <v>0</v>
      </c>
      <c r="R269" s="15">
        <f t="shared" si="121"/>
        <v>1</v>
      </c>
      <c r="S269" s="16" cm="1">
        <f t="array" ref="S269">SUMPRODUCT((1-D269:R269),$D$2:$R$2)</f>
        <v>21615</v>
      </c>
    </row>
    <row r="270" spans="1:19" x14ac:dyDescent="0.35">
      <c r="A270" s="23" t="str">
        <f t="shared" si="115"/>
        <v>COAL_OFF_2060_PMR1b</v>
      </c>
      <c r="B270">
        <f t="shared" si="116"/>
        <v>2040</v>
      </c>
      <c r="C270">
        <v>1</v>
      </c>
      <c r="D270" s="15">
        <f t="shared" si="120"/>
        <v>1</v>
      </c>
      <c r="E270" s="15">
        <f t="shared" si="120"/>
        <v>1</v>
      </c>
      <c r="F270" s="15">
        <f t="shared" si="120"/>
        <v>1</v>
      </c>
      <c r="G270" s="15">
        <f t="shared" si="120"/>
        <v>1</v>
      </c>
      <c r="H270" s="15">
        <f t="shared" si="120"/>
        <v>1</v>
      </c>
      <c r="I270" s="15">
        <f t="shared" si="120"/>
        <v>1</v>
      </c>
      <c r="J270" s="15">
        <v>0.5</v>
      </c>
      <c r="K270" s="15">
        <f t="shared" si="122"/>
        <v>1</v>
      </c>
      <c r="L270" s="15">
        <v>0</v>
      </c>
      <c r="M270" s="15">
        <f>4/6</f>
        <v>0.66666666666666663</v>
      </c>
      <c r="N270" s="15">
        <v>0</v>
      </c>
      <c r="O270" s="15">
        <v>0</v>
      </c>
      <c r="P270" s="15">
        <f t="shared" si="123"/>
        <v>1</v>
      </c>
      <c r="Q270" s="15">
        <v>0</v>
      </c>
      <c r="R270" s="15">
        <f t="shared" si="121"/>
        <v>1</v>
      </c>
      <c r="S270" s="16" cm="1">
        <f t="array" ref="S270">SUMPRODUCT((1-D270:R270),$D$2:$R$2)</f>
        <v>19243</v>
      </c>
    </row>
    <row r="271" spans="1:19" x14ac:dyDescent="0.35">
      <c r="A271" s="23" t="str">
        <f t="shared" si="115"/>
        <v>COAL_OFF_2060_PMR1b</v>
      </c>
      <c r="B271">
        <f t="shared" si="116"/>
        <v>2041</v>
      </c>
      <c r="C271">
        <v>1</v>
      </c>
      <c r="D271" s="15">
        <f t="shared" si="120"/>
        <v>1</v>
      </c>
      <c r="E271" s="15">
        <f t="shared" si="120"/>
        <v>1</v>
      </c>
      <c r="F271" s="15">
        <f t="shared" si="120"/>
        <v>1</v>
      </c>
      <c r="G271" s="15">
        <f t="shared" si="120"/>
        <v>1</v>
      </c>
      <c r="H271" s="15">
        <f t="shared" si="120"/>
        <v>1</v>
      </c>
      <c r="I271" s="15">
        <f t="shared" si="120"/>
        <v>1</v>
      </c>
      <c r="J271" s="15">
        <f>J270</f>
        <v>0.5</v>
      </c>
      <c r="K271" s="15">
        <f t="shared" si="122"/>
        <v>1</v>
      </c>
      <c r="L271" s="15">
        <v>0</v>
      </c>
      <c r="M271" s="15">
        <f>5/6</f>
        <v>0.83333333333333337</v>
      </c>
      <c r="N271" s="15">
        <v>0</v>
      </c>
      <c r="O271" s="15">
        <f>1/6</f>
        <v>0.16666666666666666</v>
      </c>
      <c r="P271" s="15">
        <f t="shared" si="123"/>
        <v>1</v>
      </c>
      <c r="Q271" s="15">
        <v>0</v>
      </c>
      <c r="R271" s="15">
        <f t="shared" si="121"/>
        <v>1</v>
      </c>
      <c r="S271" s="16" cm="1">
        <f t="array" ref="S271">SUMPRODUCT((1-D271:R271),$D$2:$R$2)</f>
        <v>18035</v>
      </c>
    </row>
    <row r="272" spans="1:19" x14ac:dyDescent="0.35">
      <c r="A272" s="23" t="str">
        <f t="shared" si="115"/>
        <v>COAL_OFF_2060_PMR1b</v>
      </c>
      <c r="B272">
        <f t="shared" si="116"/>
        <v>2042</v>
      </c>
      <c r="C272">
        <v>1</v>
      </c>
      <c r="D272" s="15">
        <f t="shared" si="120"/>
        <v>1</v>
      </c>
      <c r="E272" s="15">
        <f t="shared" si="120"/>
        <v>1</v>
      </c>
      <c r="F272" s="15">
        <f t="shared" si="120"/>
        <v>1</v>
      </c>
      <c r="G272" s="15">
        <f t="shared" si="120"/>
        <v>1</v>
      </c>
      <c r="H272" s="15">
        <f t="shared" si="120"/>
        <v>1</v>
      </c>
      <c r="I272" s="15">
        <f t="shared" si="120"/>
        <v>1</v>
      </c>
      <c r="J272" s="15">
        <f>J271+2/6</f>
        <v>0.83333333333333326</v>
      </c>
      <c r="K272" s="15">
        <f t="shared" si="122"/>
        <v>1</v>
      </c>
      <c r="L272" s="15">
        <v>0</v>
      </c>
      <c r="M272" s="15">
        <v>1</v>
      </c>
      <c r="N272" s="15">
        <v>0</v>
      </c>
      <c r="O272" s="15">
        <f>1/6</f>
        <v>0.16666666666666666</v>
      </c>
      <c r="P272" s="15">
        <f t="shared" si="123"/>
        <v>1</v>
      </c>
      <c r="Q272" s="15">
        <v>0</v>
      </c>
      <c r="R272" s="15">
        <f t="shared" si="121"/>
        <v>1</v>
      </c>
      <c r="S272" s="16" cm="1">
        <f t="array" ref="S272">SUMPRODUCT((1-D272:R272),$D$2:$R$2)</f>
        <v>16162</v>
      </c>
    </row>
    <row r="273" spans="1:19" x14ac:dyDescent="0.35">
      <c r="A273" s="23" t="str">
        <f t="shared" si="115"/>
        <v>COAL_OFF_2060_PMR1b</v>
      </c>
      <c r="B273">
        <f t="shared" si="116"/>
        <v>2043</v>
      </c>
      <c r="C273">
        <v>1</v>
      </c>
      <c r="D273" s="15">
        <f t="shared" si="120"/>
        <v>1</v>
      </c>
      <c r="E273" s="15">
        <f t="shared" si="120"/>
        <v>1</v>
      </c>
      <c r="F273" s="15">
        <f t="shared" si="120"/>
        <v>1</v>
      </c>
      <c r="G273" s="15">
        <f t="shared" si="120"/>
        <v>1</v>
      </c>
      <c r="H273" s="15">
        <f t="shared" si="120"/>
        <v>1</v>
      </c>
      <c r="I273" s="15">
        <f t="shared" si="120"/>
        <v>1</v>
      </c>
      <c r="J273" s="15">
        <v>1</v>
      </c>
      <c r="K273" s="15">
        <f t="shared" si="122"/>
        <v>1</v>
      </c>
      <c r="L273" s="15">
        <v>0</v>
      </c>
      <c r="M273" s="15">
        <f t="shared" ref="M273:P288" si="124">M272</f>
        <v>1</v>
      </c>
      <c r="N273" s="15">
        <f>1/6</f>
        <v>0.16666666666666666</v>
      </c>
      <c r="O273" s="15">
        <f>O272</f>
        <v>0.16666666666666666</v>
      </c>
      <c r="P273" s="15">
        <f t="shared" si="123"/>
        <v>1</v>
      </c>
      <c r="Q273" s="15">
        <v>0</v>
      </c>
      <c r="R273" s="15">
        <f t="shared" si="121"/>
        <v>1</v>
      </c>
      <c r="S273" s="16" cm="1">
        <f t="array" ref="S273">SUMPRODUCT((1-D273:R273),$D$2:$R$2)</f>
        <v>14887.5</v>
      </c>
    </row>
    <row r="274" spans="1:19" x14ac:dyDescent="0.35">
      <c r="A274" s="23" t="str">
        <f t="shared" si="115"/>
        <v>COAL_OFF_2060_PMR1b</v>
      </c>
      <c r="B274">
        <f t="shared" si="116"/>
        <v>2044</v>
      </c>
      <c r="C274">
        <v>1</v>
      </c>
      <c r="D274" s="15">
        <f t="shared" si="120"/>
        <v>1</v>
      </c>
      <c r="E274" s="15">
        <f t="shared" si="120"/>
        <v>1</v>
      </c>
      <c r="F274" s="15">
        <f t="shared" si="120"/>
        <v>1</v>
      </c>
      <c r="G274" s="15">
        <f t="shared" si="120"/>
        <v>1</v>
      </c>
      <c r="H274" s="15">
        <f t="shared" si="120"/>
        <v>1</v>
      </c>
      <c r="I274" s="15">
        <f t="shared" si="120"/>
        <v>1</v>
      </c>
      <c r="J274" s="15">
        <f t="shared" si="120"/>
        <v>1</v>
      </c>
      <c r="K274" s="15">
        <f t="shared" si="120"/>
        <v>1</v>
      </c>
      <c r="L274" s="15">
        <v>0</v>
      </c>
      <c r="M274" s="15">
        <f t="shared" si="124"/>
        <v>1</v>
      </c>
      <c r="N274" s="15">
        <f>2/6</f>
        <v>0.33333333333333331</v>
      </c>
      <c r="O274" s="15">
        <f>2/6</f>
        <v>0.33333333333333331</v>
      </c>
      <c r="P274" s="15">
        <f t="shared" si="123"/>
        <v>1</v>
      </c>
      <c r="Q274" s="15">
        <v>0</v>
      </c>
      <c r="R274" s="15">
        <f t="shared" si="121"/>
        <v>1</v>
      </c>
      <c r="S274" s="16" cm="1">
        <f t="array" ref="S274">SUMPRODUCT((1-D274:R274),$D$2:$R$2)</f>
        <v>13638</v>
      </c>
    </row>
    <row r="275" spans="1:19" x14ac:dyDescent="0.35">
      <c r="A275" s="23" t="str">
        <f t="shared" si="115"/>
        <v>COAL_OFF_2060_PMR1b</v>
      </c>
      <c r="B275">
        <f t="shared" si="116"/>
        <v>2045</v>
      </c>
      <c r="C275">
        <v>1</v>
      </c>
      <c r="D275" s="15">
        <f t="shared" si="120"/>
        <v>1</v>
      </c>
      <c r="E275" s="15">
        <f t="shared" si="120"/>
        <v>1</v>
      </c>
      <c r="F275" s="15">
        <f t="shared" si="120"/>
        <v>1</v>
      </c>
      <c r="G275" s="15">
        <f t="shared" si="120"/>
        <v>1</v>
      </c>
      <c r="H275" s="15">
        <f t="shared" si="120"/>
        <v>1</v>
      </c>
      <c r="I275" s="15">
        <f t="shared" si="120"/>
        <v>1</v>
      </c>
      <c r="J275" s="15">
        <f t="shared" si="120"/>
        <v>1</v>
      </c>
      <c r="K275" s="15">
        <f t="shared" si="120"/>
        <v>1</v>
      </c>
      <c r="L275" s="15">
        <v>0</v>
      </c>
      <c r="M275" s="15">
        <f t="shared" si="124"/>
        <v>1</v>
      </c>
      <c r="N275" s="15">
        <f>N274</f>
        <v>0.33333333333333331</v>
      </c>
      <c r="O275" s="15">
        <f>4/6</f>
        <v>0.66666666666666663</v>
      </c>
      <c r="P275" s="15">
        <f t="shared" si="123"/>
        <v>1</v>
      </c>
      <c r="Q275" s="15">
        <v>0</v>
      </c>
      <c r="R275" s="15">
        <f t="shared" si="121"/>
        <v>1</v>
      </c>
      <c r="S275" s="16" cm="1">
        <f t="array" ref="S275">SUMPRODUCT((1-D275:R275),$D$2:$R$2)</f>
        <v>12408</v>
      </c>
    </row>
    <row r="276" spans="1:19" x14ac:dyDescent="0.35">
      <c r="A276" s="23" t="str">
        <f t="shared" si="115"/>
        <v>COAL_OFF_2060_PMR1b</v>
      </c>
      <c r="B276">
        <f>B275+1</f>
        <v>2046</v>
      </c>
      <c r="C276">
        <v>1</v>
      </c>
      <c r="D276" s="15">
        <f t="shared" si="120"/>
        <v>1</v>
      </c>
      <c r="E276" s="15">
        <f t="shared" si="120"/>
        <v>1</v>
      </c>
      <c r="F276" s="15">
        <f t="shared" si="120"/>
        <v>1</v>
      </c>
      <c r="G276" s="15">
        <f t="shared" si="120"/>
        <v>1</v>
      </c>
      <c r="H276" s="15">
        <f t="shared" si="120"/>
        <v>1</v>
      </c>
      <c r="I276" s="15">
        <f t="shared" si="120"/>
        <v>1</v>
      </c>
      <c r="J276" s="15">
        <f t="shared" si="120"/>
        <v>1</v>
      </c>
      <c r="K276" s="15">
        <f t="shared" si="120"/>
        <v>1</v>
      </c>
      <c r="L276" s="15">
        <v>0</v>
      </c>
      <c r="M276" s="15">
        <f t="shared" si="124"/>
        <v>1</v>
      </c>
      <c r="N276" s="15">
        <f>N275</f>
        <v>0.33333333333333331</v>
      </c>
      <c r="O276" s="15">
        <f>5/6</f>
        <v>0.83333333333333337</v>
      </c>
      <c r="P276" s="15">
        <f t="shared" si="123"/>
        <v>1</v>
      </c>
      <c r="Q276" s="15">
        <v>0</v>
      </c>
      <c r="R276" s="15">
        <f t="shared" si="121"/>
        <v>1</v>
      </c>
      <c r="S276" s="16" cm="1">
        <f t="array" ref="S276">SUMPRODUCT((1-D276:R276),$D$2:$R$2)</f>
        <v>11793</v>
      </c>
    </row>
    <row r="277" spans="1:19" x14ac:dyDescent="0.35">
      <c r="A277" s="23" t="str">
        <f t="shared" si="115"/>
        <v>COAL_OFF_2060_PMR1b</v>
      </c>
      <c r="B277">
        <f t="shared" ref="B277:B283" si="125">B276+1</f>
        <v>2047</v>
      </c>
      <c r="C277">
        <v>1</v>
      </c>
      <c r="D277" s="15">
        <f t="shared" si="120"/>
        <v>1</v>
      </c>
      <c r="E277" s="15">
        <f t="shared" si="120"/>
        <v>1</v>
      </c>
      <c r="F277" s="15">
        <f t="shared" si="120"/>
        <v>1</v>
      </c>
      <c r="G277" s="15">
        <f t="shared" si="120"/>
        <v>1</v>
      </c>
      <c r="H277" s="15">
        <f t="shared" si="120"/>
        <v>1</v>
      </c>
      <c r="I277" s="15">
        <f t="shared" si="120"/>
        <v>1</v>
      </c>
      <c r="J277" s="15">
        <f t="shared" si="120"/>
        <v>1</v>
      </c>
      <c r="K277" s="15">
        <f t="shared" si="120"/>
        <v>1</v>
      </c>
      <c r="L277" s="15">
        <v>0</v>
      </c>
      <c r="M277" s="15">
        <f t="shared" si="124"/>
        <v>1</v>
      </c>
      <c r="N277" s="15">
        <f>N276</f>
        <v>0.33333333333333331</v>
      </c>
      <c r="O277" s="15">
        <v>1</v>
      </c>
      <c r="P277" s="15">
        <f t="shared" si="123"/>
        <v>1</v>
      </c>
      <c r="Q277" s="15">
        <v>0</v>
      </c>
      <c r="R277" s="15">
        <f t="shared" si="121"/>
        <v>1</v>
      </c>
      <c r="S277" s="16" cm="1">
        <f t="array" ref="S277">SUMPRODUCT((1-D277:R277),$D$2:$R$2)</f>
        <v>11178</v>
      </c>
    </row>
    <row r="278" spans="1:19" x14ac:dyDescent="0.35">
      <c r="A278" s="23" t="str">
        <f t="shared" si="115"/>
        <v>COAL_OFF_2060_PMR1b</v>
      </c>
      <c r="B278">
        <f t="shared" si="125"/>
        <v>2048</v>
      </c>
      <c r="C278">
        <v>1</v>
      </c>
      <c r="D278" s="15">
        <f t="shared" si="120"/>
        <v>1</v>
      </c>
      <c r="E278" s="15">
        <f t="shared" si="120"/>
        <v>1</v>
      </c>
      <c r="F278" s="15">
        <f t="shared" si="120"/>
        <v>1</v>
      </c>
      <c r="G278" s="15">
        <f t="shared" si="120"/>
        <v>1</v>
      </c>
      <c r="H278" s="15">
        <f t="shared" si="120"/>
        <v>1</v>
      </c>
      <c r="I278" s="15">
        <f t="shared" si="120"/>
        <v>1</v>
      </c>
      <c r="J278" s="15">
        <f t="shared" si="120"/>
        <v>1</v>
      </c>
      <c r="K278" s="15">
        <f t="shared" si="120"/>
        <v>1</v>
      </c>
      <c r="L278" s="15">
        <v>0</v>
      </c>
      <c r="M278" s="15">
        <f t="shared" si="124"/>
        <v>1</v>
      </c>
      <c r="N278" s="15">
        <f>3/6</f>
        <v>0.5</v>
      </c>
      <c r="O278" s="15">
        <f t="shared" ref="O278:P281" si="126">O277</f>
        <v>1</v>
      </c>
      <c r="P278" s="15">
        <f t="shared" si="126"/>
        <v>1</v>
      </c>
      <c r="Q278" s="15">
        <v>0</v>
      </c>
      <c r="R278" s="15">
        <f t="shared" si="121"/>
        <v>1</v>
      </c>
      <c r="S278" s="16" cm="1">
        <f t="array" ref="S278">SUMPRODUCT((1-D278:R278),$D$2:$R$2)</f>
        <v>10543.5</v>
      </c>
    </row>
    <row r="279" spans="1:19" x14ac:dyDescent="0.35">
      <c r="A279" s="23" t="str">
        <f t="shared" si="115"/>
        <v>COAL_OFF_2060_PMR1b</v>
      </c>
      <c r="B279">
        <f t="shared" si="125"/>
        <v>2049</v>
      </c>
      <c r="C279">
        <v>1</v>
      </c>
      <c r="D279" s="15">
        <f t="shared" si="120"/>
        <v>1</v>
      </c>
      <c r="E279" s="15">
        <f t="shared" si="120"/>
        <v>1</v>
      </c>
      <c r="F279" s="15">
        <f t="shared" si="120"/>
        <v>1</v>
      </c>
      <c r="G279" s="15">
        <f t="shared" si="120"/>
        <v>1</v>
      </c>
      <c r="H279" s="15">
        <f t="shared" si="120"/>
        <v>1</v>
      </c>
      <c r="I279" s="15">
        <f t="shared" si="120"/>
        <v>1</v>
      </c>
      <c r="J279" s="15">
        <f t="shared" si="120"/>
        <v>1</v>
      </c>
      <c r="K279" s="15">
        <f t="shared" si="120"/>
        <v>1</v>
      </c>
      <c r="L279" s="15">
        <v>0</v>
      </c>
      <c r="M279" s="15">
        <f t="shared" si="124"/>
        <v>1</v>
      </c>
      <c r="N279" s="15">
        <f>4/6</f>
        <v>0.66666666666666663</v>
      </c>
      <c r="O279" s="15">
        <f t="shared" si="126"/>
        <v>1</v>
      </c>
      <c r="P279" s="15">
        <f t="shared" si="126"/>
        <v>1</v>
      </c>
      <c r="Q279" s="15">
        <v>0</v>
      </c>
      <c r="R279" s="15">
        <f t="shared" si="121"/>
        <v>1</v>
      </c>
      <c r="S279" s="16" cm="1">
        <f t="array" ref="S279">SUMPRODUCT((1-D279:R279),$D$2:$R$2)</f>
        <v>9909</v>
      </c>
    </row>
    <row r="280" spans="1:19" x14ac:dyDescent="0.35">
      <c r="A280" s="23" t="str">
        <f t="shared" si="115"/>
        <v>COAL_OFF_2060_PMR1b</v>
      </c>
      <c r="B280">
        <f t="shared" si="125"/>
        <v>2050</v>
      </c>
      <c r="C280">
        <v>1</v>
      </c>
      <c r="D280" s="15">
        <f t="shared" si="120"/>
        <v>1</v>
      </c>
      <c r="E280" s="15">
        <f t="shared" si="120"/>
        <v>1</v>
      </c>
      <c r="F280" s="15">
        <f t="shared" si="120"/>
        <v>1</v>
      </c>
      <c r="G280" s="15">
        <f t="shared" si="120"/>
        <v>1</v>
      </c>
      <c r="H280" s="15">
        <f t="shared" si="120"/>
        <v>1</v>
      </c>
      <c r="I280" s="15">
        <f t="shared" si="120"/>
        <v>1</v>
      </c>
      <c r="J280" s="15">
        <f t="shared" si="120"/>
        <v>1</v>
      </c>
      <c r="K280" s="15">
        <f t="shared" si="120"/>
        <v>1</v>
      </c>
      <c r="L280" s="15">
        <v>0</v>
      </c>
      <c r="M280" s="15">
        <f t="shared" si="124"/>
        <v>1</v>
      </c>
      <c r="N280" s="15">
        <f>5/6</f>
        <v>0.83333333333333337</v>
      </c>
      <c r="O280" s="15">
        <f t="shared" si="126"/>
        <v>1</v>
      </c>
      <c r="P280" s="15">
        <f t="shared" si="126"/>
        <v>1</v>
      </c>
      <c r="Q280" s="15">
        <v>0</v>
      </c>
      <c r="R280" s="15">
        <f t="shared" si="121"/>
        <v>1</v>
      </c>
      <c r="S280" s="16" cm="1">
        <f t="array" ref="S280">SUMPRODUCT((1-D280:R280),$D$2:$R$2)</f>
        <v>9274.5</v>
      </c>
    </row>
    <row r="281" spans="1:19" x14ac:dyDescent="0.35">
      <c r="A281" s="23" t="str">
        <f t="shared" si="115"/>
        <v>COAL_OFF_2060_PMR1b</v>
      </c>
      <c r="B281">
        <f t="shared" si="125"/>
        <v>2051</v>
      </c>
      <c r="C281">
        <v>1</v>
      </c>
      <c r="D281" s="15">
        <f t="shared" si="120"/>
        <v>1</v>
      </c>
      <c r="E281" s="15">
        <f t="shared" si="120"/>
        <v>1</v>
      </c>
      <c r="F281" s="15">
        <f t="shared" si="120"/>
        <v>1</v>
      </c>
      <c r="G281" s="15">
        <f t="shared" si="120"/>
        <v>1</v>
      </c>
      <c r="H281" s="15">
        <f t="shared" si="120"/>
        <v>1</v>
      </c>
      <c r="I281" s="15">
        <f t="shared" si="120"/>
        <v>1</v>
      </c>
      <c r="J281" s="15">
        <f t="shared" si="120"/>
        <v>1</v>
      </c>
      <c r="K281" s="15">
        <f t="shared" si="120"/>
        <v>1</v>
      </c>
      <c r="L281" s="15">
        <v>0</v>
      </c>
      <c r="M281" s="15">
        <f t="shared" si="124"/>
        <v>1</v>
      </c>
      <c r="N281" s="15">
        <v>1</v>
      </c>
      <c r="O281" s="15">
        <f t="shared" si="126"/>
        <v>1</v>
      </c>
      <c r="P281" s="15">
        <f t="shared" si="126"/>
        <v>1</v>
      </c>
      <c r="Q281" s="15">
        <v>0</v>
      </c>
      <c r="R281" s="15">
        <f t="shared" si="121"/>
        <v>1</v>
      </c>
      <c r="S281" s="16" cm="1">
        <f t="array" ref="S281">SUMPRODUCT((1-D281:R281),$D$2:$R$2)</f>
        <v>8640</v>
      </c>
    </row>
    <row r="282" spans="1:19" x14ac:dyDescent="0.35">
      <c r="A282" s="23" t="str">
        <f t="shared" si="115"/>
        <v>COAL_OFF_2060_PMR1b</v>
      </c>
      <c r="B282">
        <f t="shared" si="125"/>
        <v>2052</v>
      </c>
      <c r="C282">
        <v>1</v>
      </c>
      <c r="D282" s="15">
        <f t="shared" ref="D282:K290" si="127">D281</f>
        <v>1</v>
      </c>
      <c r="E282" s="15">
        <f t="shared" si="127"/>
        <v>1</v>
      </c>
      <c r="F282" s="15">
        <f t="shared" si="127"/>
        <v>1</v>
      </c>
      <c r="G282" s="15">
        <f t="shared" si="127"/>
        <v>1</v>
      </c>
      <c r="H282" s="15">
        <f t="shared" si="127"/>
        <v>1</v>
      </c>
      <c r="I282" s="15">
        <f t="shared" si="127"/>
        <v>1</v>
      </c>
      <c r="J282" s="15">
        <f t="shared" si="127"/>
        <v>1</v>
      </c>
      <c r="K282" s="15">
        <f t="shared" si="127"/>
        <v>1</v>
      </c>
      <c r="L282" s="15">
        <v>0</v>
      </c>
      <c r="M282" s="15">
        <f t="shared" si="124"/>
        <v>1</v>
      </c>
      <c r="N282" s="15">
        <f t="shared" si="124"/>
        <v>1</v>
      </c>
      <c r="O282" s="15">
        <f t="shared" si="124"/>
        <v>1</v>
      </c>
      <c r="P282" s="15">
        <f t="shared" si="124"/>
        <v>1</v>
      </c>
      <c r="Q282" s="15">
        <v>0</v>
      </c>
      <c r="R282" s="15">
        <f t="shared" si="121"/>
        <v>1</v>
      </c>
      <c r="S282" s="16" cm="1">
        <f t="array" ref="S282">SUMPRODUCT((1-D282:R282),$D$2:$R$2)</f>
        <v>8640</v>
      </c>
    </row>
    <row r="283" spans="1:19" x14ac:dyDescent="0.35">
      <c r="A283" s="23" t="str">
        <f t="shared" si="115"/>
        <v>COAL_OFF_2060_PMR1b</v>
      </c>
      <c r="B283">
        <f t="shared" si="125"/>
        <v>2053</v>
      </c>
      <c r="C283">
        <v>1</v>
      </c>
      <c r="D283" s="15">
        <f t="shared" si="127"/>
        <v>1</v>
      </c>
      <c r="E283" s="15">
        <f t="shared" si="127"/>
        <v>1</v>
      </c>
      <c r="F283" s="15">
        <f t="shared" si="127"/>
        <v>1</v>
      </c>
      <c r="G283" s="15">
        <f t="shared" si="127"/>
        <v>1</v>
      </c>
      <c r="H283" s="15">
        <f t="shared" si="127"/>
        <v>1</v>
      </c>
      <c r="I283" s="15">
        <f t="shared" si="127"/>
        <v>1</v>
      </c>
      <c r="J283" s="15">
        <f t="shared" si="127"/>
        <v>1</v>
      </c>
      <c r="K283" s="15">
        <f t="shared" si="127"/>
        <v>1</v>
      </c>
      <c r="L283" s="15">
        <v>0</v>
      </c>
      <c r="M283" s="15">
        <f t="shared" si="124"/>
        <v>1</v>
      </c>
      <c r="N283" s="15">
        <f t="shared" si="124"/>
        <v>1</v>
      </c>
      <c r="O283" s="15">
        <f t="shared" si="124"/>
        <v>1</v>
      </c>
      <c r="P283" s="15">
        <f t="shared" si="124"/>
        <v>1</v>
      </c>
      <c r="Q283" s="15">
        <v>0</v>
      </c>
      <c r="R283" s="15">
        <f t="shared" si="121"/>
        <v>1</v>
      </c>
      <c r="S283" s="16" cm="1">
        <f t="array" ref="S283">SUMPRODUCT((1-D283:R283),$D$2:$R$2)</f>
        <v>8640</v>
      </c>
    </row>
    <row r="284" spans="1:19" x14ac:dyDescent="0.35">
      <c r="A284" s="23" t="str">
        <f t="shared" si="115"/>
        <v>COAL_OFF_2060_PMR1b</v>
      </c>
      <c r="B284">
        <f>B283+1</f>
        <v>2054</v>
      </c>
      <c r="C284">
        <v>1</v>
      </c>
      <c r="D284" s="15">
        <f t="shared" si="127"/>
        <v>1</v>
      </c>
      <c r="E284" s="15">
        <f t="shared" si="127"/>
        <v>1</v>
      </c>
      <c r="F284" s="15">
        <f t="shared" si="127"/>
        <v>1</v>
      </c>
      <c r="G284" s="15">
        <f t="shared" si="127"/>
        <v>1</v>
      </c>
      <c r="H284" s="15">
        <f t="shared" si="127"/>
        <v>1</v>
      </c>
      <c r="I284" s="15">
        <f t="shared" si="127"/>
        <v>1</v>
      </c>
      <c r="J284" s="15">
        <f t="shared" si="127"/>
        <v>1</v>
      </c>
      <c r="K284" s="15">
        <f t="shared" si="127"/>
        <v>1</v>
      </c>
      <c r="L284" s="15">
        <v>0</v>
      </c>
      <c r="M284" s="15">
        <f t="shared" si="124"/>
        <v>1</v>
      </c>
      <c r="N284" s="15">
        <f t="shared" si="124"/>
        <v>1</v>
      </c>
      <c r="O284" s="15">
        <f t="shared" si="124"/>
        <v>1</v>
      </c>
      <c r="P284" s="15">
        <f t="shared" si="124"/>
        <v>1</v>
      </c>
      <c r="Q284" s="15">
        <v>0</v>
      </c>
      <c r="R284" s="15">
        <f t="shared" si="121"/>
        <v>1</v>
      </c>
      <c r="S284" s="16" cm="1">
        <f t="array" ref="S284">SUMPRODUCT((1-D284:R284),$D$2:$R$2)</f>
        <v>8640</v>
      </c>
    </row>
    <row r="285" spans="1:19" x14ac:dyDescent="0.35">
      <c r="A285" s="23" t="str">
        <f t="shared" si="115"/>
        <v>COAL_OFF_2060_PMR1b</v>
      </c>
      <c r="B285">
        <f t="shared" ref="B285:B287" si="128">B284+1</f>
        <v>2055</v>
      </c>
      <c r="C285">
        <v>1</v>
      </c>
      <c r="D285" s="15">
        <f t="shared" si="127"/>
        <v>1</v>
      </c>
      <c r="E285" s="15">
        <f t="shared" si="127"/>
        <v>1</v>
      </c>
      <c r="F285" s="15">
        <f t="shared" si="127"/>
        <v>1</v>
      </c>
      <c r="G285" s="15">
        <f t="shared" si="127"/>
        <v>1</v>
      </c>
      <c r="H285" s="15">
        <f t="shared" si="127"/>
        <v>1</v>
      </c>
      <c r="I285" s="15">
        <f t="shared" si="127"/>
        <v>1</v>
      </c>
      <c r="J285" s="15">
        <f t="shared" si="127"/>
        <v>1</v>
      </c>
      <c r="K285" s="15">
        <f t="shared" si="127"/>
        <v>1</v>
      </c>
      <c r="L285" s="15">
        <v>0</v>
      </c>
      <c r="M285" s="15">
        <f t="shared" si="124"/>
        <v>1</v>
      </c>
      <c r="N285" s="15">
        <f t="shared" si="124"/>
        <v>1</v>
      </c>
      <c r="O285" s="15">
        <f t="shared" si="124"/>
        <v>1</v>
      </c>
      <c r="P285" s="15">
        <f t="shared" si="124"/>
        <v>1</v>
      </c>
      <c r="Q285" s="15">
        <f>1/6</f>
        <v>0.16666666666666666</v>
      </c>
      <c r="R285" s="15">
        <f t="shared" si="121"/>
        <v>1</v>
      </c>
      <c r="S285" s="16" cm="1">
        <f t="array" ref="S285">SUMPRODUCT((1-D285:R285),$D$2:$R$2)</f>
        <v>7920</v>
      </c>
    </row>
    <row r="286" spans="1:19" x14ac:dyDescent="0.35">
      <c r="A286" s="23" t="str">
        <f t="shared" si="115"/>
        <v>COAL_OFF_2060_PMR1b</v>
      </c>
      <c r="B286">
        <f t="shared" si="128"/>
        <v>2056</v>
      </c>
      <c r="C286">
        <v>1</v>
      </c>
      <c r="D286" s="15">
        <f t="shared" si="127"/>
        <v>1</v>
      </c>
      <c r="E286" s="15">
        <f t="shared" si="127"/>
        <v>1</v>
      </c>
      <c r="F286" s="15">
        <f t="shared" si="127"/>
        <v>1</v>
      </c>
      <c r="G286" s="15">
        <f t="shared" si="127"/>
        <v>1</v>
      </c>
      <c r="H286" s="15">
        <f t="shared" si="127"/>
        <v>1</v>
      </c>
      <c r="I286" s="15">
        <f t="shared" si="127"/>
        <v>1</v>
      </c>
      <c r="J286" s="15">
        <f t="shared" si="127"/>
        <v>1</v>
      </c>
      <c r="K286" s="15">
        <f t="shared" si="127"/>
        <v>1</v>
      </c>
      <c r="L286" s="15">
        <f>1/6</f>
        <v>0.16666666666666666</v>
      </c>
      <c r="M286" s="15">
        <f t="shared" si="124"/>
        <v>1</v>
      </c>
      <c r="N286" s="15">
        <f t="shared" si="124"/>
        <v>1</v>
      </c>
      <c r="O286" s="15">
        <f t="shared" si="124"/>
        <v>1</v>
      </c>
      <c r="P286" s="15">
        <f t="shared" si="124"/>
        <v>1</v>
      </c>
      <c r="Q286" s="15">
        <f>2/6</f>
        <v>0.33333333333333331</v>
      </c>
      <c r="R286" s="15">
        <f t="shared" si="121"/>
        <v>1</v>
      </c>
      <c r="S286" s="16" cm="1">
        <f t="array" ref="S286">SUMPRODUCT((1-D286:R286),$D$2:$R$2)</f>
        <v>6480</v>
      </c>
    </row>
    <row r="287" spans="1:19" x14ac:dyDescent="0.35">
      <c r="A287" s="23" t="str">
        <f t="shared" si="115"/>
        <v>COAL_OFF_2060_PMR1b</v>
      </c>
      <c r="B287">
        <f t="shared" si="128"/>
        <v>2057</v>
      </c>
      <c r="C287">
        <v>1</v>
      </c>
      <c r="D287" s="15">
        <f t="shared" si="127"/>
        <v>1</v>
      </c>
      <c r="E287" s="15">
        <f t="shared" si="127"/>
        <v>1</v>
      </c>
      <c r="F287" s="15">
        <f t="shared" si="127"/>
        <v>1</v>
      </c>
      <c r="G287" s="15">
        <f t="shared" si="127"/>
        <v>1</v>
      </c>
      <c r="H287" s="15">
        <f t="shared" si="127"/>
        <v>1</v>
      </c>
      <c r="I287" s="15">
        <f t="shared" si="127"/>
        <v>1</v>
      </c>
      <c r="J287" s="15">
        <f t="shared" si="127"/>
        <v>1</v>
      </c>
      <c r="K287" s="15">
        <f t="shared" si="127"/>
        <v>1</v>
      </c>
      <c r="L287" s="15">
        <f>2/6</f>
        <v>0.33333333333333331</v>
      </c>
      <c r="M287" s="15">
        <f t="shared" si="124"/>
        <v>1</v>
      </c>
      <c r="N287" s="15">
        <f t="shared" si="124"/>
        <v>1</v>
      </c>
      <c r="O287" s="15">
        <f t="shared" si="124"/>
        <v>1</v>
      </c>
      <c r="P287" s="15">
        <f t="shared" si="124"/>
        <v>1</v>
      </c>
      <c r="Q287" s="15">
        <f>3/6</f>
        <v>0.5</v>
      </c>
      <c r="R287" s="15">
        <f t="shared" si="121"/>
        <v>1</v>
      </c>
      <c r="S287" s="16" cm="1">
        <f t="array" ref="S287">SUMPRODUCT((1-D287:R287),$D$2:$R$2)</f>
        <v>5040</v>
      </c>
    </row>
    <row r="288" spans="1:19" x14ac:dyDescent="0.35">
      <c r="A288" s="23" t="str">
        <f t="shared" si="115"/>
        <v>COAL_OFF_2060_PMR1b</v>
      </c>
      <c r="B288">
        <f>B287+1</f>
        <v>2058</v>
      </c>
      <c r="C288">
        <v>1</v>
      </c>
      <c r="D288" s="15">
        <f t="shared" si="127"/>
        <v>1</v>
      </c>
      <c r="E288" s="15">
        <f t="shared" si="127"/>
        <v>1</v>
      </c>
      <c r="F288" s="15">
        <f t="shared" si="127"/>
        <v>1</v>
      </c>
      <c r="G288" s="15">
        <f t="shared" si="127"/>
        <v>1</v>
      </c>
      <c r="H288" s="15">
        <f t="shared" si="127"/>
        <v>1</v>
      </c>
      <c r="I288" s="15">
        <f t="shared" si="127"/>
        <v>1</v>
      </c>
      <c r="J288" s="15">
        <f t="shared" si="127"/>
        <v>1</v>
      </c>
      <c r="K288" s="15">
        <f t="shared" si="127"/>
        <v>1</v>
      </c>
      <c r="L288" s="15">
        <f>3/6</f>
        <v>0.5</v>
      </c>
      <c r="M288" s="15">
        <f t="shared" si="124"/>
        <v>1</v>
      </c>
      <c r="N288" s="15">
        <f t="shared" si="124"/>
        <v>1</v>
      </c>
      <c r="O288" s="15">
        <f t="shared" si="124"/>
        <v>1</v>
      </c>
      <c r="P288" s="15">
        <f t="shared" si="124"/>
        <v>1</v>
      </c>
      <c r="Q288" s="15">
        <f>4/6</f>
        <v>0.66666666666666663</v>
      </c>
      <c r="R288" s="15">
        <f t="shared" si="121"/>
        <v>1</v>
      </c>
      <c r="S288" s="16" cm="1">
        <f t="array" ref="S288">SUMPRODUCT((1-D288:R288),$D$2:$R$2)</f>
        <v>3600</v>
      </c>
    </row>
    <row r="289" spans="1:19" x14ac:dyDescent="0.35">
      <c r="A289" s="23" t="str">
        <f t="shared" si="115"/>
        <v>COAL_OFF_2060_PMR1b</v>
      </c>
      <c r="B289">
        <f t="shared" ref="B289" si="129">B288+1</f>
        <v>2059</v>
      </c>
      <c r="C289">
        <v>1</v>
      </c>
      <c r="D289" s="15">
        <f t="shared" si="127"/>
        <v>1</v>
      </c>
      <c r="E289" s="15">
        <f t="shared" si="127"/>
        <v>1</v>
      </c>
      <c r="F289" s="15">
        <f t="shared" si="127"/>
        <v>1</v>
      </c>
      <c r="G289" s="15">
        <f t="shared" si="127"/>
        <v>1</v>
      </c>
      <c r="H289" s="15">
        <f t="shared" si="127"/>
        <v>1</v>
      </c>
      <c r="I289" s="15">
        <f t="shared" si="127"/>
        <v>1</v>
      </c>
      <c r="J289" s="15">
        <f t="shared" si="127"/>
        <v>1</v>
      </c>
      <c r="K289" s="15">
        <f t="shared" si="127"/>
        <v>1</v>
      </c>
      <c r="L289" s="15">
        <f>4/6</f>
        <v>0.66666666666666663</v>
      </c>
      <c r="M289" s="15">
        <f t="shared" ref="M289:Q290" si="130">M288</f>
        <v>1</v>
      </c>
      <c r="N289" s="15">
        <f t="shared" si="130"/>
        <v>1</v>
      </c>
      <c r="O289" s="15">
        <f t="shared" si="130"/>
        <v>1</v>
      </c>
      <c r="P289" s="15">
        <f t="shared" si="130"/>
        <v>1</v>
      </c>
      <c r="Q289" s="15">
        <v>1</v>
      </c>
      <c r="R289" s="15">
        <f t="shared" si="121"/>
        <v>1</v>
      </c>
      <c r="S289" s="16" cm="1">
        <f t="array" ref="S289">SUMPRODUCT((1-D289:R289),$D$2:$R$2)</f>
        <v>1440.0000000000002</v>
      </c>
    </row>
    <row r="290" spans="1:19" x14ac:dyDescent="0.35">
      <c r="A290" s="23" t="str">
        <f t="shared" si="115"/>
        <v>COAL_OFF_2060_PMR1b</v>
      </c>
      <c r="B290">
        <f>B289+1</f>
        <v>2060</v>
      </c>
      <c r="C290">
        <v>1</v>
      </c>
      <c r="D290" s="15">
        <f t="shared" si="127"/>
        <v>1</v>
      </c>
      <c r="E290" s="15">
        <f t="shared" si="127"/>
        <v>1</v>
      </c>
      <c r="F290" s="15">
        <f t="shared" si="127"/>
        <v>1</v>
      </c>
      <c r="G290" s="15">
        <f t="shared" si="127"/>
        <v>1</v>
      </c>
      <c r="H290" s="15">
        <f t="shared" si="127"/>
        <v>1</v>
      </c>
      <c r="I290" s="15">
        <f t="shared" si="127"/>
        <v>1</v>
      </c>
      <c r="J290" s="15">
        <f t="shared" si="127"/>
        <v>1</v>
      </c>
      <c r="K290" s="15">
        <f t="shared" si="127"/>
        <v>1</v>
      </c>
      <c r="L290" s="15">
        <v>1</v>
      </c>
      <c r="M290" s="15">
        <f t="shared" si="130"/>
        <v>1</v>
      </c>
      <c r="N290" s="15">
        <f t="shared" si="130"/>
        <v>1</v>
      </c>
      <c r="O290" s="15">
        <f t="shared" si="130"/>
        <v>1</v>
      </c>
      <c r="P290" s="15">
        <f t="shared" si="130"/>
        <v>1</v>
      </c>
      <c r="Q290" s="15">
        <f t="shared" si="130"/>
        <v>1</v>
      </c>
      <c r="R290" s="15">
        <f t="shared" si="121"/>
        <v>1</v>
      </c>
      <c r="S290" s="16" cm="1">
        <f t="array" ref="S290">SUMPRODUCT((1-D290:R290),$D$2:$R$2)</f>
        <v>0</v>
      </c>
    </row>
  </sheetData>
  <conditionalFormatting sqref="D3:R38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9:R7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75:R11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11:R14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47:R182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83:R21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19:R25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55:R29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51181102362204689" footer="0.51181102362204689"/>
  <pageSetup orientation="portrait" horizontalDpi="300" verticalDpi="300"/>
  <customProperties>
    <customPr name="LastActive" r:id="rId1"/>
  </customPropertie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8"/>
  <sheetViews>
    <sheetView zoomScale="120" workbookViewId="0"/>
  </sheetViews>
  <sheetFormatPr defaultColWidth="8.6328125" defaultRowHeight="14.5" x14ac:dyDescent="0.35"/>
  <cols>
    <col min="1" max="1" width="15.36328125" customWidth="1"/>
    <col min="3" max="3" width="6.90625" customWidth="1"/>
    <col min="4" max="4" width="7" customWidth="1"/>
    <col min="5" max="5" width="9.36328125" customWidth="1"/>
    <col min="7" max="7" width="10.36328125" customWidth="1"/>
    <col min="19" max="19" width="19.90625" customWidth="1"/>
    <col min="20" max="20" width="20.54296875" customWidth="1"/>
    <col min="21" max="21" width="20.453125" customWidth="1"/>
    <col min="22" max="22" width="9.54296875" customWidth="1"/>
  </cols>
  <sheetData>
    <row r="1" spans="1:22" x14ac:dyDescent="0.35">
      <c r="A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3" t="s">
        <v>6</v>
      </c>
      <c r="H1" s="2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4" t="s">
        <v>14</v>
      </c>
      <c r="P1" s="3" t="s">
        <v>15</v>
      </c>
      <c r="Q1" s="4" t="s">
        <v>16</v>
      </c>
      <c r="R1" s="3" t="s">
        <v>17</v>
      </c>
      <c r="S1" s="5" t="s">
        <v>22</v>
      </c>
      <c r="T1" s="5" t="s">
        <v>23</v>
      </c>
      <c r="U1" s="5" t="s">
        <v>24</v>
      </c>
      <c r="V1" s="5" t="s">
        <v>18</v>
      </c>
    </row>
    <row r="2" spans="1:22" x14ac:dyDescent="0.35">
      <c r="A2" s="1" t="s">
        <v>19</v>
      </c>
      <c r="B2" s="1"/>
      <c r="C2" s="1"/>
      <c r="D2" s="1">
        <v>2100</v>
      </c>
      <c r="E2" s="1">
        <v>1481</v>
      </c>
      <c r="F2" s="1">
        <v>2875</v>
      </c>
      <c r="G2" s="1">
        <v>570</v>
      </c>
      <c r="H2" s="1">
        <v>1098</v>
      </c>
      <c r="I2" s="1">
        <v>160</v>
      </c>
      <c r="J2" s="1">
        <v>3840</v>
      </c>
      <c r="K2" s="1">
        <v>2640</v>
      </c>
      <c r="L2" s="1">
        <v>4320</v>
      </c>
      <c r="M2" s="1">
        <v>3558</v>
      </c>
      <c r="N2" s="1">
        <v>3978</v>
      </c>
      <c r="O2" s="1">
        <v>3690</v>
      </c>
      <c r="P2" s="1">
        <v>3450</v>
      </c>
      <c r="Q2" s="1">
        <v>4320</v>
      </c>
      <c r="R2" s="1">
        <v>3510</v>
      </c>
      <c r="S2" s="1">
        <f>F2+M2+O2+Q2</f>
        <v>14443</v>
      </c>
      <c r="T2" s="1">
        <f>D2+H2+J2+N2</f>
        <v>11016</v>
      </c>
      <c r="U2" s="1">
        <f>E2+G2+I2+K2+L2+P2+R2</f>
        <v>16131</v>
      </c>
      <c r="V2" s="1">
        <f>SUM(D2:R2)</f>
        <v>41590</v>
      </c>
    </row>
    <row r="3" spans="1:22" x14ac:dyDescent="0.35">
      <c r="A3" s="12" t="s">
        <v>25</v>
      </c>
      <c r="B3">
        <v>2025</v>
      </c>
      <c r="C3">
        <v>1</v>
      </c>
      <c r="D3" s="8">
        <v>0</v>
      </c>
      <c r="E3" s="8">
        <v>0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0</v>
      </c>
      <c r="M3" s="8">
        <v>0</v>
      </c>
      <c r="N3" s="8">
        <v>0</v>
      </c>
      <c r="O3" s="8">
        <v>0</v>
      </c>
      <c r="P3" s="8">
        <v>0</v>
      </c>
      <c r="Q3" s="8">
        <v>0</v>
      </c>
      <c r="R3" s="8">
        <v>0</v>
      </c>
      <c r="S3" s="8">
        <f t="shared" ref="S3:S9" si="0">(F3*$F$2+M3*$M$2+O3*$O$2+Q3*$Q$2)/$S$2</f>
        <v>0</v>
      </c>
      <c r="T3" s="8">
        <f t="shared" ref="T3:T9" si="1">(D3*$D$2+H3*$H$2+J3*$J$2+N3*$N$2)/$T$2</f>
        <v>0</v>
      </c>
      <c r="U3" s="8">
        <f t="shared" ref="U3:U9" si="2">(E3*$E$2+G3*$G$2+I3*$I$2+K3*$K$2+L3*$L$2+P3*$P$2+R3*$R$2)/$U$2</f>
        <v>0</v>
      </c>
      <c r="V3" s="9">
        <f t="array" ref="V3">SUMPRODUCT((1-D3:R3),$D$2:$R$2)</f>
        <v>41590</v>
      </c>
    </row>
    <row r="4" spans="1:22" x14ac:dyDescent="0.35">
      <c r="A4" s="12" t="str">
        <f t="shared" ref="A4:A10" si="3">A3</f>
        <v>COAL_OFF_2050</v>
      </c>
      <c r="B4">
        <f t="shared" ref="B4:B10" si="4">B3+1</f>
        <v>2026</v>
      </c>
      <c r="C4">
        <v>1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f t="shared" si="0"/>
        <v>0</v>
      </c>
      <c r="T4" s="8">
        <f t="shared" si="1"/>
        <v>0</v>
      </c>
      <c r="U4" s="8">
        <f t="shared" si="2"/>
        <v>0</v>
      </c>
      <c r="V4" s="9">
        <f t="array" ref="V4">SUMPRODUCT((1-D4:R4),$D$2:$R$2)</f>
        <v>41590</v>
      </c>
    </row>
    <row r="5" spans="1:22" x14ac:dyDescent="0.35">
      <c r="A5" s="12" t="str">
        <f t="shared" si="3"/>
        <v>COAL_OFF_2050</v>
      </c>
      <c r="B5">
        <f t="shared" si="4"/>
        <v>2027</v>
      </c>
      <c r="C5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f t="shared" si="0"/>
        <v>0</v>
      </c>
      <c r="T5" s="8">
        <f t="shared" si="1"/>
        <v>0</v>
      </c>
      <c r="U5" s="8">
        <f t="shared" si="2"/>
        <v>0</v>
      </c>
      <c r="V5" s="9">
        <f t="array" ref="V5">SUMPRODUCT((1-D5:R5),$D$2:$R$2)</f>
        <v>41590</v>
      </c>
    </row>
    <row r="6" spans="1:22" x14ac:dyDescent="0.35">
      <c r="A6" s="12" t="str">
        <f t="shared" si="3"/>
        <v>COAL_OFF_2050</v>
      </c>
      <c r="B6">
        <f t="shared" si="4"/>
        <v>2028</v>
      </c>
      <c r="C6">
        <v>1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f t="shared" si="0"/>
        <v>0</v>
      </c>
      <c r="T6" s="8">
        <f t="shared" si="1"/>
        <v>0</v>
      </c>
      <c r="U6" s="8">
        <f t="shared" si="2"/>
        <v>0</v>
      </c>
      <c r="V6" s="9">
        <f t="array" ref="V6">SUMPRODUCT((1-D6:R6),$D$2:$R$2)</f>
        <v>41590</v>
      </c>
    </row>
    <row r="7" spans="1:22" x14ac:dyDescent="0.35">
      <c r="A7" s="12" t="str">
        <f t="shared" si="3"/>
        <v>COAL_OFF_2050</v>
      </c>
      <c r="B7">
        <f t="shared" si="4"/>
        <v>2029</v>
      </c>
      <c r="C7">
        <v>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f t="shared" si="0"/>
        <v>0</v>
      </c>
      <c r="T7" s="8">
        <f t="shared" si="1"/>
        <v>0</v>
      </c>
      <c r="U7" s="8">
        <f t="shared" si="2"/>
        <v>0</v>
      </c>
      <c r="V7" s="9">
        <f t="array" ref="V7">SUMPRODUCT((1-D7:R7),$D$2:$R$2)</f>
        <v>41590</v>
      </c>
    </row>
    <row r="8" spans="1:22" x14ac:dyDescent="0.35">
      <c r="A8" s="12" t="str">
        <f t="shared" si="3"/>
        <v>COAL_OFF_2050</v>
      </c>
      <c r="B8">
        <f t="shared" si="4"/>
        <v>2030</v>
      </c>
      <c r="C8">
        <v>1</v>
      </c>
      <c r="D8" s="8">
        <f t="shared" ref="D8:D10" si="5">5/6</f>
        <v>0.83333333333333337</v>
      </c>
      <c r="E8" s="8">
        <f t="shared" ref="E8:E9" si="6">4/6</f>
        <v>0.66666666666666663</v>
      </c>
      <c r="F8" s="8">
        <v>0</v>
      </c>
      <c r="G8" s="8">
        <v>1</v>
      </c>
      <c r="H8" s="8">
        <v>1</v>
      </c>
      <c r="I8" s="8">
        <v>1</v>
      </c>
      <c r="J8" s="8">
        <v>0</v>
      </c>
      <c r="K8" s="8">
        <v>1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f t="shared" si="0"/>
        <v>0</v>
      </c>
      <c r="T8" s="8">
        <f t="shared" si="1"/>
        <v>0.25853304284676831</v>
      </c>
      <c r="U8" s="8">
        <f t="shared" si="2"/>
        <v>0.27012171181782485</v>
      </c>
      <c r="V8" s="9">
        <f t="array" ref="V8">SUMPRODUCT((1-D8:R8),$D$2:$R$2)</f>
        <v>34384.666666666672</v>
      </c>
    </row>
    <row r="9" spans="1:22" x14ac:dyDescent="0.35">
      <c r="A9" s="12" t="str">
        <f t="shared" si="3"/>
        <v>COAL_OFF_2050</v>
      </c>
      <c r="B9">
        <f t="shared" si="4"/>
        <v>2031</v>
      </c>
      <c r="C9">
        <v>1</v>
      </c>
      <c r="D9" s="8">
        <f t="shared" si="5"/>
        <v>0.83333333333333337</v>
      </c>
      <c r="E9" s="8">
        <f t="shared" si="6"/>
        <v>0.66666666666666663</v>
      </c>
      <c r="F9" s="8">
        <v>0</v>
      </c>
      <c r="G9" s="8">
        <f t="shared" ref="G9:G10" si="7">G8</f>
        <v>1</v>
      </c>
      <c r="H9" s="8">
        <f t="shared" ref="H9:H10" si="8">H8</f>
        <v>1</v>
      </c>
      <c r="I9" s="8">
        <f t="shared" ref="I9:I10" si="9">I8</f>
        <v>1</v>
      </c>
      <c r="J9" s="8">
        <v>0</v>
      </c>
      <c r="K9" s="8">
        <f t="shared" ref="K9:K10" si="10">K8</f>
        <v>1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f>2/6</f>
        <v>0.33333333333333331</v>
      </c>
      <c r="S9" s="8">
        <f t="shared" si="0"/>
        <v>0</v>
      </c>
      <c r="T9" s="8">
        <f t="shared" si="1"/>
        <v>0.25853304284676831</v>
      </c>
      <c r="U9" s="8">
        <f t="shared" si="2"/>
        <v>0.34265286301737852</v>
      </c>
      <c r="V9" s="9">
        <f t="array" ref="V9">SUMPRODUCT((1-D9:R9),$D$2:$R$2)</f>
        <v>33214.666666666672</v>
      </c>
    </row>
    <row r="10" spans="1:22" x14ac:dyDescent="0.35">
      <c r="A10" s="12" t="str">
        <f t="shared" si="3"/>
        <v>COAL_OFF_2050</v>
      </c>
      <c r="B10">
        <f t="shared" si="4"/>
        <v>2032</v>
      </c>
      <c r="C10">
        <v>1</v>
      </c>
      <c r="D10" s="8">
        <f t="shared" si="5"/>
        <v>0.83333333333333337</v>
      </c>
      <c r="E10" s="8">
        <f>E9+1/6</f>
        <v>0.83333333333333326</v>
      </c>
      <c r="F10" s="8">
        <v>0</v>
      </c>
      <c r="G10" s="8">
        <f t="shared" si="7"/>
        <v>1</v>
      </c>
      <c r="H10" s="8">
        <f t="shared" si="8"/>
        <v>1</v>
      </c>
      <c r="I10" s="8">
        <f t="shared" si="9"/>
        <v>1</v>
      </c>
      <c r="J10" s="8">
        <v>0</v>
      </c>
      <c r="K10" s="8">
        <f t="shared" si="10"/>
        <v>1</v>
      </c>
      <c r="L10" s="8">
        <v>0</v>
      </c>
      <c r="M10" s="8">
        <v>0</v>
      </c>
      <c r="N10" s="8">
        <v>0</v>
      </c>
      <c r="O10" s="8">
        <v>0</v>
      </c>
      <c r="P10" s="8">
        <f t="shared" ref="P10:P14" si="11">0.5</f>
        <v>0.5</v>
      </c>
      <c r="Q10" s="8">
        <v>0</v>
      </c>
      <c r="R10" s="8">
        <f>R9</f>
        <v>0.33333333333333331</v>
      </c>
      <c r="S10" s="8">
        <f t="shared" ref="S10:S38" si="12">(F10*$F$2+M10*$M$2+O10*$O$2+Q10*$Q$2)/$S$2</f>
        <v>0</v>
      </c>
      <c r="T10" s="8">
        <f t="shared" ref="T10:T38" si="13">(D10*$D$2+H10*$H$2+J10*$J$2+N10*$N$2)/$T$2</f>
        <v>0.25853304284676831</v>
      </c>
      <c r="U10" s="8">
        <f t="shared" ref="U10:U38" si="14">(E10*$E$2+G10*$G$2+I10*$I$2+K10*$K$2+L10*$L$2+P10*$P$2+R10*$R$2)/$U$2</f>
        <v>0.46489161655611344</v>
      </c>
      <c r="V10" s="9">
        <f t="array" ref="V10">SUMPRODUCT((1-D10:R10),$D$2:$R$2)</f>
        <v>31242.833333333336</v>
      </c>
    </row>
    <row r="11" spans="1:22" x14ac:dyDescent="0.35">
      <c r="A11" s="12" t="str">
        <f t="shared" ref="A11:A38" si="15">A10</f>
        <v>COAL_OFF_2050</v>
      </c>
      <c r="B11">
        <f t="shared" ref="B11:B38" si="16">B10+1</f>
        <v>2033</v>
      </c>
      <c r="C11">
        <v>1</v>
      </c>
      <c r="D11" s="8">
        <v>1</v>
      </c>
      <c r="E11" s="8">
        <v>1</v>
      </c>
      <c r="F11" s="8">
        <v>0</v>
      </c>
      <c r="G11" s="8">
        <f t="shared" ref="G11:G38" si="17">G10</f>
        <v>1</v>
      </c>
      <c r="H11" s="8">
        <f t="shared" ref="H11:H38" si="18">H10</f>
        <v>1</v>
      </c>
      <c r="I11" s="8">
        <f t="shared" ref="I11:I38" si="19">I10</f>
        <v>1</v>
      </c>
      <c r="J11" s="8">
        <v>0</v>
      </c>
      <c r="K11" s="8">
        <f t="shared" ref="K11:K38" si="20">K10</f>
        <v>1</v>
      </c>
      <c r="L11" s="8">
        <v>0</v>
      </c>
      <c r="M11" s="8">
        <v>0</v>
      </c>
      <c r="N11" s="8">
        <v>0</v>
      </c>
      <c r="O11" s="8">
        <v>0</v>
      </c>
      <c r="P11" s="8">
        <f t="shared" si="11"/>
        <v>0.5</v>
      </c>
      <c r="Q11" s="8">
        <v>0</v>
      </c>
      <c r="R11" s="8">
        <f>5/6</f>
        <v>0.83333333333333337</v>
      </c>
      <c r="S11" s="8">
        <f t="shared" si="12"/>
        <v>0</v>
      </c>
      <c r="T11" s="8">
        <f t="shared" si="13"/>
        <v>0.29030501089324617</v>
      </c>
      <c r="U11" s="8">
        <f t="shared" si="14"/>
        <v>0.58899014320252929</v>
      </c>
      <c r="V11" s="9">
        <f t="array" ref="V11">SUMPRODUCT((1-D11:R11),$D$2:$R$2)</f>
        <v>28891</v>
      </c>
    </row>
    <row r="12" spans="1:22" x14ac:dyDescent="0.35">
      <c r="A12" s="12" t="str">
        <f t="shared" si="15"/>
        <v>COAL_OFF_2050</v>
      </c>
      <c r="B12">
        <f t="shared" si="16"/>
        <v>2034</v>
      </c>
      <c r="C12">
        <v>1</v>
      </c>
      <c r="D12" s="8">
        <f t="shared" ref="D12:D38" si="21">D11</f>
        <v>1</v>
      </c>
      <c r="E12" s="8">
        <f t="shared" ref="E12:E38" si="22">E11</f>
        <v>1</v>
      </c>
      <c r="F12" s="8">
        <v>0</v>
      </c>
      <c r="G12" s="8">
        <f t="shared" si="17"/>
        <v>1</v>
      </c>
      <c r="H12" s="8">
        <f t="shared" si="18"/>
        <v>1</v>
      </c>
      <c r="I12" s="8">
        <f t="shared" si="19"/>
        <v>1</v>
      </c>
      <c r="J12" s="8">
        <v>0</v>
      </c>
      <c r="K12" s="8">
        <f t="shared" si="20"/>
        <v>1</v>
      </c>
      <c r="L12" s="8">
        <v>0</v>
      </c>
      <c r="M12" s="8">
        <v>0</v>
      </c>
      <c r="N12" s="8">
        <v>0</v>
      </c>
      <c r="O12" s="8">
        <v>0</v>
      </c>
      <c r="P12" s="8">
        <f t="shared" si="11"/>
        <v>0.5</v>
      </c>
      <c r="Q12" s="8">
        <v>0</v>
      </c>
      <c r="R12" s="8">
        <v>1</v>
      </c>
      <c r="S12" s="8">
        <f t="shared" si="12"/>
        <v>0</v>
      </c>
      <c r="T12" s="8">
        <f t="shared" si="13"/>
        <v>0.29030501089324617</v>
      </c>
      <c r="U12" s="8">
        <f t="shared" si="14"/>
        <v>0.62525571880230613</v>
      </c>
      <c r="V12" s="9">
        <f t="array" ref="V12">SUMPRODUCT((1-D12:R12),$D$2:$R$2)</f>
        <v>28306</v>
      </c>
    </row>
    <row r="13" spans="1:22" x14ac:dyDescent="0.35">
      <c r="A13" s="12" t="str">
        <f t="shared" si="15"/>
        <v>COAL_OFF_2050</v>
      </c>
      <c r="B13">
        <f t="shared" si="16"/>
        <v>2035</v>
      </c>
      <c r="C13">
        <v>1</v>
      </c>
      <c r="D13" s="8">
        <f t="shared" si="21"/>
        <v>1</v>
      </c>
      <c r="E13" s="8">
        <f t="shared" si="22"/>
        <v>1</v>
      </c>
      <c r="F13" s="8">
        <f>2/5</f>
        <v>0.4</v>
      </c>
      <c r="G13" s="8">
        <f t="shared" si="17"/>
        <v>1</v>
      </c>
      <c r="H13" s="8">
        <f t="shared" si="18"/>
        <v>1</v>
      </c>
      <c r="I13" s="8">
        <f t="shared" si="19"/>
        <v>1</v>
      </c>
      <c r="J13" s="8">
        <v>0</v>
      </c>
      <c r="K13" s="8">
        <f t="shared" si="20"/>
        <v>1</v>
      </c>
      <c r="L13" s="8">
        <v>0</v>
      </c>
      <c r="M13" s="8">
        <v>0</v>
      </c>
      <c r="N13" s="8">
        <v>0</v>
      </c>
      <c r="O13" s="8">
        <v>0</v>
      </c>
      <c r="P13" s="8">
        <f t="shared" si="11"/>
        <v>0.5</v>
      </c>
      <c r="Q13" s="8">
        <v>0</v>
      </c>
      <c r="R13" s="8">
        <f t="shared" ref="R13:R38" si="23">R12</f>
        <v>1</v>
      </c>
      <c r="S13" s="8">
        <f t="shared" si="12"/>
        <v>7.9623346950079624E-2</v>
      </c>
      <c r="T13" s="8">
        <f t="shared" si="13"/>
        <v>0.29030501089324617</v>
      </c>
      <c r="U13" s="8">
        <f t="shared" si="14"/>
        <v>0.62525571880230613</v>
      </c>
      <c r="V13" s="9">
        <f t="array" ref="V13">SUMPRODUCT((1-D13:R13),$D$2:$R$2)</f>
        <v>27156</v>
      </c>
    </row>
    <row r="14" spans="1:22" x14ac:dyDescent="0.35">
      <c r="A14" s="12" t="str">
        <f t="shared" si="15"/>
        <v>COAL_OFF_2050</v>
      </c>
      <c r="B14">
        <f t="shared" si="16"/>
        <v>2036</v>
      </c>
      <c r="C14">
        <v>1</v>
      </c>
      <c r="D14" s="8">
        <f t="shared" si="21"/>
        <v>1</v>
      </c>
      <c r="E14" s="8">
        <f t="shared" si="22"/>
        <v>1</v>
      </c>
      <c r="F14" s="8">
        <v>1</v>
      </c>
      <c r="G14" s="8">
        <f t="shared" si="17"/>
        <v>1</v>
      </c>
      <c r="H14" s="8">
        <f t="shared" si="18"/>
        <v>1</v>
      </c>
      <c r="I14" s="8">
        <f t="shared" si="19"/>
        <v>1</v>
      </c>
      <c r="J14" s="8">
        <v>0</v>
      </c>
      <c r="K14" s="8">
        <f t="shared" si="20"/>
        <v>1</v>
      </c>
      <c r="L14" s="8">
        <v>0</v>
      </c>
      <c r="M14" s="8">
        <v>0</v>
      </c>
      <c r="N14" s="8">
        <v>0</v>
      </c>
      <c r="O14" s="8">
        <v>0</v>
      </c>
      <c r="P14" s="8">
        <f t="shared" si="11"/>
        <v>0.5</v>
      </c>
      <c r="Q14" s="8">
        <v>0</v>
      </c>
      <c r="R14" s="8">
        <f t="shared" si="23"/>
        <v>1</v>
      </c>
      <c r="S14" s="8">
        <f t="shared" si="12"/>
        <v>0.19905836737519905</v>
      </c>
      <c r="T14" s="8">
        <f t="shared" si="13"/>
        <v>0.29030501089324617</v>
      </c>
      <c r="U14" s="8">
        <f t="shared" si="14"/>
        <v>0.62525571880230613</v>
      </c>
      <c r="V14" s="9">
        <f t="array" ref="V14">SUMPRODUCT((1-D14:R14),$D$2:$R$2)</f>
        <v>25431</v>
      </c>
    </row>
    <row r="15" spans="1:22" x14ac:dyDescent="0.35">
      <c r="A15" s="12" t="str">
        <f t="shared" si="15"/>
        <v>COAL_OFF_2050</v>
      </c>
      <c r="B15">
        <f t="shared" si="16"/>
        <v>2037</v>
      </c>
      <c r="C15">
        <v>1</v>
      </c>
      <c r="D15" s="8">
        <f t="shared" si="21"/>
        <v>1</v>
      </c>
      <c r="E15" s="8">
        <f t="shared" si="22"/>
        <v>1</v>
      </c>
      <c r="F15" s="8">
        <f t="shared" ref="F15:F38" si="24">F14</f>
        <v>1</v>
      </c>
      <c r="G15" s="8">
        <f t="shared" si="17"/>
        <v>1</v>
      </c>
      <c r="H15" s="8">
        <f t="shared" si="18"/>
        <v>1</v>
      </c>
      <c r="I15" s="8">
        <f t="shared" si="19"/>
        <v>1</v>
      </c>
      <c r="J15" s="8">
        <v>0</v>
      </c>
      <c r="K15" s="8">
        <f t="shared" si="20"/>
        <v>1</v>
      </c>
      <c r="L15" s="8">
        <v>0</v>
      </c>
      <c r="M15" s="8">
        <v>0</v>
      </c>
      <c r="N15" s="8">
        <v>0</v>
      </c>
      <c r="O15" s="8">
        <v>0</v>
      </c>
      <c r="P15" s="8">
        <v>1</v>
      </c>
      <c r="Q15" s="8">
        <v>0</v>
      </c>
      <c r="R15" s="8">
        <f t="shared" si="23"/>
        <v>1</v>
      </c>
      <c r="S15" s="8">
        <f t="shared" si="12"/>
        <v>0.19905836737519905</v>
      </c>
      <c r="T15" s="8">
        <f t="shared" si="13"/>
        <v>0.29030501089324617</v>
      </c>
      <c r="U15" s="8">
        <f t="shared" si="14"/>
        <v>0.7321926724939557</v>
      </c>
      <c r="V15" s="9">
        <f t="array" ref="V15">SUMPRODUCT((1-D15:R15),$D$2:$R$2)</f>
        <v>23706</v>
      </c>
    </row>
    <row r="16" spans="1:22" x14ac:dyDescent="0.35">
      <c r="A16" s="12" t="str">
        <f t="shared" si="15"/>
        <v>COAL_OFF_2050</v>
      </c>
      <c r="B16">
        <f t="shared" si="16"/>
        <v>2038</v>
      </c>
      <c r="C16">
        <v>1</v>
      </c>
      <c r="D16" s="8">
        <f t="shared" si="21"/>
        <v>1</v>
      </c>
      <c r="E16" s="8">
        <f t="shared" si="22"/>
        <v>1</v>
      </c>
      <c r="F16" s="8">
        <f t="shared" si="24"/>
        <v>1</v>
      </c>
      <c r="G16" s="8">
        <f t="shared" si="17"/>
        <v>1</v>
      </c>
      <c r="H16" s="8">
        <f t="shared" si="18"/>
        <v>1</v>
      </c>
      <c r="I16" s="8">
        <f t="shared" si="19"/>
        <v>1</v>
      </c>
      <c r="J16" s="8">
        <f>2/6</f>
        <v>0.33333333333333331</v>
      </c>
      <c r="K16" s="8">
        <f t="shared" si="20"/>
        <v>1</v>
      </c>
      <c r="L16" s="8">
        <v>0</v>
      </c>
      <c r="M16" s="8">
        <v>0</v>
      </c>
      <c r="N16" s="8">
        <v>0</v>
      </c>
      <c r="O16" s="8">
        <v>0</v>
      </c>
      <c r="P16" s="8">
        <f t="shared" ref="P16:P38" si="25">P15</f>
        <v>1</v>
      </c>
      <c r="Q16" s="8">
        <v>0</v>
      </c>
      <c r="R16" s="8">
        <f t="shared" si="23"/>
        <v>1</v>
      </c>
      <c r="S16" s="8">
        <f t="shared" si="12"/>
        <v>0.19905836737519905</v>
      </c>
      <c r="T16" s="8">
        <f t="shared" si="13"/>
        <v>0.40649963689179375</v>
      </c>
      <c r="U16" s="8">
        <f t="shared" si="14"/>
        <v>0.7321926724939557</v>
      </c>
      <c r="V16" s="9">
        <f t="array" ref="V16">SUMPRODUCT((1-D16:R16),$D$2:$R$2)</f>
        <v>22426</v>
      </c>
    </row>
    <row r="17" spans="1:22" x14ac:dyDescent="0.35">
      <c r="A17" s="12" t="str">
        <f t="shared" si="15"/>
        <v>COAL_OFF_2050</v>
      </c>
      <c r="B17">
        <f t="shared" si="16"/>
        <v>2039</v>
      </c>
      <c r="C17">
        <v>1</v>
      </c>
      <c r="D17" s="8">
        <f t="shared" si="21"/>
        <v>1</v>
      </c>
      <c r="E17" s="8">
        <f t="shared" si="22"/>
        <v>1</v>
      </c>
      <c r="F17" s="8">
        <f t="shared" si="24"/>
        <v>1</v>
      </c>
      <c r="G17" s="8">
        <f t="shared" si="17"/>
        <v>1</v>
      </c>
      <c r="H17" s="8">
        <f t="shared" si="18"/>
        <v>1</v>
      </c>
      <c r="I17" s="8">
        <f t="shared" si="19"/>
        <v>1</v>
      </c>
      <c r="J17" s="8">
        <f>J16+1/6</f>
        <v>0.5</v>
      </c>
      <c r="K17" s="8">
        <f t="shared" si="20"/>
        <v>1</v>
      </c>
      <c r="L17" s="8">
        <v>0</v>
      </c>
      <c r="M17" s="8">
        <f>2/6</f>
        <v>0.33333333333333331</v>
      </c>
      <c r="N17" s="8">
        <v>0</v>
      </c>
      <c r="O17" s="8">
        <v>0</v>
      </c>
      <c r="P17" s="8">
        <f t="shared" si="25"/>
        <v>1</v>
      </c>
      <c r="Q17" s="8">
        <v>0</v>
      </c>
      <c r="R17" s="8">
        <f t="shared" si="23"/>
        <v>1</v>
      </c>
      <c r="S17" s="8">
        <f t="shared" si="12"/>
        <v>0.28117427127328115</v>
      </c>
      <c r="T17" s="8">
        <f t="shared" si="13"/>
        <v>0.46459694989106753</v>
      </c>
      <c r="U17" s="8">
        <f t="shared" si="14"/>
        <v>0.7321926724939557</v>
      </c>
      <c r="V17" s="9">
        <f t="array" ref="V17">SUMPRODUCT((1-D17:R17),$D$2:$R$2)</f>
        <v>20600</v>
      </c>
    </row>
    <row r="18" spans="1:22" x14ac:dyDescent="0.35">
      <c r="A18" s="12" t="str">
        <f t="shared" si="15"/>
        <v>COAL_OFF_2050</v>
      </c>
      <c r="B18">
        <f t="shared" si="16"/>
        <v>2040</v>
      </c>
      <c r="C18">
        <v>1</v>
      </c>
      <c r="D18" s="8">
        <f t="shared" si="21"/>
        <v>1</v>
      </c>
      <c r="E18" s="8">
        <f t="shared" si="22"/>
        <v>1</v>
      </c>
      <c r="F18" s="8">
        <f t="shared" si="24"/>
        <v>1</v>
      </c>
      <c r="G18" s="8">
        <f t="shared" si="17"/>
        <v>1</v>
      </c>
      <c r="H18" s="8">
        <f t="shared" si="18"/>
        <v>1</v>
      </c>
      <c r="I18" s="8">
        <f t="shared" si="19"/>
        <v>1</v>
      </c>
      <c r="J18" s="8">
        <v>0.5</v>
      </c>
      <c r="K18" s="8">
        <f t="shared" si="20"/>
        <v>1</v>
      </c>
      <c r="L18" s="8">
        <v>0</v>
      </c>
      <c r="M18" s="8">
        <f>4/6</f>
        <v>0.66666666666666663</v>
      </c>
      <c r="N18" s="8">
        <v>0</v>
      </c>
      <c r="O18" s="8">
        <v>0</v>
      </c>
      <c r="P18" s="8">
        <f t="shared" si="25"/>
        <v>1</v>
      </c>
      <c r="Q18" s="8">
        <v>0</v>
      </c>
      <c r="R18" s="8">
        <f t="shared" si="23"/>
        <v>1</v>
      </c>
      <c r="S18" s="8">
        <f t="shared" si="12"/>
        <v>0.36329017517136331</v>
      </c>
      <c r="T18" s="8">
        <f t="shared" si="13"/>
        <v>0.46459694989106753</v>
      </c>
      <c r="U18" s="8">
        <f t="shared" si="14"/>
        <v>0.7321926724939557</v>
      </c>
      <c r="V18" s="9">
        <f t="array" ref="V18">SUMPRODUCT((1-D18:R18),$D$2:$R$2)</f>
        <v>19414</v>
      </c>
    </row>
    <row r="19" spans="1:22" x14ac:dyDescent="0.35">
      <c r="A19" s="12" t="str">
        <f t="shared" si="15"/>
        <v>COAL_OFF_2050</v>
      </c>
      <c r="B19">
        <f t="shared" si="16"/>
        <v>2041</v>
      </c>
      <c r="C19">
        <v>1</v>
      </c>
      <c r="D19" s="8">
        <f t="shared" si="21"/>
        <v>1</v>
      </c>
      <c r="E19" s="8">
        <f t="shared" si="22"/>
        <v>1</v>
      </c>
      <c r="F19" s="8">
        <f t="shared" si="24"/>
        <v>1</v>
      </c>
      <c r="G19" s="8">
        <f t="shared" si="17"/>
        <v>1</v>
      </c>
      <c r="H19" s="8">
        <f t="shared" si="18"/>
        <v>1</v>
      </c>
      <c r="I19" s="8">
        <f t="shared" si="19"/>
        <v>1</v>
      </c>
      <c r="J19" s="8">
        <v>1</v>
      </c>
      <c r="K19" s="8">
        <f t="shared" si="20"/>
        <v>1</v>
      </c>
      <c r="L19" s="8">
        <v>0</v>
      </c>
      <c r="M19" s="8">
        <v>1</v>
      </c>
      <c r="N19" s="8">
        <v>0</v>
      </c>
      <c r="O19" s="8">
        <f t="shared" ref="O19:O20" si="26">1/6</f>
        <v>0.16666666666666666</v>
      </c>
      <c r="P19" s="8">
        <f t="shared" si="25"/>
        <v>1</v>
      </c>
      <c r="Q19" s="8">
        <v>0</v>
      </c>
      <c r="R19" s="8">
        <f t="shared" si="23"/>
        <v>1</v>
      </c>
      <c r="S19" s="8">
        <f t="shared" si="12"/>
        <v>0.48798726026448797</v>
      </c>
      <c r="T19" s="8">
        <f t="shared" si="13"/>
        <v>0.63888888888888884</v>
      </c>
      <c r="U19" s="8">
        <f t="shared" si="14"/>
        <v>0.7321926724939557</v>
      </c>
      <c r="V19" s="9">
        <f t="array" ref="V19">SUMPRODUCT((1-D19:R19),$D$2:$R$2)</f>
        <v>15693</v>
      </c>
    </row>
    <row r="20" spans="1:22" x14ac:dyDescent="0.35">
      <c r="A20" s="12" t="str">
        <f t="shared" si="15"/>
        <v>COAL_OFF_2050</v>
      </c>
      <c r="B20">
        <f t="shared" si="16"/>
        <v>2042</v>
      </c>
      <c r="C20">
        <v>1</v>
      </c>
      <c r="D20" s="8">
        <f t="shared" si="21"/>
        <v>1</v>
      </c>
      <c r="E20" s="8">
        <f t="shared" si="22"/>
        <v>1</v>
      </c>
      <c r="F20" s="8">
        <f t="shared" si="24"/>
        <v>1</v>
      </c>
      <c r="G20" s="8">
        <f t="shared" si="17"/>
        <v>1</v>
      </c>
      <c r="H20" s="8">
        <f t="shared" si="18"/>
        <v>1</v>
      </c>
      <c r="I20" s="8">
        <f t="shared" si="19"/>
        <v>1</v>
      </c>
      <c r="J20" s="8">
        <f t="shared" ref="J20:J38" si="27">J19</f>
        <v>1</v>
      </c>
      <c r="K20" s="8">
        <f t="shared" si="20"/>
        <v>1</v>
      </c>
      <c r="L20" s="8">
        <v>0</v>
      </c>
      <c r="M20" s="8">
        <f t="shared" ref="M20:M38" si="28">M19</f>
        <v>1</v>
      </c>
      <c r="N20" s="8">
        <f t="shared" ref="N20:N21" si="29">1/6</f>
        <v>0.16666666666666666</v>
      </c>
      <c r="O20" s="8">
        <f t="shared" si="26"/>
        <v>0.16666666666666666</v>
      </c>
      <c r="P20" s="8">
        <f t="shared" si="25"/>
        <v>1</v>
      </c>
      <c r="Q20" s="8">
        <v>0</v>
      </c>
      <c r="R20" s="8">
        <f t="shared" si="23"/>
        <v>1</v>
      </c>
      <c r="S20" s="8">
        <f t="shared" si="12"/>
        <v>0.48798726026448797</v>
      </c>
      <c r="T20" s="8">
        <f t="shared" si="13"/>
        <v>0.69907407407407407</v>
      </c>
      <c r="U20" s="8">
        <f t="shared" si="14"/>
        <v>0.7321926724939557</v>
      </c>
      <c r="V20" s="9">
        <f t="array" ref="V20">SUMPRODUCT((1-D20:R20),$D$2:$R$2)</f>
        <v>15030</v>
      </c>
    </row>
    <row r="21" spans="1:22" x14ac:dyDescent="0.35">
      <c r="A21" s="12" t="str">
        <f t="shared" si="15"/>
        <v>COAL_OFF_2050</v>
      </c>
      <c r="B21">
        <f t="shared" si="16"/>
        <v>2043</v>
      </c>
      <c r="C21">
        <v>1</v>
      </c>
      <c r="D21" s="8">
        <f t="shared" si="21"/>
        <v>1</v>
      </c>
      <c r="E21" s="8">
        <f t="shared" si="22"/>
        <v>1</v>
      </c>
      <c r="F21" s="8">
        <f t="shared" si="24"/>
        <v>1</v>
      </c>
      <c r="G21" s="8">
        <f t="shared" si="17"/>
        <v>1</v>
      </c>
      <c r="H21" s="8">
        <f t="shared" si="18"/>
        <v>1</v>
      </c>
      <c r="I21" s="8">
        <f t="shared" si="19"/>
        <v>1</v>
      </c>
      <c r="J21" s="8">
        <f t="shared" si="27"/>
        <v>1</v>
      </c>
      <c r="K21" s="8">
        <f t="shared" si="20"/>
        <v>1</v>
      </c>
      <c r="L21" s="8">
        <v>0</v>
      </c>
      <c r="M21" s="8">
        <f t="shared" si="28"/>
        <v>1</v>
      </c>
      <c r="N21" s="8">
        <f t="shared" si="29"/>
        <v>0.16666666666666666</v>
      </c>
      <c r="O21" s="8">
        <f>3/6</f>
        <v>0.5</v>
      </c>
      <c r="P21" s="8">
        <f t="shared" si="25"/>
        <v>1</v>
      </c>
      <c r="Q21" s="8">
        <v>0</v>
      </c>
      <c r="R21" s="8">
        <f t="shared" si="23"/>
        <v>1</v>
      </c>
      <c r="S21" s="8">
        <f t="shared" si="12"/>
        <v>0.57314962265457314</v>
      </c>
      <c r="T21" s="8">
        <f t="shared" si="13"/>
        <v>0.69907407407407407</v>
      </c>
      <c r="U21" s="8">
        <f t="shared" si="14"/>
        <v>0.7321926724939557</v>
      </c>
      <c r="V21" s="9">
        <f t="array" ref="V21">SUMPRODUCT((1-D21:R21),$D$2:$R$2)</f>
        <v>13800</v>
      </c>
    </row>
    <row r="22" spans="1:22" x14ac:dyDescent="0.35">
      <c r="A22" s="12" t="str">
        <f t="shared" si="15"/>
        <v>COAL_OFF_2050</v>
      </c>
      <c r="B22">
        <f t="shared" si="16"/>
        <v>2044</v>
      </c>
      <c r="C22">
        <v>1</v>
      </c>
      <c r="D22" s="8">
        <f t="shared" si="21"/>
        <v>1</v>
      </c>
      <c r="E22" s="8">
        <f t="shared" si="22"/>
        <v>1</v>
      </c>
      <c r="F22" s="8">
        <f t="shared" si="24"/>
        <v>1</v>
      </c>
      <c r="G22" s="8">
        <f t="shared" si="17"/>
        <v>1</v>
      </c>
      <c r="H22" s="8">
        <f t="shared" si="18"/>
        <v>1</v>
      </c>
      <c r="I22" s="8">
        <f t="shared" si="19"/>
        <v>1</v>
      </c>
      <c r="J22" s="8">
        <f t="shared" si="27"/>
        <v>1</v>
      </c>
      <c r="K22" s="8">
        <f t="shared" si="20"/>
        <v>1</v>
      </c>
      <c r="L22" s="8">
        <v>0</v>
      </c>
      <c r="M22" s="8">
        <f t="shared" si="28"/>
        <v>1</v>
      </c>
      <c r="N22" s="8">
        <f>2/6</f>
        <v>0.33333333333333331</v>
      </c>
      <c r="O22" s="8">
        <f>5/6</f>
        <v>0.83333333333333337</v>
      </c>
      <c r="P22" s="8">
        <f t="shared" si="25"/>
        <v>1</v>
      </c>
      <c r="Q22" s="8">
        <v>0</v>
      </c>
      <c r="R22" s="8">
        <f t="shared" si="23"/>
        <v>1</v>
      </c>
      <c r="S22" s="8">
        <f t="shared" si="12"/>
        <v>0.65831198504465827</v>
      </c>
      <c r="T22" s="8">
        <f t="shared" si="13"/>
        <v>0.7592592592592593</v>
      </c>
      <c r="U22" s="8">
        <f t="shared" si="14"/>
        <v>0.7321926724939557</v>
      </c>
      <c r="V22" s="9">
        <f t="array" ref="V22">SUMPRODUCT((1-D22:R22),$D$2:$R$2)</f>
        <v>11907</v>
      </c>
    </row>
    <row r="23" spans="1:22" x14ac:dyDescent="0.35">
      <c r="A23" s="12" t="str">
        <f t="shared" si="15"/>
        <v>COAL_OFF_2050</v>
      </c>
      <c r="B23">
        <f t="shared" si="16"/>
        <v>2045</v>
      </c>
      <c r="C23">
        <v>1</v>
      </c>
      <c r="D23" s="8">
        <f t="shared" si="21"/>
        <v>1</v>
      </c>
      <c r="E23" s="8">
        <f t="shared" si="22"/>
        <v>1</v>
      </c>
      <c r="F23" s="8">
        <f t="shared" si="24"/>
        <v>1</v>
      </c>
      <c r="G23" s="8">
        <f t="shared" si="17"/>
        <v>1</v>
      </c>
      <c r="H23" s="8">
        <f t="shared" si="18"/>
        <v>1</v>
      </c>
      <c r="I23" s="8">
        <f t="shared" si="19"/>
        <v>1</v>
      </c>
      <c r="J23" s="8">
        <f t="shared" si="27"/>
        <v>1</v>
      </c>
      <c r="K23" s="8">
        <f t="shared" si="20"/>
        <v>1</v>
      </c>
      <c r="L23" s="8">
        <v>0</v>
      </c>
      <c r="M23" s="8">
        <f t="shared" si="28"/>
        <v>1</v>
      </c>
      <c r="N23" s="8">
        <f>5/6</f>
        <v>0.83333333333333337</v>
      </c>
      <c r="O23" s="8">
        <v>1</v>
      </c>
      <c r="P23" s="8">
        <f t="shared" si="25"/>
        <v>1</v>
      </c>
      <c r="Q23" s="8">
        <v>0</v>
      </c>
      <c r="R23" s="8">
        <f t="shared" si="23"/>
        <v>1</v>
      </c>
      <c r="S23" s="8">
        <f t="shared" si="12"/>
        <v>0.70089316623970088</v>
      </c>
      <c r="T23" s="8">
        <f t="shared" si="13"/>
        <v>0.93981481481481477</v>
      </c>
      <c r="U23" s="8">
        <f t="shared" si="14"/>
        <v>0.7321926724939557</v>
      </c>
      <c r="V23" s="9">
        <f t="array" ref="V23">SUMPRODUCT((1-D23:R23),$D$2:$R$2)</f>
        <v>9303</v>
      </c>
    </row>
    <row r="24" spans="1:22" x14ac:dyDescent="0.35">
      <c r="A24" s="12" t="str">
        <f t="shared" si="15"/>
        <v>COAL_OFF_2050</v>
      </c>
      <c r="B24">
        <f t="shared" si="16"/>
        <v>2046</v>
      </c>
      <c r="C24">
        <v>1</v>
      </c>
      <c r="D24" s="8">
        <f t="shared" si="21"/>
        <v>1</v>
      </c>
      <c r="E24" s="8">
        <f t="shared" si="22"/>
        <v>1</v>
      </c>
      <c r="F24" s="8">
        <f t="shared" si="24"/>
        <v>1</v>
      </c>
      <c r="G24" s="8">
        <f t="shared" si="17"/>
        <v>1</v>
      </c>
      <c r="H24" s="8">
        <f t="shared" si="18"/>
        <v>1</v>
      </c>
      <c r="I24" s="8">
        <f t="shared" si="19"/>
        <v>1</v>
      </c>
      <c r="J24" s="8">
        <f t="shared" si="27"/>
        <v>1</v>
      </c>
      <c r="K24" s="8">
        <f t="shared" si="20"/>
        <v>1</v>
      </c>
      <c r="L24" s="8">
        <v>0</v>
      </c>
      <c r="M24" s="8">
        <f t="shared" si="28"/>
        <v>1</v>
      </c>
      <c r="N24" s="8">
        <v>1</v>
      </c>
      <c r="O24" s="8">
        <f t="shared" ref="O24:O38" si="30">O23</f>
        <v>1</v>
      </c>
      <c r="P24" s="8">
        <f t="shared" si="25"/>
        <v>1</v>
      </c>
      <c r="Q24" s="8">
        <f>1/6</f>
        <v>0.16666666666666666</v>
      </c>
      <c r="R24" s="8">
        <f t="shared" si="23"/>
        <v>1</v>
      </c>
      <c r="S24" s="8">
        <f t="shared" si="12"/>
        <v>0.75074430519975077</v>
      </c>
      <c r="T24" s="13">
        <f t="shared" si="13"/>
        <v>1</v>
      </c>
      <c r="U24" s="8">
        <f t="shared" si="14"/>
        <v>0.7321926724939557</v>
      </c>
      <c r="V24" s="9">
        <f t="array" ref="V24">SUMPRODUCT((1-D24:R24),$D$2:$R$2)</f>
        <v>7920</v>
      </c>
    </row>
    <row r="25" spans="1:22" x14ac:dyDescent="0.35">
      <c r="A25" s="12" t="str">
        <f t="shared" si="15"/>
        <v>COAL_OFF_2050</v>
      </c>
      <c r="B25">
        <f t="shared" si="16"/>
        <v>2047</v>
      </c>
      <c r="C25">
        <v>1</v>
      </c>
      <c r="D25" s="8">
        <f t="shared" si="21"/>
        <v>1</v>
      </c>
      <c r="E25" s="8">
        <f t="shared" si="22"/>
        <v>1</v>
      </c>
      <c r="F25" s="8">
        <f t="shared" si="24"/>
        <v>1</v>
      </c>
      <c r="G25" s="8">
        <f t="shared" si="17"/>
        <v>1</v>
      </c>
      <c r="H25" s="8">
        <f t="shared" si="18"/>
        <v>1</v>
      </c>
      <c r="I25" s="8">
        <f t="shared" si="19"/>
        <v>1</v>
      </c>
      <c r="J25" s="8">
        <f t="shared" si="27"/>
        <v>1</v>
      </c>
      <c r="K25" s="8">
        <f t="shared" si="20"/>
        <v>1</v>
      </c>
      <c r="L25" s="8">
        <v>0</v>
      </c>
      <c r="M25" s="8">
        <f t="shared" si="28"/>
        <v>1</v>
      </c>
      <c r="N25" s="8">
        <f t="shared" ref="N25:N38" si="31">N24</f>
        <v>1</v>
      </c>
      <c r="O25" s="8">
        <f t="shared" si="30"/>
        <v>1</v>
      </c>
      <c r="P25" s="8">
        <f t="shared" si="25"/>
        <v>1</v>
      </c>
      <c r="Q25" s="8">
        <f>4/6</f>
        <v>0.66666666666666663</v>
      </c>
      <c r="R25" s="8">
        <f t="shared" si="23"/>
        <v>1</v>
      </c>
      <c r="S25" s="8">
        <f t="shared" si="12"/>
        <v>0.90029772207990033</v>
      </c>
      <c r="T25" s="13">
        <f t="shared" si="13"/>
        <v>1</v>
      </c>
      <c r="U25" s="8">
        <f t="shared" si="14"/>
        <v>0.7321926724939557</v>
      </c>
      <c r="V25" s="9">
        <f t="array" ref="V25">SUMPRODUCT((1-D25:R25),$D$2:$R$2)</f>
        <v>5760</v>
      </c>
    </row>
    <row r="26" spans="1:22" x14ac:dyDescent="0.35">
      <c r="A26" s="12" t="str">
        <f t="shared" si="15"/>
        <v>COAL_OFF_2050</v>
      </c>
      <c r="B26">
        <f t="shared" si="16"/>
        <v>2048</v>
      </c>
      <c r="C26">
        <v>1</v>
      </c>
      <c r="D26" s="8">
        <f t="shared" si="21"/>
        <v>1</v>
      </c>
      <c r="E26" s="8">
        <f t="shared" si="22"/>
        <v>1</v>
      </c>
      <c r="F26" s="8">
        <f t="shared" si="24"/>
        <v>1</v>
      </c>
      <c r="G26" s="8">
        <f t="shared" si="17"/>
        <v>1</v>
      </c>
      <c r="H26" s="8">
        <f t="shared" si="18"/>
        <v>1</v>
      </c>
      <c r="I26" s="8">
        <f t="shared" si="19"/>
        <v>1</v>
      </c>
      <c r="J26" s="8">
        <f t="shared" si="27"/>
        <v>1</v>
      </c>
      <c r="K26" s="8">
        <f t="shared" si="20"/>
        <v>1</v>
      </c>
      <c r="L26" s="8">
        <f>1/6</f>
        <v>0.16666666666666666</v>
      </c>
      <c r="M26" s="8">
        <f t="shared" si="28"/>
        <v>1</v>
      </c>
      <c r="N26" s="8">
        <f t="shared" si="31"/>
        <v>1</v>
      </c>
      <c r="O26" s="8">
        <f t="shared" si="30"/>
        <v>1</v>
      </c>
      <c r="P26" s="8">
        <f t="shared" si="25"/>
        <v>1</v>
      </c>
      <c r="Q26" s="8">
        <v>1</v>
      </c>
      <c r="R26" s="8">
        <f t="shared" si="23"/>
        <v>1</v>
      </c>
      <c r="S26" s="13">
        <f t="shared" si="12"/>
        <v>1</v>
      </c>
      <c r="T26" s="13">
        <f t="shared" si="13"/>
        <v>1</v>
      </c>
      <c r="U26" s="8">
        <f t="shared" si="14"/>
        <v>0.77682722707829643</v>
      </c>
      <c r="V26" s="9">
        <f t="array" ref="V26">SUMPRODUCT((1-D26:R26),$D$2:$R$2)</f>
        <v>3600</v>
      </c>
    </row>
    <row r="27" spans="1:22" x14ac:dyDescent="0.35">
      <c r="A27" s="12" t="str">
        <f t="shared" si="15"/>
        <v>COAL_OFF_2050</v>
      </c>
      <c r="B27">
        <f t="shared" si="16"/>
        <v>2049</v>
      </c>
      <c r="C27">
        <v>1</v>
      </c>
      <c r="D27" s="8">
        <f t="shared" si="21"/>
        <v>1</v>
      </c>
      <c r="E27" s="8">
        <f t="shared" si="22"/>
        <v>1</v>
      </c>
      <c r="F27" s="8">
        <f t="shared" si="24"/>
        <v>1</v>
      </c>
      <c r="G27" s="8">
        <f t="shared" si="17"/>
        <v>1</v>
      </c>
      <c r="H27" s="8">
        <f t="shared" si="18"/>
        <v>1</v>
      </c>
      <c r="I27" s="8">
        <f t="shared" si="19"/>
        <v>1</v>
      </c>
      <c r="J27" s="8">
        <f t="shared" si="27"/>
        <v>1</v>
      </c>
      <c r="K27" s="8">
        <f t="shared" si="20"/>
        <v>1</v>
      </c>
      <c r="L27" s="8">
        <f>2/6</f>
        <v>0.33333333333333331</v>
      </c>
      <c r="M27" s="8">
        <f t="shared" si="28"/>
        <v>1</v>
      </c>
      <c r="N27" s="8">
        <f t="shared" si="31"/>
        <v>1</v>
      </c>
      <c r="O27" s="8">
        <f t="shared" si="30"/>
        <v>1</v>
      </c>
      <c r="P27" s="8">
        <f t="shared" si="25"/>
        <v>1</v>
      </c>
      <c r="Q27" s="8">
        <f t="shared" ref="Q27:Q38" si="32">Q26</f>
        <v>1</v>
      </c>
      <c r="R27" s="8">
        <f t="shared" si="23"/>
        <v>1</v>
      </c>
      <c r="S27" s="13">
        <f t="shared" si="12"/>
        <v>1</v>
      </c>
      <c r="T27" s="13">
        <f t="shared" si="13"/>
        <v>1</v>
      </c>
      <c r="U27" s="8">
        <f t="shared" si="14"/>
        <v>0.82146178166263717</v>
      </c>
      <c r="V27" s="9">
        <f t="array" ref="V27">SUMPRODUCT((1-D27:R27),$D$2:$R$2)</f>
        <v>2880.0000000000005</v>
      </c>
    </row>
    <row r="28" spans="1:22" x14ac:dyDescent="0.35">
      <c r="A28" s="12" t="str">
        <f t="shared" si="15"/>
        <v>COAL_OFF_2050</v>
      </c>
      <c r="B28">
        <f t="shared" si="16"/>
        <v>2050</v>
      </c>
      <c r="C28">
        <v>1</v>
      </c>
      <c r="D28" s="8">
        <f t="shared" si="21"/>
        <v>1</v>
      </c>
      <c r="E28" s="8">
        <f t="shared" si="22"/>
        <v>1</v>
      </c>
      <c r="F28" s="8">
        <f t="shared" si="24"/>
        <v>1</v>
      </c>
      <c r="G28" s="8">
        <f t="shared" si="17"/>
        <v>1</v>
      </c>
      <c r="H28" s="8">
        <f t="shared" si="18"/>
        <v>1</v>
      </c>
      <c r="I28" s="8">
        <f t="shared" si="19"/>
        <v>1</v>
      </c>
      <c r="J28" s="8">
        <f t="shared" si="27"/>
        <v>1</v>
      </c>
      <c r="K28" s="8">
        <f t="shared" si="20"/>
        <v>1</v>
      </c>
      <c r="L28" s="8">
        <v>1</v>
      </c>
      <c r="M28" s="8">
        <f t="shared" si="28"/>
        <v>1</v>
      </c>
      <c r="N28" s="8">
        <f t="shared" si="31"/>
        <v>1</v>
      </c>
      <c r="O28" s="8">
        <f t="shared" si="30"/>
        <v>1</v>
      </c>
      <c r="P28" s="8">
        <f t="shared" si="25"/>
        <v>1</v>
      </c>
      <c r="Q28" s="8">
        <f t="shared" si="32"/>
        <v>1</v>
      </c>
      <c r="R28" s="8">
        <f t="shared" si="23"/>
        <v>1</v>
      </c>
      <c r="S28" s="13">
        <f t="shared" si="12"/>
        <v>1</v>
      </c>
      <c r="T28" s="13">
        <f t="shared" si="13"/>
        <v>1</v>
      </c>
      <c r="U28" s="13">
        <f t="shared" si="14"/>
        <v>1</v>
      </c>
      <c r="V28" s="9">
        <f t="array" ref="V28">SUMPRODUCT((1-D28:R28),$D$2:$R$2)</f>
        <v>0</v>
      </c>
    </row>
    <row r="29" spans="1:22" x14ac:dyDescent="0.35">
      <c r="A29" s="12" t="str">
        <f t="shared" si="15"/>
        <v>COAL_OFF_2050</v>
      </c>
      <c r="B29">
        <f t="shared" si="16"/>
        <v>2051</v>
      </c>
      <c r="C29">
        <v>1</v>
      </c>
      <c r="D29" s="8">
        <f t="shared" si="21"/>
        <v>1</v>
      </c>
      <c r="E29" s="8">
        <f t="shared" si="22"/>
        <v>1</v>
      </c>
      <c r="F29" s="8">
        <f t="shared" si="24"/>
        <v>1</v>
      </c>
      <c r="G29" s="8">
        <f t="shared" si="17"/>
        <v>1</v>
      </c>
      <c r="H29" s="8">
        <f t="shared" si="18"/>
        <v>1</v>
      </c>
      <c r="I29" s="8">
        <f t="shared" si="19"/>
        <v>1</v>
      </c>
      <c r="J29" s="8">
        <f t="shared" si="27"/>
        <v>1</v>
      </c>
      <c r="K29" s="8">
        <f t="shared" si="20"/>
        <v>1</v>
      </c>
      <c r="L29" s="8">
        <f t="shared" ref="L29:L38" si="33">L28</f>
        <v>1</v>
      </c>
      <c r="M29" s="8">
        <f t="shared" si="28"/>
        <v>1</v>
      </c>
      <c r="N29" s="8">
        <f t="shared" si="31"/>
        <v>1</v>
      </c>
      <c r="O29" s="8">
        <f t="shared" si="30"/>
        <v>1</v>
      </c>
      <c r="P29" s="8">
        <f t="shared" si="25"/>
        <v>1</v>
      </c>
      <c r="Q29" s="8">
        <f t="shared" si="32"/>
        <v>1</v>
      </c>
      <c r="R29" s="8">
        <f t="shared" si="23"/>
        <v>1</v>
      </c>
      <c r="S29" s="13">
        <f t="shared" si="12"/>
        <v>1</v>
      </c>
      <c r="T29" s="13">
        <f t="shared" si="13"/>
        <v>1</v>
      </c>
      <c r="U29" s="13">
        <f t="shared" si="14"/>
        <v>1</v>
      </c>
      <c r="V29" s="9">
        <f t="array" ref="V29">SUMPRODUCT((1-D29:R29),$D$2:$R$2)</f>
        <v>0</v>
      </c>
    </row>
    <row r="30" spans="1:22" x14ac:dyDescent="0.35">
      <c r="A30" s="12" t="str">
        <f t="shared" si="15"/>
        <v>COAL_OFF_2050</v>
      </c>
      <c r="B30">
        <f t="shared" si="16"/>
        <v>2052</v>
      </c>
      <c r="C30">
        <v>1</v>
      </c>
      <c r="D30" s="8">
        <f t="shared" si="21"/>
        <v>1</v>
      </c>
      <c r="E30" s="8">
        <f t="shared" si="22"/>
        <v>1</v>
      </c>
      <c r="F30" s="8">
        <f t="shared" si="24"/>
        <v>1</v>
      </c>
      <c r="G30" s="8">
        <f t="shared" si="17"/>
        <v>1</v>
      </c>
      <c r="H30" s="8">
        <f t="shared" si="18"/>
        <v>1</v>
      </c>
      <c r="I30" s="8">
        <f t="shared" si="19"/>
        <v>1</v>
      </c>
      <c r="J30" s="8">
        <f t="shared" si="27"/>
        <v>1</v>
      </c>
      <c r="K30" s="8">
        <f t="shared" si="20"/>
        <v>1</v>
      </c>
      <c r="L30" s="8">
        <f t="shared" si="33"/>
        <v>1</v>
      </c>
      <c r="M30" s="8">
        <f t="shared" si="28"/>
        <v>1</v>
      </c>
      <c r="N30" s="8">
        <f t="shared" si="31"/>
        <v>1</v>
      </c>
      <c r="O30" s="8">
        <f t="shared" si="30"/>
        <v>1</v>
      </c>
      <c r="P30" s="8">
        <f t="shared" si="25"/>
        <v>1</v>
      </c>
      <c r="Q30" s="8">
        <f t="shared" si="32"/>
        <v>1</v>
      </c>
      <c r="R30" s="8">
        <f t="shared" si="23"/>
        <v>1</v>
      </c>
      <c r="S30" s="13">
        <f t="shared" si="12"/>
        <v>1</v>
      </c>
      <c r="T30" s="13">
        <f t="shared" si="13"/>
        <v>1</v>
      </c>
      <c r="U30" s="13">
        <f t="shared" si="14"/>
        <v>1</v>
      </c>
      <c r="V30" s="9">
        <f t="array" ref="V30">SUMPRODUCT((1-D30:R30),$D$2:$R$2)</f>
        <v>0</v>
      </c>
    </row>
    <row r="31" spans="1:22" x14ac:dyDescent="0.35">
      <c r="A31" s="12" t="str">
        <f t="shared" si="15"/>
        <v>COAL_OFF_2050</v>
      </c>
      <c r="B31">
        <f t="shared" si="16"/>
        <v>2053</v>
      </c>
      <c r="C31">
        <v>1</v>
      </c>
      <c r="D31" s="8">
        <f t="shared" si="21"/>
        <v>1</v>
      </c>
      <c r="E31" s="8">
        <f t="shared" si="22"/>
        <v>1</v>
      </c>
      <c r="F31" s="8">
        <f t="shared" si="24"/>
        <v>1</v>
      </c>
      <c r="G31" s="8">
        <f t="shared" si="17"/>
        <v>1</v>
      </c>
      <c r="H31" s="8">
        <f t="shared" si="18"/>
        <v>1</v>
      </c>
      <c r="I31" s="8">
        <f t="shared" si="19"/>
        <v>1</v>
      </c>
      <c r="J31" s="8">
        <f t="shared" si="27"/>
        <v>1</v>
      </c>
      <c r="K31" s="8">
        <f t="shared" si="20"/>
        <v>1</v>
      </c>
      <c r="L31" s="8">
        <f t="shared" si="33"/>
        <v>1</v>
      </c>
      <c r="M31" s="8">
        <f t="shared" si="28"/>
        <v>1</v>
      </c>
      <c r="N31" s="8">
        <f t="shared" si="31"/>
        <v>1</v>
      </c>
      <c r="O31" s="8">
        <f t="shared" si="30"/>
        <v>1</v>
      </c>
      <c r="P31" s="8">
        <f t="shared" si="25"/>
        <v>1</v>
      </c>
      <c r="Q31" s="8">
        <f t="shared" si="32"/>
        <v>1</v>
      </c>
      <c r="R31" s="8">
        <f t="shared" si="23"/>
        <v>1</v>
      </c>
      <c r="S31" s="13">
        <f t="shared" si="12"/>
        <v>1</v>
      </c>
      <c r="T31" s="13">
        <f t="shared" si="13"/>
        <v>1</v>
      </c>
      <c r="U31" s="13">
        <f t="shared" si="14"/>
        <v>1</v>
      </c>
      <c r="V31" s="9">
        <f t="array" ref="V31">SUMPRODUCT((1-D31:R31),$D$2:$R$2)</f>
        <v>0</v>
      </c>
    </row>
    <row r="32" spans="1:22" x14ac:dyDescent="0.35">
      <c r="A32" s="12" t="str">
        <f t="shared" si="15"/>
        <v>COAL_OFF_2050</v>
      </c>
      <c r="B32">
        <f t="shared" si="16"/>
        <v>2054</v>
      </c>
      <c r="C32">
        <v>1</v>
      </c>
      <c r="D32" s="8">
        <f t="shared" si="21"/>
        <v>1</v>
      </c>
      <c r="E32" s="8">
        <f t="shared" si="22"/>
        <v>1</v>
      </c>
      <c r="F32" s="8">
        <f t="shared" si="24"/>
        <v>1</v>
      </c>
      <c r="G32" s="8">
        <f t="shared" si="17"/>
        <v>1</v>
      </c>
      <c r="H32" s="8">
        <f t="shared" si="18"/>
        <v>1</v>
      </c>
      <c r="I32" s="8">
        <f t="shared" si="19"/>
        <v>1</v>
      </c>
      <c r="J32" s="8">
        <f t="shared" si="27"/>
        <v>1</v>
      </c>
      <c r="K32" s="8">
        <f t="shared" si="20"/>
        <v>1</v>
      </c>
      <c r="L32" s="8">
        <f t="shared" si="33"/>
        <v>1</v>
      </c>
      <c r="M32" s="8">
        <f t="shared" si="28"/>
        <v>1</v>
      </c>
      <c r="N32" s="8">
        <f t="shared" si="31"/>
        <v>1</v>
      </c>
      <c r="O32" s="8">
        <f t="shared" si="30"/>
        <v>1</v>
      </c>
      <c r="P32" s="8">
        <f t="shared" si="25"/>
        <v>1</v>
      </c>
      <c r="Q32" s="8">
        <f t="shared" si="32"/>
        <v>1</v>
      </c>
      <c r="R32" s="8">
        <f t="shared" si="23"/>
        <v>1</v>
      </c>
      <c r="S32" s="13">
        <f t="shared" si="12"/>
        <v>1</v>
      </c>
      <c r="T32" s="13">
        <f t="shared" si="13"/>
        <v>1</v>
      </c>
      <c r="U32" s="13">
        <f t="shared" si="14"/>
        <v>1</v>
      </c>
      <c r="V32" s="9">
        <f t="array" ref="V32">SUMPRODUCT((1-D32:R32),$D$2:$R$2)</f>
        <v>0</v>
      </c>
    </row>
    <row r="33" spans="1:22" x14ac:dyDescent="0.35">
      <c r="A33" s="12" t="str">
        <f t="shared" si="15"/>
        <v>COAL_OFF_2050</v>
      </c>
      <c r="B33">
        <f t="shared" si="16"/>
        <v>2055</v>
      </c>
      <c r="C33">
        <v>1</v>
      </c>
      <c r="D33" s="8">
        <f t="shared" si="21"/>
        <v>1</v>
      </c>
      <c r="E33" s="8">
        <f t="shared" si="22"/>
        <v>1</v>
      </c>
      <c r="F33" s="8">
        <f t="shared" si="24"/>
        <v>1</v>
      </c>
      <c r="G33" s="8">
        <f t="shared" si="17"/>
        <v>1</v>
      </c>
      <c r="H33" s="8">
        <f t="shared" si="18"/>
        <v>1</v>
      </c>
      <c r="I33" s="8">
        <f t="shared" si="19"/>
        <v>1</v>
      </c>
      <c r="J33" s="8">
        <f t="shared" si="27"/>
        <v>1</v>
      </c>
      <c r="K33" s="8">
        <f t="shared" si="20"/>
        <v>1</v>
      </c>
      <c r="L33" s="8">
        <f t="shared" si="33"/>
        <v>1</v>
      </c>
      <c r="M33" s="8">
        <f t="shared" si="28"/>
        <v>1</v>
      </c>
      <c r="N33" s="8">
        <f t="shared" si="31"/>
        <v>1</v>
      </c>
      <c r="O33" s="8">
        <f t="shared" si="30"/>
        <v>1</v>
      </c>
      <c r="P33" s="8">
        <f t="shared" si="25"/>
        <v>1</v>
      </c>
      <c r="Q33" s="8">
        <f t="shared" si="32"/>
        <v>1</v>
      </c>
      <c r="R33" s="8">
        <f t="shared" si="23"/>
        <v>1</v>
      </c>
      <c r="S33" s="13">
        <f t="shared" si="12"/>
        <v>1</v>
      </c>
      <c r="T33" s="13">
        <f t="shared" si="13"/>
        <v>1</v>
      </c>
      <c r="U33" s="13">
        <f t="shared" si="14"/>
        <v>1</v>
      </c>
      <c r="V33" s="9">
        <f t="array" ref="V33">SUMPRODUCT((1-D33:R33),$D$2:$R$2)</f>
        <v>0</v>
      </c>
    </row>
    <row r="34" spans="1:22" x14ac:dyDescent="0.35">
      <c r="A34" s="12" t="str">
        <f t="shared" si="15"/>
        <v>COAL_OFF_2050</v>
      </c>
      <c r="B34">
        <f t="shared" si="16"/>
        <v>2056</v>
      </c>
      <c r="C34">
        <v>1</v>
      </c>
      <c r="D34" s="8">
        <f t="shared" si="21"/>
        <v>1</v>
      </c>
      <c r="E34" s="8">
        <f t="shared" si="22"/>
        <v>1</v>
      </c>
      <c r="F34" s="8">
        <f t="shared" si="24"/>
        <v>1</v>
      </c>
      <c r="G34" s="8">
        <f t="shared" si="17"/>
        <v>1</v>
      </c>
      <c r="H34" s="8">
        <f t="shared" si="18"/>
        <v>1</v>
      </c>
      <c r="I34" s="8">
        <f t="shared" si="19"/>
        <v>1</v>
      </c>
      <c r="J34" s="8">
        <f t="shared" si="27"/>
        <v>1</v>
      </c>
      <c r="K34" s="8">
        <f t="shared" si="20"/>
        <v>1</v>
      </c>
      <c r="L34" s="8">
        <f t="shared" si="33"/>
        <v>1</v>
      </c>
      <c r="M34" s="8">
        <f t="shared" si="28"/>
        <v>1</v>
      </c>
      <c r="N34" s="8">
        <f t="shared" si="31"/>
        <v>1</v>
      </c>
      <c r="O34" s="8">
        <f t="shared" si="30"/>
        <v>1</v>
      </c>
      <c r="P34" s="8">
        <f t="shared" si="25"/>
        <v>1</v>
      </c>
      <c r="Q34" s="8">
        <f t="shared" si="32"/>
        <v>1</v>
      </c>
      <c r="R34" s="8">
        <f t="shared" si="23"/>
        <v>1</v>
      </c>
      <c r="S34" s="13">
        <f t="shared" si="12"/>
        <v>1</v>
      </c>
      <c r="T34" s="13">
        <f t="shared" si="13"/>
        <v>1</v>
      </c>
      <c r="U34" s="13">
        <f t="shared" si="14"/>
        <v>1</v>
      </c>
      <c r="V34" s="9">
        <f t="array" ref="V34">SUMPRODUCT((1-D34:R34),$D$2:$R$2)</f>
        <v>0</v>
      </c>
    </row>
    <row r="35" spans="1:22" x14ac:dyDescent="0.35">
      <c r="A35" s="12" t="str">
        <f t="shared" si="15"/>
        <v>COAL_OFF_2050</v>
      </c>
      <c r="B35">
        <f t="shared" si="16"/>
        <v>2057</v>
      </c>
      <c r="C35">
        <v>1</v>
      </c>
      <c r="D35" s="8">
        <f t="shared" si="21"/>
        <v>1</v>
      </c>
      <c r="E35" s="8">
        <f t="shared" si="22"/>
        <v>1</v>
      </c>
      <c r="F35" s="8">
        <f t="shared" si="24"/>
        <v>1</v>
      </c>
      <c r="G35" s="8">
        <f t="shared" si="17"/>
        <v>1</v>
      </c>
      <c r="H35" s="8">
        <f t="shared" si="18"/>
        <v>1</v>
      </c>
      <c r="I35" s="8">
        <f t="shared" si="19"/>
        <v>1</v>
      </c>
      <c r="J35" s="8">
        <f t="shared" si="27"/>
        <v>1</v>
      </c>
      <c r="K35" s="8">
        <f t="shared" si="20"/>
        <v>1</v>
      </c>
      <c r="L35" s="8">
        <f t="shared" si="33"/>
        <v>1</v>
      </c>
      <c r="M35" s="8">
        <f t="shared" si="28"/>
        <v>1</v>
      </c>
      <c r="N35" s="8">
        <f t="shared" si="31"/>
        <v>1</v>
      </c>
      <c r="O35" s="8">
        <f t="shared" si="30"/>
        <v>1</v>
      </c>
      <c r="P35" s="8">
        <f t="shared" si="25"/>
        <v>1</v>
      </c>
      <c r="Q35" s="8">
        <f t="shared" si="32"/>
        <v>1</v>
      </c>
      <c r="R35" s="8">
        <f t="shared" si="23"/>
        <v>1</v>
      </c>
      <c r="S35" s="13">
        <f t="shared" si="12"/>
        <v>1</v>
      </c>
      <c r="T35" s="13">
        <f t="shared" si="13"/>
        <v>1</v>
      </c>
      <c r="U35" s="13">
        <f t="shared" si="14"/>
        <v>1</v>
      </c>
      <c r="V35" s="9">
        <f t="array" ref="V35">SUMPRODUCT((1-D35:R35),$D$2:$R$2)</f>
        <v>0</v>
      </c>
    </row>
    <row r="36" spans="1:22" x14ac:dyDescent="0.35">
      <c r="A36" s="12" t="str">
        <f t="shared" si="15"/>
        <v>COAL_OFF_2050</v>
      </c>
      <c r="B36">
        <f t="shared" si="16"/>
        <v>2058</v>
      </c>
      <c r="C36">
        <v>1</v>
      </c>
      <c r="D36" s="8">
        <f t="shared" si="21"/>
        <v>1</v>
      </c>
      <c r="E36" s="8">
        <f t="shared" si="22"/>
        <v>1</v>
      </c>
      <c r="F36" s="8">
        <f t="shared" si="24"/>
        <v>1</v>
      </c>
      <c r="G36" s="8">
        <f t="shared" si="17"/>
        <v>1</v>
      </c>
      <c r="H36" s="8">
        <f t="shared" si="18"/>
        <v>1</v>
      </c>
      <c r="I36" s="8">
        <f t="shared" si="19"/>
        <v>1</v>
      </c>
      <c r="J36" s="8">
        <f t="shared" si="27"/>
        <v>1</v>
      </c>
      <c r="K36" s="8">
        <f t="shared" si="20"/>
        <v>1</v>
      </c>
      <c r="L36" s="8">
        <f t="shared" si="33"/>
        <v>1</v>
      </c>
      <c r="M36" s="8">
        <f t="shared" si="28"/>
        <v>1</v>
      </c>
      <c r="N36" s="8">
        <f t="shared" si="31"/>
        <v>1</v>
      </c>
      <c r="O36" s="8">
        <f t="shared" si="30"/>
        <v>1</v>
      </c>
      <c r="P36" s="8">
        <f t="shared" si="25"/>
        <v>1</v>
      </c>
      <c r="Q36" s="8">
        <f t="shared" si="32"/>
        <v>1</v>
      </c>
      <c r="R36" s="8">
        <f t="shared" si="23"/>
        <v>1</v>
      </c>
      <c r="S36" s="13">
        <f t="shared" si="12"/>
        <v>1</v>
      </c>
      <c r="T36" s="13">
        <f t="shared" si="13"/>
        <v>1</v>
      </c>
      <c r="U36" s="13">
        <f t="shared" si="14"/>
        <v>1</v>
      </c>
      <c r="V36" s="9">
        <f t="array" ref="V36">SUMPRODUCT((1-D36:R36),$D$2:$R$2)</f>
        <v>0</v>
      </c>
    </row>
    <row r="37" spans="1:22" x14ac:dyDescent="0.35">
      <c r="A37" s="12" t="str">
        <f t="shared" si="15"/>
        <v>COAL_OFF_2050</v>
      </c>
      <c r="B37">
        <f t="shared" si="16"/>
        <v>2059</v>
      </c>
      <c r="C37">
        <v>1</v>
      </c>
      <c r="D37" s="8">
        <f t="shared" si="21"/>
        <v>1</v>
      </c>
      <c r="E37" s="8">
        <f t="shared" si="22"/>
        <v>1</v>
      </c>
      <c r="F37" s="8">
        <f t="shared" si="24"/>
        <v>1</v>
      </c>
      <c r="G37" s="8">
        <f t="shared" si="17"/>
        <v>1</v>
      </c>
      <c r="H37" s="8">
        <f t="shared" si="18"/>
        <v>1</v>
      </c>
      <c r="I37" s="8">
        <f t="shared" si="19"/>
        <v>1</v>
      </c>
      <c r="J37" s="8">
        <f t="shared" si="27"/>
        <v>1</v>
      </c>
      <c r="K37" s="8">
        <f t="shared" si="20"/>
        <v>1</v>
      </c>
      <c r="L37" s="8">
        <f t="shared" si="33"/>
        <v>1</v>
      </c>
      <c r="M37" s="8">
        <f t="shared" si="28"/>
        <v>1</v>
      </c>
      <c r="N37" s="8">
        <f t="shared" si="31"/>
        <v>1</v>
      </c>
      <c r="O37" s="8">
        <f t="shared" si="30"/>
        <v>1</v>
      </c>
      <c r="P37" s="8">
        <f t="shared" si="25"/>
        <v>1</v>
      </c>
      <c r="Q37" s="8">
        <f t="shared" si="32"/>
        <v>1</v>
      </c>
      <c r="R37" s="8">
        <f t="shared" si="23"/>
        <v>1</v>
      </c>
      <c r="S37" s="13">
        <f t="shared" si="12"/>
        <v>1</v>
      </c>
      <c r="T37" s="13">
        <f t="shared" si="13"/>
        <v>1</v>
      </c>
      <c r="U37" s="13">
        <f t="shared" si="14"/>
        <v>1</v>
      </c>
      <c r="V37" s="9">
        <f t="array" ref="V37">SUMPRODUCT((1-D37:R37),$D$2:$R$2)</f>
        <v>0</v>
      </c>
    </row>
    <row r="38" spans="1:22" x14ac:dyDescent="0.35">
      <c r="A38" s="12" t="str">
        <f t="shared" si="15"/>
        <v>COAL_OFF_2050</v>
      </c>
      <c r="B38">
        <f t="shared" si="16"/>
        <v>2060</v>
      </c>
      <c r="C38">
        <v>1</v>
      </c>
      <c r="D38" s="8">
        <f t="shared" si="21"/>
        <v>1</v>
      </c>
      <c r="E38" s="8">
        <f t="shared" si="22"/>
        <v>1</v>
      </c>
      <c r="F38" s="8">
        <f t="shared" si="24"/>
        <v>1</v>
      </c>
      <c r="G38" s="8">
        <f t="shared" si="17"/>
        <v>1</v>
      </c>
      <c r="H38" s="8">
        <f t="shared" si="18"/>
        <v>1</v>
      </c>
      <c r="I38" s="8">
        <f t="shared" si="19"/>
        <v>1</v>
      </c>
      <c r="J38" s="8">
        <f t="shared" si="27"/>
        <v>1</v>
      </c>
      <c r="K38" s="8">
        <f t="shared" si="20"/>
        <v>1</v>
      </c>
      <c r="L38" s="8">
        <f t="shared" si="33"/>
        <v>1</v>
      </c>
      <c r="M38" s="8">
        <f t="shared" si="28"/>
        <v>1</v>
      </c>
      <c r="N38" s="8">
        <f t="shared" si="31"/>
        <v>1</v>
      </c>
      <c r="O38" s="8">
        <f t="shared" si="30"/>
        <v>1</v>
      </c>
      <c r="P38" s="8">
        <f t="shared" si="25"/>
        <v>1</v>
      </c>
      <c r="Q38" s="8">
        <f t="shared" si="32"/>
        <v>1</v>
      </c>
      <c r="R38" s="8">
        <f t="shared" si="23"/>
        <v>1</v>
      </c>
      <c r="S38" s="13">
        <f t="shared" si="12"/>
        <v>1</v>
      </c>
      <c r="T38" s="13">
        <f t="shared" si="13"/>
        <v>1</v>
      </c>
      <c r="U38" s="13">
        <f t="shared" si="14"/>
        <v>1</v>
      </c>
      <c r="V38" s="9">
        <f t="array" ref="V38">SUMPRODUCT((1-D38:R38),$D$2:$R$2)</f>
        <v>0</v>
      </c>
    </row>
  </sheetData>
  <conditionalFormatting sqref="D3:U3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51181102362204689" footer="0.51181102362204689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archive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pklein</dc:creator>
  <dc:description/>
  <cp:lastModifiedBy>Ndivhuwo Segakweng</cp:lastModifiedBy>
  <cp:revision>1</cp:revision>
  <dcterms:created xsi:type="dcterms:W3CDTF">2015-06-05T18:17:20Z</dcterms:created>
  <dcterms:modified xsi:type="dcterms:W3CDTF">2025-11-17T12:56:54Z</dcterms:modified>
  <dc:language>en-US</dc:language>
</cp:coreProperties>
</file>