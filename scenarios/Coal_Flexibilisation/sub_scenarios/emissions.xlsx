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divh_alppvxj\Meridian Dropbox\ME Projects\01 PROJECTS &amp; PROPOSALS\PyPSA scenarios\Learning\NM_move_compass\sub_scenarios\"/>
    </mc:Choice>
  </mc:AlternateContent>
  <xr:revisionPtr revIDLastSave="0" documentId="13_ncr:1_{C5354359-F736-4480-80EF-144BC91181FE}" xr6:coauthVersionLast="47" xr6:coauthVersionMax="47" xr10:uidLastSave="{00000000-0000-0000-0000-000000000000}"/>
  <bookViews>
    <workbookView xWindow="19090" yWindow="-110" windowWidth="38620" windowHeight="21100" tabRatio="500" firstSheet="1" activeTab="1" xr2:uid="{00000000-000D-0000-FFFF-FFFF00000000}"/>
  </bookViews>
  <sheets>
    <sheet name="annual_carbon_constraint" sheetId="1" r:id="rId1"/>
    <sheet name="carbon_tax" sheetId="2" r:id="rId2"/>
    <sheet name="fixed_generator_emissions" sheetId="3" r:id="rId3"/>
    <sheet name="extendable_generator_emission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2" l="1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C13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C11" i="2"/>
  <c r="AJ87" i="3"/>
  <c r="AK87" i="3" s="1"/>
  <c r="AL87" i="3" s="1"/>
  <c r="AM87" i="3" s="1"/>
  <c r="AN87" i="3" s="1"/>
  <c r="AO87" i="3" s="1"/>
  <c r="AP87" i="3" s="1"/>
  <c r="AQ87" i="3" s="1"/>
  <c r="AR87" i="3" s="1"/>
  <c r="AS87" i="3" s="1"/>
  <c r="AJ86" i="3"/>
  <c r="AK86" i="3" s="1"/>
  <c r="AL86" i="3" s="1"/>
  <c r="AM86" i="3" s="1"/>
  <c r="AN86" i="3" s="1"/>
  <c r="AO86" i="3" s="1"/>
  <c r="AP86" i="3" s="1"/>
  <c r="AQ86" i="3" s="1"/>
  <c r="AR86" i="3" s="1"/>
  <c r="AS86" i="3" s="1"/>
  <c r="AJ73" i="3"/>
  <c r="AK73" i="3" s="1"/>
  <c r="AL73" i="3" s="1"/>
  <c r="AM73" i="3" s="1"/>
  <c r="AN73" i="3" s="1"/>
  <c r="AO73" i="3" s="1"/>
  <c r="AP73" i="3" s="1"/>
  <c r="AQ73" i="3" s="1"/>
  <c r="AR73" i="3" s="1"/>
  <c r="AS73" i="3" s="1"/>
  <c r="AJ72" i="3"/>
  <c r="AK72" i="3" s="1"/>
  <c r="AL72" i="3" s="1"/>
  <c r="AM72" i="3" s="1"/>
  <c r="AN72" i="3" s="1"/>
  <c r="AO72" i="3" s="1"/>
  <c r="AP72" i="3" s="1"/>
  <c r="AQ72" i="3" s="1"/>
  <c r="AR72" i="3" s="1"/>
  <c r="AS72" i="3" s="1"/>
  <c r="AJ59" i="3"/>
  <c r="AK59" i="3" s="1"/>
  <c r="AL59" i="3" s="1"/>
  <c r="AM59" i="3" s="1"/>
  <c r="AN59" i="3" s="1"/>
  <c r="AO59" i="3" s="1"/>
  <c r="AP59" i="3" s="1"/>
  <c r="AQ59" i="3" s="1"/>
  <c r="AR59" i="3" s="1"/>
  <c r="AS59" i="3" s="1"/>
  <c r="AJ58" i="3"/>
  <c r="AK58" i="3" s="1"/>
  <c r="AL58" i="3" s="1"/>
  <c r="AM58" i="3" s="1"/>
  <c r="AN58" i="3" s="1"/>
  <c r="AO58" i="3" s="1"/>
  <c r="AP58" i="3" s="1"/>
  <c r="AQ58" i="3" s="1"/>
  <c r="AR58" i="3" s="1"/>
  <c r="AS58" i="3" s="1"/>
  <c r="AJ134" i="4" l="1"/>
  <c r="AK134" i="4" s="1"/>
  <c r="AL134" i="4" s="1"/>
  <c r="AM134" i="4" s="1"/>
  <c r="AN134" i="4" s="1"/>
  <c r="AO134" i="4" s="1"/>
  <c r="AP134" i="4" s="1"/>
  <c r="AQ134" i="4" s="1"/>
  <c r="AR134" i="4" s="1"/>
  <c r="AS134" i="4" s="1"/>
  <c r="AJ133" i="4"/>
  <c r="AK133" i="4" s="1"/>
  <c r="AL133" i="4" s="1"/>
  <c r="AM133" i="4" s="1"/>
  <c r="AN133" i="4" s="1"/>
  <c r="AO133" i="4" s="1"/>
  <c r="AP133" i="4" s="1"/>
  <c r="AQ133" i="4" s="1"/>
  <c r="AR133" i="4" s="1"/>
  <c r="AS133" i="4" s="1"/>
  <c r="AJ132" i="4"/>
  <c r="AK132" i="4" s="1"/>
  <c r="AL132" i="4" s="1"/>
  <c r="AM132" i="4" s="1"/>
  <c r="AN132" i="4" s="1"/>
  <c r="AO132" i="4" s="1"/>
  <c r="AP132" i="4" s="1"/>
  <c r="AQ132" i="4" s="1"/>
  <c r="AR132" i="4" s="1"/>
  <c r="AS132" i="4" s="1"/>
  <c r="AJ131" i="4"/>
  <c r="AK131" i="4" s="1"/>
  <c r="AL131" i="4" s="1"/>
  <c r="AM131" i="4" s="1"/>
  <c r="AN131" i="4" s="1"/>
  <c r="AO131" i="4" s="1"/>
  <c r="AP131" i="4" s="1"/>
  <c r="AQ131" i="4" s="1"/>
  <c r="AR131" i="4" s="1"/>
  <c r="AS131" i="4" s="1"/>
  <c r="AJ130" i="4"/>
  <c r="AK130" i="4" s="1"/>
  <c r="AL130" i="4" s="1"/>
  <c r="AM130" i="4" s="1"/>
  <c r="AN130" i="4" s="1"/>
  <c r="AO130" i="4" s="1"/>
  <c r="AP130" i="4" s="1"/>
  <c r="AQ130" i="4" s="1"/>
  <c r="AR130" i="4" s="1"/>
  <c r="AS130" i="4" s="1"/>
  <c r="AJ129" i="4"/>
  <c r="AK129" i="4" s="1"/>
  <c r="AL129" i="4" s="1"/>
  <c r="AM129" i="4" s="1"/>
  <c r="AN129" i="4" s="1"/>
  <c r="AO129" i="4" s="1"/>
  <c r="AP129" i="4" s="1"/>
  <c r="AQ129" i="4" s="1"/>
  <c r="AR129" i="4" s="1"/>
  <c r="AS129" i="4" s="1"/>
  <c r="AK128" i="4"/>
  <c r="AL128" i="4" s="1"/>
  <c r="AM128" i="4" s="1"/>
  <c r="AN128" i="4" s="1"/>
  <c r="AO128" i="4" s="1"/>
  <c r="AP128" i="4" s="1"/>
  <c r="AQ128" i="4" s="1"/>
  <c r="AR128" i="4" s="1"/>
  <c r="AS128" i="4" s="1"/>
  <c r="AJ128" i="4"/>
  <c r="Y127" i="4"/>
  <c r="Z127" i="4" s="1"/>
  <c r="AA127" i="4" s="1"/>
  <c r="AB127" i="4" s="1"/>
  <c r="AC127" i="4" s="1"/>
  <c r="AD127" i="4" s="1"/>
  <c r="AE127" i="4" s="1"/>
  <c r="AF127" i="4" s="1"/>
  <c r="AG127" i="4" s="1"/>
  <c r="AH127" i="4" s="1"/>
  <c r="AI127" i="4" s="1"/>
  <c r="AJ127" i="4" s="1"/>
  <c r="AK127" i="4" s="1"/>
  <c r="AL127" i="4" s="1"/>
  <c r="AM127" i="4" s="1"/>
  <c r="AN127" i="4" s="1"/>
  <c r="AO127" i="4" s="1"/>
  <c r="AP127" i="4" s="1"/>
  <c r="AQ127" i="4" s="1"/>
  <c r="AR127" i="4" s="1"/>
  <c r="AS127" i="4" s="1"/>
  <c r="AK126" i="4"/>
  <c r="AL126" i="4" s="1"/>
  <c r="AM126" i="4" s="1"/>
  <c r="AN126" i="4" s="1"/>
  <c r="AO126" i="4" s="1"/>
  <c r="AP126" i="4" s="1"/>
  <c r="AQ126" i="4" s="1"/>
  <c r="AR126" i="4" s="1"/>
  <c r="AO125" i="4"/>
  <c r="AP125" i="4" s="1"/>
  <c r="AQ125" i="4" s="1"/>
  <c r="AR125" i="4" s="1"/>
  <c r="AS125" i="4" s="1"/>
  <c r="AJ124" i="4"/>
  <c r="AK124" i="4" s="1"/>
  <c r="AL124" i="4" s="1"/>
  <c r="AM124" i="4" s="1"/>
  <c r="AN124" i="4" s="1"/>
  <c r="AO124" i="4" s="1"/>
  <c r="AP124" i="4" s="1"/>
  <c r="AQ124" i="4" s="1"/>
  <c r="AR124" i="4" s="1"/>
  <c r="AS124" i="4" s="1"/>
  <c r="AJ123" i="4"/>
  <c r="AK123" i="4" s="1"/>
  <c r="AL123" i="4" s="1"/>
  <c r="AM123" i="4" s="1"/>
  <c r="AN123" i="4" s="1"/>
  <c r="AO123" i="4" s="1"/>
  <c r="AP123" i="4" s="1"/>
  <c r="AQ123" i="4" s="1"/>
  <c r="AR123" i="4" s="1"/>
  <c r="AS123" i="4" s="1"/>
  <c r="AJ122" i="4"/>
  <c r="AK122" i="4" s="1"/>
  <c r="AL122" i="4" s="1"/>
  <c r="AM122" i="4" s="1"/>
  <c r="AN122" i="4" s="1"/>
  <c r="AO122" i="4" s="1"/>
  <c r="AP122" i="4" s="1"/>
  <c r="AQ122" i="4" s="1"/>
  <c r="AR122" i="4" s="1"/>
  <c r="AS122" i="4" s="1"/>
  <c r="AJ121" i="4"/>
  <c r="AK121" i="4" s="1"/>
  <c r="AL121" i="4" s="1"/>
  <c r="AM121" i="4" s="1"/>
  <c r="AN121" i="4" s="1"/>
  <c r="AO121" i="4" s="1"/>
  <c r="AP121" i="4" s="1"/>
  <c r="AQ121" i="4" s="1"/>
  <c r="AR121" i="4" s="1"/>
  <c r="AS121" i="4" s="1"/>
  <c r="AJ120" i="4"/>
  <c r="AK120" i="4" s="1"/>
  <c r="AL120" i="4" s="1"/>
  <c r="AM120" i="4" s="1"/>
  <c r="AN120" i="4" s="1"/>
  <c r="AO120" i="4" s="1"/>
  <c r="AP120" i="4" s="1"/>
  <c r="AQ120" i="4" s="1"/>
  <c r="AR120" i="4" s="1"/>
  <c r="AS120" i="4" s="1"/>
  <c r="AK119" i="4"/>
  <c r="AL119" i="4" s="1"/>
  <c r="AM119" i="4" s="1"/>
  <c r="AN119" i="4" s="1"/>
  <c r="AO119" i="4" s="1"/>
  <c r="AP119" i="4" s="1"/>
  <c r="AQ119" i="4" s="1"/>
  <c r="AR119" i="4" s="1"/>
  <c r="AS119" i="4" s="1"/>
  <c r="AJ119" i="4"/>
  <c r="AJ118" i="4"/>
  <c r="AK118" i="4" s="1"/>
  <c r="AL118" i="4" s="1"/>
  <c r="AM118" i="4" s="1"/>
  <c r="AN118" i="4" s="1"/>
  <c r="AO118" i="4" s="1"/>
  <c r="AP118" i="4" s="1"/>
  <c r="AQ118" i="4" s="1"/>
  <c r="AR118" i="4" s="1"/>
  <c r="AS118" i="4" s="1"/>
  <c r="D117" i="4"/>
  <c r="C117" i="4"/>
  <c r="C118" i="4" s="1"/>
  <c r="C119" i="4" s="1"/>
  <c r="C120" i="4" s="1"/>
  <c r="C121" i="4" s="1"/>
  <c r="C122" i="4" s="1"/>
  <c r="C123" i="4" s="1"/>
  <c r="C124" i="4" s="1"/>
  <c r="A117" i="4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E116" i="4"/>
  <c r="F116" i="4" s="1"/>
  <c r="AJ115" i="4"/>
  <c r="AK115" i="4" s="1"/>
  <c r="AL115" i="4" s="1"/>
  <c r="AM115" i="4" s="1"/>
  <c r="AN115" i="4" s="1"/>
  <c r="AO115" i="4" s="1"/>
  <c r="AP115" i="4" s="1"/>
  <c r="AQ115" i="4" s="1"/>
  <c r="AR115" i="4" s="1"/>
  <c r="AS115" i="4" s="1"/>
  <c r="AJ114" i="4"/>
  <c r="AK114" i="4" s="1"/>
  <c r="AL114" i="4" s="1"/>
  <c r="AM114" i="4" s="1"/>
  <c r="AN114" i="4" s="1"/>
  <c r="AO114" i="4" s="1"/>
  <c r="AP114" i="4" s="1"/>
  <c r="AQ114" i="4" s="1"/>
  <c r="AR114" i="4" s="1"/>
  <c r="AS114" i="4" s="1"/>
  <c r="AJ113" i="4"/>
  <c r="AK113" i="4" s="1"/>
  <c r="AL113" i="4" s="1"/>
  <c r="AM113" i="4" s="1"/>
  <c r="AN113" i="4" s="1"/>
  <c r="AO113" i="4" s="1"/>
  <c r="AP113" i="4" s="1"/>
  <c r="AQ113" i="4" s="1"/>
  <c r="AR113" i="4" s="1"/>
  <c r="AS113" i="4" s="1"/>
  <c r="AJ112" i="4"/>
  <c r="AK112" i="4" s="1"/>
  <c r="AL112" i="4" s="1"/>
  <c r="AM112" i="4" s="1"/>
  <c r="AN112" i="4" s="1"/>
  <c r="AO112" i="4" s="1"/>
  <c r="AP112" i="4" s="1"/>
  <c r="AQ112" i="4" s="1"/>
  <c r="AR112" i="4" s="1"/>
  <c r="AS112" i="4" s="1"/>
  <c r="AJ111" i="4"/>
  <c r="AK111" i="4" s="1"/>
  <c r="AL111" i="4" s="1"/>
  <c r="AM111" i="4" s="1"/>
  <c r="AN111" i="4" s="1"/>
  <c r="AO111" i="4" s="1"/>
  <c r="AP111" i="4" s="1"/>
  <c r="AQ111" i="4" s="1"/>
  <c r="AR111" i="4" s="1"/>
  <c r="AS111" i="4" s="1"/>
  <c r="AJ110" i="4"/>
  <c r="AK110" i="4" s="1"/>
  <c r="AL110" i="4" s="1"/>
  <c r="AM110" i="4" s="1"/>
  <c r="AN110" i="4" s="1"/>
  <c r="AO110" i="4" s="1"/>
  <c r="AP110" i="4" s="1"/>
  <c r="AQ110" i="4" s="1"/>
  <c r="AR110" i="4" s="1"/>
  <c r="AS110" i="4" s="1"/>
  <c r="AJ109" i="4"/>
  <c r="AK109" i="4" s="1"/>
  <c r="AL109" i="4" s="1"/>
  <c r="AM109" i="4" s="1"/>
  <c r="AN109" i="4" s="1"/>
  <c r="AO109" i="4" s="1"/>
  <c r="AP109" i="4" s="1"/>
  <c r="AQ109" i="4" s="1"/>
  <c r="AR109" i="4" s="1"/>
  <c r="AS109" i="4" s="1"/>
  <c r="Y108" i="4"/>
  <c r="Z108" i="4" s="1"/>
  <c r="AA108" i="4" s="1"/>
  <c r="AB108" i="4" s="1"/>
  <c r="AC108" i="4" s="1"/>
  <c r="AD108" i="4" s="1"/>
  <c r="AE108" i="4" s="1"/>
  <c r="AF108" i="4" s="1"/>
  <c r="AG108" i="4" s="1"/>
  <c r="AH108" i="4" s="1"/>
  <c r="AI108" i="4" s="1"/>
  <c r="AJ108" i="4" s="1"/>
  <c r="AK108" i="4" s="1"/>
  <c r="AL108" i="4" s="1"/>
  <c r="AM108" i="4" s="1"/>
  <c r="AN108" i="4" s="1"/>
  <c r="AO108" i="4" s="1"/>
  <c r="AP108" i="4" s="1"/>
  <c r="AQ108" i="4" s="1"/>
  <c r="AR108" i="4" s="1"/>
  <c r="AS108" i="4" s="1"/>
  <c r="AK107" i="4"/>
  <c r="AL107" i="4" s="1"/>
  <c r="AM107" i="4" s="1"/>
  <c r="AN107" i="4" s="1"/>
  <c r="AO107" i="4" s="1"/>
  <c r="AP107" i="4" s="1"/>
  <c r="AQ107" i="4" s="1"/>
  <c r="AR107" i="4" s="1"/>
  <c r="AO106" i="4"/>
  <c r="AP106" i="4" s="1"/>
  <c r="AQ106" i="4" s="1"/>
  <c r="AR106" i="4" s="1"/>
  <c r="AS106" i="4" s="1"/>
  <c r="AJ105" i="4"/>
  <c r="AK105" i="4" s="1"/>
  <c r="AL105" i="4" s="1"/>
  <c r="AM105" i="4" s="1"/>
  <c r="AN105" i="4" s="1"/>
  <c r="AO105" i="4" s="1"/>
  <c r="AP105" i="4" s="1"/>
  <c r="AQ105" i="4" s="1"/>
  <c r="AR105" i="4" s="1"/>
  <c r="AS105" i="4" s="1"/>
  <c r="AJ104" i="4"/>
  <c r="AK104" i="4" s="1"/>
  <c r="AL104" i="4" s="1"/>
  <c r="AM104" i="4" s="1"/>
  <c r="AN104" i="4" s="1"/>
  <c r="AO104" i="4" s="1"/>
  <c r="AP104" i="4" s="1"/>
  <c r="AQ104" i="4" s="1"/>
  <c r="AR104" i="4" s="1"/>
  <c r="AS104" i="4" s="1"/>
  <c r="AJ103" i="4"/>
  <c r="AK103" i="4" s="1"/>
  <c r="AL103" i="4" s="1"/>
  <c r="AM103" i="4" s="1"/>
  <c r="AN103" i="4" s="1"/>
  <c r="AO103" i="4" s="1"/>
  <c r="AP103" i="4" s="1"/>
  <c r="AQ103" i="4" s="1"/>
  <c r="AR103" i="4" s="1"/>
  <c r="AS103" i="4" s="1"/>
  <c r="AJ102" i="4"/>
  <c r="AK102" i="4" s="1"/>
  <c r="AL102" i="4" s="1"/>
  <c r="AM102" i="4" s="1"/>
  <c r="AN102" i="4" s="1"/>
  <c r="AO102" i="4" s="1"/>
  <c r="AP102" i="4" s="1"/>
  <c r="AQ102" i="4" s="1"/>
  <c r="AR102" i="4" s="1"/>
  <c r="AS102" i="4" s="1"/>
  <c r="AJ101" i="4"/>
  <c r="AK101" i="4" s="1"/>
  <c r="AL101" i="4" s="1"/>
  <c r="AM101" i="4" s="1"/>
  <c r="AN101" i="4" s="1"/>
  <c r="AO101" i="4" s="1"/>
  <c r="AP101" i="4" s="1"/>
  <c r="AQ101" i="4" s="1"/>
  <c r="AR101" i="4" s="1"/>
  <c r="AS101" i="4" s="1"/>
  <c r="AK100" i="4"/>
  <c r="AL100" i="4" s="1"/>
  <c r="AM100" i="4" s="1"/>
  <c r="AN100" i="4" s="1"/>
  <c r="AO100" i="4" s="1"/>
  <c r="AP100" i="4" s="1"/>
  <c r="AQ100" i="4" s="1"/>
  <c r="AR100" i="4" s="1"/>
  <c r="AS100" i="4" s="1"/>
  <c r="AJ100" i="4"/>
  <c r="AJ99" i="4"/>
  <c r="AK99" i="4" s="1"/>
  <c r="AL99" i="4" s="1"/>
  <c r="AM99" i="4" s="1"/>
  <c r="AN99" i="4" s="1"/>
  <c r="AO99" i="4" s="1"/>
  <c r="AP99" i="4" s="1"/>
  <c r="AQ99" i="4" s="1"/>
  <c r="AR99" i="4" s="1"/>
  <c r="AS99" i="4" s="1"/>
  <c r="D98" i="4"/>
  <c r="C98" i="4"/>
  <c r="C99" i="4" s="1"/>
  <c r="C100" i="4" s="1"/>
  <c r="C101" i="4" s="1"/>
  <c r="C102" i="4" s="1"/>
  <c r="C103" i="4" s="1"/>
  <c r="C104" i="4" s="1"/>
  <c r="C105" i="4" s="1"/>
  <c r="A98" i="4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E97" i="4"/>
  <c r="E98" i="4" s="1"/>
  <c r="A79" i="4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J96" i="4"/>
  <c r="AK96" i="4" s="1"/>
  <c r="AL96" i="4" s="1"/>
  <c r="AM96" i="4" s="1"/>
  <c r="AN96" i="4" s="1"/>
  <c r="AO96" i="4" s="1"/>
  <c r="AP96" i="4" s="1"/>
  <c r="AQ96" i="4" s="1"/>
  <c r="AR96" i="4" s="1"/>
  <c r="AS96" i="4" s="1"/>
  <c r="AJ95" i="4"/>
  <c r="AK95" i="4" s="1"/>
  <c r="AL95" i="4" s="1"/>
  <c r="AM95" i="4" s="1"/>
  <c r="AN95" i="4" s="1"/>
  <c r="AO95" i="4" s="1"/>
  <c r="AP95" i="4" s="1"/>
  <c r="AQ95" i="4" s="1"/>
  <c r="AR95" i="4" s="1"/>
  <c r="AS95" i="4" s="1"/>
  <c r="AJ94" i="4"/>
  <c r="AK94" i="4" s="1"/>
  <c r="AL94" i="4" s="1"/>
  <c r="AM94" i="4" s="1"/>
  <c r="AN94" i="4" s="1"/>
  <c r="AO94" i="4" s="1"/>
  <c r="AP94" i="4" s="1"/>
  <c r="AQ94" i="4" s="1"/>
  <c r="AR94" i="4" s="1"/>
  <c r="AS94" i="4" s="1"/>
  <c r="AJ93" i="4"/>
  <c r="AK93" i="4" s="1"/>
  <c r="AL93" i="4" s="1"/>
  <c r="AM93" i="4" s="1"/>
  <c r="AN93" i="4" s="1"/>
  <c r="AO93" i="4" s="1"/>
  <c r="AP93" i="4" s="1"/>
  <c r="AQ93" i="4" s="1"/>
  <c r="AR93" i="4" s="1"/>
  <c r="AS93" i="4" s="1"/>
  <c r="AJ92" i="4"/>
  <c r="AK92" i="4" s="1"/>
  <c r="AL92" i="4" s="1"/>
  <c r="AM92" i="4" s="1"/>
  <c r="AN92" i="4" s="1"/>
  <c r="AO92" i="4" s="1"/>
  <c r="AP92" i="4" s="1"/>
  <c r="AQ92" i="4" s="1"/>
  <c r="AR92" i="4" s="1"/>
  <c r="AS92" i="4" s="1"/>
  <c r="AJ91" i="4"/>
  <c r="AK91" i="4" s="1"/>
  <c r="AL91" i="4" s="1"/>
  <c r="AM91" i="4" s="1"/>
  <c r="AN91" i="4" s="1"/>
  <c r="AO91" i="4" s="1"/>
  <c r="AP91" i="4" s="1"/>
  <c r="AQ91" i="4" s="1"/>
  <c r="AR91" i="4" s="1"/>
  <c r="AS91" i="4" s="1"/>
  <c r="AJ90" i="4"/>
  <c r="AK90" i="4" s="1"/>
  <c r="AL90" i="4" s="1"/>
  <c r="AM90" i="4" s="1"/>
  <c r="AN90" i="4" s="1"/>
  <c r="AO90" i="4" s="1"/>
  <c r="AP90" i="4" s="1"/>
  <c r="AQ90" i="4" s="1"/>
  <c r="AR90" i="4" s="1"/>
  <c r="AS90" i="4" s="1"/>
  <c r="Y89" i="4"/>
  <c r="Z89" i="4" s="1"/>
  <c r="AA89" i="4" s="1"/>
  <c r="AB89" i="4" s="1"/>
  <c r="AC89" i="4" s="1"/>
  <c r="AD89" i="4" s="1"/>
  <c r="AE89" i="4" s="1"/>
  <c r="AF89" i="4" s="1"/>
  <c r="AG89" i="4" s="1"/>
  <c r="AH89" i="4" s="1"/>
  <c r="AI89" i="4" s="1"/>
  <c r="AJ89" i="4" s="1"/>
  <c r="AK89" i="4" s="1"/>
  <c r="AL89" i="4" s="1"/>
  <c r="AM89" i="4" s="1"/>
  <c r="AN89" i="4" s="1"/>
  <c r="AO89" i="4" s="1"/>
  <c r="AP89" i="4" s="1"/>
  <c r="AQ89" i="4" s="1"/>
  <c r="AR89" i="4" s="1"/>
  <c r="AS89" i="4" s="1"/>
  <c r="AK88" i="4"/>
  <c r="AL88" i="4" s="1"/>
  <c r="AM88" i="4" s="1"/>
  <c r="AN88" i="4" s="1"/>
  <c r="AO88" i="4" s="1"/>
  <c r="AP88" i="4" s="1"/>
  <c r="AQ88" i="4" s="1"/>
  <c r="AR88" i="4" s="1"/>
  <c r="AO87" i="4"/>
  <c r="AP87" i="4" s="1"/>
  <c r="AQ87" i="4" s="1"/>
  <c r="AR87" i="4" s="1"/>
  <c r="AS87" i="4" s="1"/>
  <c r="AJ86" i="4"/>
  <c r="AK86" i="4" s="1"/>
  <c r="AL86" i="4" s="1"/>
  <c r="AM86" i="4" s="1"/>
  <c r="AN86" i="4" s="1"/>
  <c r="AO86" i="4" s="1"/>
  <c r="AP86" i="4" s="1"/>
  <c r="AQ86" i="4" s="1"/>
  <c r="AR86" i="4" s="1"/>
  <c r="AS86" i="4" s="1"/>
  <c r="AJ85" i="4"/>
  <c r="AK85" i="4" s="1"/>
  <c r="AL85" i="4" s="1"/>
  <c r="AM85" i="4" s="1"/>
  <c r="AN85" i="4" s="1"/>
  <c r="AO85" i="4" s="1"/>
  <c r="AP85" i="4" s="1"/>
  <c r="AQ85" i="4" s="1"/>
  <c r="AR85" i="4" s="1"/>
  <c r="AS85" i="4" s="1"/>
  <c r="AJ84" i="4"/>
  <c r="AK84" i="4" s="1"/>
  <c r="AL84" i="4" s="1"/>
  <c r="AM84" i="4" s="1"/>
  <c r="AN84" i="4" s="1"/>
  <c r="AO84" i="4" s="1"/>
  <c r="AP84" i="4" s="1"/>
  <c r="AQ84" i="4" s="1"/>
  <c r="AR84" i="4" s="1"/>
  <c r="AS84" i="4" s="1"/>
  <c r="AJ83" i="4"/>
  <c r="AK83" i="4" s="1"/>
  <c r="AL83" i="4" s="1"/>
  <c r="AM83" i="4" s="1"/>
  <c r="AN83" i="4" s="1"/>
  <c r="AO83" i="4" s="1"/>
  <c r="AP83" i="4" s="1"/>
  <c r="AQ83" i="4" s="1"/>
  <c r="AR83" i="4" s="1"/>
  <c r="AS83" i="4" s="1"/>
  <c r="AJ82" i="4"/>
  <c r="AK82" i="4" s="1"/>
  <c r="AL82" i="4" s="1"/>
  <c r="AM82" i="4" s="1"/>
  <c r="AN82" i="4" s="1"/>
  <c r="AO82" i="4" s="1"/>
  <c r="AP82" i="4" s="1"/>
  <c r="AQ82" i="4" s="1"/>
  <c r="AR82" i="4" s="1"/>
  <c r="AS82" i="4" s="1"/>
  <c r="AJ81" i="4"/>
  <c r="AK81" i="4" s="1"/>
  <c r="AL81" i="4" s="1"/>
  <c r="AM81" i="4" s="1"/>
  <c r="AN81" i="4" s="1"/>
  <c r="AO81" i="4" s="1"/>
  <c r="AP81" i="4" s="1"/>
  <c r="AQ81" i="4" s="1"/>
  <c r="AR81" i="4" s="1"/>
  <c r="AS81" i="4" s="1"/>
  <c r="AJ80" i="4"/>
  <c r="AK80" i="4" s="1"/>
  <c r="AL80" i="4" s="1"/>
  <c r="AM80" i="4" s="1"/>
  <c r="AN80" i="4" s="1"/>
  <c r="AO80" i="4" s="1"/>
  <c r="AP80" i="4" s="1"/>
  <c r="AQ80" i="4" s="1"/>
  <c r="AR80" i="4" s="1"/>
  <c r="AS80" i="4" s="1"/>
  <c r="D79" i="4"/>
  <c r="C79" i="4"/>
  <c r="C80" i="4" s="1"/>
  <c r="C81" i="4" s="1"/>
  <c r="C82" i="4" s="1"/>
  <c r="C83" i="4" s="1"/>
  <c r="C84" i="4" s="1"/>
  <c r="C85" i="4" s="1"/>
  <c r="C86" i="4" s="1"/>
  <c r="E78" i="4"/>
  <c r="E79" i="4" s="1"/>
  <c r="AJ91" i="3"/>
  <c r="AK91" i="3" s="1"/>
  <c r="AL91" i="3" s="1"/>
  <c r="AM91" i="3" s="1"/>
  <c r="AN91" i="3" s="1"/>
  <c r="AO91" i="3" s="1"/>
  <c r="AP91" i="3" s="1"/>
  <c r="AQ91" i="3" s="1"/>
  <c r="AR91" i="3" s="1"/>
  <c r="AS91" i="3" s="1"/>
  <c r="AJ90" i="3"/>
  <c r="AK90" i="3" s="1"/>
  <c r="AL90" i="3" s="1"/>
  <c r="AM90" i="3" s="1"/>
  <c r="AN90" i="3" s="1"/>
  <c r="AO90" i="3" s="1"/>
  <c r="AP90" i="3" s="1"/>
  <c r="AQ90" i="3" s="1"/>
  <c r="AR90" i="3" s="1"/>
  <c r="AS90" i="3" s="1"/>
  <c r="AJ89" i="3"/>
  <c r="AK89" i="3" s="1"/>
  <c r="AL89" i="3" s="1"/>
  <c r="AM89" i="3" s="1"/>
  <c r="AN89" i="3" s="1"/>
  <c r="AO89" i="3" s="1"/>
  <c r="AP89" i="3" s="1"/>
  <c r="AQ89" i="3" s="1"/>
  <c r="AR89" i="3" s="1"/>
  <c r="AS89" i="3" s="1"/>
  <c r="AJ88" i="3"/>
  <c r="AK88" i="3" s="1"/>
  <c r="AL88" i="3" s="1"/>
  <c r="AM88" i="3" s="1"/>
  <c r="AN88" i="3" s="1"/>
  <c r="AO88" i="3" s="1"/>
  <c r="AP88" i="3" s="1"/>
  <c r="AQ88" i="3" s="1"/>
  <c r="AR88" i="3" s="1"/>
  <c r="AS88" i="3" s="1"/>
  <c r="AJ85" i="3"/>
  <c r="AK85" i="3" s="1"/>
  <c r="AL85" i="3" s="1"/>
  <c r="AM85" i="3" s="1"/>
  <c r="AN85" i="3" s="1"/>
  <c r="AO85" i="3" s="1"/>
  <c r="AP85" i="3" s="1"/>
  <c r="AQ85" i="3" s="1"/>
  <c r="AR85" i="3" s="1"/>
  <c r="AS85" i="3" s="1"/>
  <c r="AJ84" i="3"/>
  <c r="AK84" i="3" s="1"/>
  <c r="AL84" i="3" s="1"/>
  <c r="AM84" i="3" s="1"/>
  <c r="AN84" i="3" s="1"/>
  <c r="AO84" i="3" s="1"/>
  <c r="AP84" i="3" s="1"/>
  <c r="AQ84" i="3" s="1"/>
  <c r="AR84" i="3" s="1"/>
  <c r="AS84" i="3" s="1"/>
  <c r="AJ83" i="3"/>
  <c r="AK83" i="3" s="1"/>
  <c r="AL83" i="3" s="1"/>
  <c r="AM83" i="3" s="1"/>
  <c r="AN83" i="3" s="1"/>
  <c r="AO83" i="3" s="1"/>
  <c r="AP83" i="3" s="1"/>
  <c r="AQ83" i="3" s="1"/>
  <c r="AR83" i="3" s="1"/>
  <c r="AS83" i="3" s="1"/>
  <c r="AJ82" i="3"/>
  <c r="AK82" i="3" s="1"/>
  <c r="AL82" i="3" s="1"/>
  <c r="AM82" i="3" s="1"/>
  <c r="AN82" i="3" s="1"/>
  <c r="AO82" i="3" s="1"/>
  <c r="AP82" i="3" s="1"/>
  <c r="AQ82" i="3" s="1"/>
  <c r="AR82" i="3" s="1"/>
  <c r="AS82" i="3" s="1"/>
  <c r="AJ81" i="3"/>
  <c r="AK81" i="3" s="1"/>
  <c r="AL81" i="3" s="1"/>
  <c r="AM81" i="3" s="1"/>
  <c r="AN81" i="3" s="1"/>
  <c r="AO81" i="3" s="1"/>
  <c r="AP81" i="3" s="1"/>
  <c r="AQ81" i="3" s="1"/>
  <c r="AR81" i="3" s="1"/>
  <c r="AS81" i="3" s="1"/>
  <c r="AJ80" i="3"/>
  <c r="AK80" i="3" s="1"/>
  <c r="AL80" i="3" s="1"/>
  <c r="AM80" i="3" s="1"/>
  <c r="AN80" i="3" s="1"/>
  <c r="AO80" i="3" s="1"/>
  <c r="AP80" i="3" s="1"/>
  <c r="AQ80" i="3" s="1"/>
  <c r="AR80" i="3" s="1"/>
  <c r="AS80" i="3" s="1"/>
  <c r="AJ79" i="3"/>
  <c r="AK79" i="3" s="1"/>
  <c r="AL79" i="3" s="1"/>
  <c r="AM79" i="3" s="1"/>
  <c r="AN79" i="3" s="1"/>
  <c r="AO79" i="3" s="1"/>
  <c r="AP79" i="3" s="1"/>
  <c r="AQ79" i="3" s="1"/>
  <c r="AR79" i="3" s="1"/>
  <c r="AS79" i="3" s="1"/>
  <c r="C79" i="3"/>
  <c r="C80" i="3" s="1"/>
  <c r="C81" i="3" s="1"/>
  <c r="C82" i="3" s="1"/>
  <c r="C83" i="3" s="1"/>
  <c r="A79" i="3"/>
  <c r="A80" i="3" s="1"/>
  <c r="A81" i="3" s="1"/>
  <c r="A82" i="3" s="1"/>
  <c r="A83" i="3" s="1"/>
  <c r="A84" i="3" s="1"/>
  <c r="A85" i="3" s="1"/>
  <c r="AJ78" i="3"/>
  <c r="AK78" i="3" s="1"/>
  <c r="AL78" i="3" s="1"/>
  <c r="AM78" i="3" s="1"/>
  <c r="AN78" i="3" s="1"/>
  <c r="AO78" i="3" s="1"/>
  <c r="AP78" i="3" s="1"/>
  <c r="AQ78" i="3" s="1"/>
  <c r="AR78" i="3" s="1"/>
  <c r="AS78" i="3" s="1"/>
  <c r="AJ77" i="3"/>
  <c r="AK77" i="3" s="1"/>
  <c r="AL77" i="3" s="1"/>
  <c r="AM77" i="3" s="1"/>
  <c r="AN77" i="3" s="1"/>
  <c r="AO77" i="3" s="1"/>
  <c r="AP77" i="3" s="1"/>
  <c r="AQ77" i="3" s="1"/>
  <c r="AR77" i="3" s="1"/>
  <c r="AS77" i="3" s="1"/>
  <c r="AJ76" i="3"/>
  <c r="AK76" i="3" s="1"/>
  <c r="AL76" i="3" s="1"/>
  <c r="AM76" i="3" s="1"/>
  <c r="AN76" i="3" s="1"/>
  <c r="AO76" i="3" s="1"/>
  <c r="AP76" i="3" s="1"/>
  <c r="AQ76" i="3" s="1"/>
  <c r="AR76" i="3" s="1"/>
  <c r="AS76" i="3" s="1"/>
  <c r="AJ75" i="3"/>
  <c r="AK75" i="3" s="1"/>
  <c r="AL75" i="3" s="1"/>
  <c r="AM75" i="3" s="1"/>
  <c r="AN75" i="3" s="1"/>
  <c r="AO75" i="3" s="1"/>
  <c r="AP75" i="3" s="1"/>
  <c r="AQ75" i="3" s="1"/>
  <c r="AR75" i="3" s="1"/>
  <c r="AS75" i="3" s="1"/>
  <c r="AJ74" i="3"/>
  <c r="AK74" i="3" s="1"/>
  <c r="AL74" i="3" s="1"/>
  <c r="AM74" i="3" s="1"/>
  <c r="AN74" i="3" s="1"/>
  <c r="AO74" i="3" s="1"/>
  <c r="AP74" i="3" s="1"/>
  <c r="AQ74" i="3" s="1"/>
  <c r="AR74" i="3" s="1"/>
  <c r="AS74" i="3" s="1"/>
  <c r="AJ69" i="3"/>
  <c r="AK69" i="3" s="1"/>
  <c r="AL69" i="3" s="1"/>
  <c r="AM69" i="3" s="1"/>
  <c r="AN69" i="3" s="1"/>
  <c r="AO69" i="3" s="1"/>
  <c r="AP69" i="3" s="1"/>
  <c r="AQ69" i="3" s="1"/>
  <c r="AR69" i="3" s="1"/>
  <c r="AS69" i="3" s="1"/>
  <c r="AJ68" i="3"/>
  <c r="AK68" i="3" s="1"/>
  <c r="AL68" i="3" s="1"/>
  <c r="AM68" i="3" s="1"/>
  <c r="AN68" i="3" s="1"/>
  <c r="AO68" i="3" s="1"/>
  <c r="AP68" i="3" s="1"/>
  <c r="AQ68" i="3" s="1"/>
  <c r="AR68" i="3" s="1"/>
  <c r="AS68" i="3" s="1"/>
  <c r="AJ67" i="3"/>
  <c r="AK67" i="3" s="1"/>
  <c r="AL67" i="3" s="1"/>
  <c r="AM67" i="3" s="1"/>
  <c r="AN67" i="3" s="1"/>
  <c r="AO67" i="3" s="1"/>
  <c r="AP67" i="3" s="1"/>
  <c r="AQ67" i="3" s="1"/>
  <c r="AR67" i="3" s="1"/>
  <c r="AS67" i="3" s="1"/>
  <c r="AJ66" i="3"/>
  <c r="AK66" i="3" s="1"/>
  <c r="AL66" i="3" s="1"/>
  <c r="AM66" i="3" s="1"/>
  <c r="AN66" i="3" s="1"/>
  <c r="AO66" i="3" s="1"/>
  <c r="AP66" i="3" s="1"/>
  <c r="AQ66" i="3" s="1"/>
  <c r="AR66" i="3" s="1"/>
  <c r="AS66" i="3" s="1"/>
  <c r="AJ65" i="3"/>
  <c r="AK65" i="3" s="1"/>
  <c r="AL65" i="3" s="1"/>
  <c r="AM65" i="3" s="1"/>
  <c r="AN65" i="3" s="1"/>
  <c r="AO65" i="3" s="1"/>
  <c r="AP65" i="3" s="1"/>
  <c r="AQ65" i="3" s="1"/>
  <c r="AR65" i="3" s="1"/>
  <c r="AS65" i="3" s="1"/>
  <c r="C65" i="3"/>
  <c r="C66" i="3" s="1"/>
  <c r="C67" i="3" s="1"/>
  <c r="C68" i="3" s="1"/>
  <c r="C69" i="3" s="1"/>
  <c r="A65" i="3"/>
  <c r="A66" i="3" s="1"/>
  <c r="A67" i="3" s="1"/>
  <c r="A68" i="3" s="1"/>
  <c r="A69" i="3" s="1"/>
  <c r="A70" i="3" s="1"/>
  <c r="A71" i="3" s="1"/>
  <c r="A72" i="3" s="1"/>
  <c r="A73" i="3" s="1"/>
  <c r="AJ64" i="3"/>
  <c r="AK64" i="3" s="1"/>
  <c r="AL64" i="3" s="1"/>
  <c r="AM64" i="3" s="1"/>
  <c r="AN64" i="3" s="1"/>
  <c r="AO64" i="3" s="1"/>
  <c r="AP64" i="3" s="1"/>
  <c r="AQ64" i="3" s="1"/>
  <c r="AR64" i="3" s="1"/>
  <c r="AS64" i="3" s="1"/>
  <c r="AJ63" i="3"/>
  <c r="AK63" i="3" s="1"/>
  <c r="AL63" i="3" s="1"/>
  <c r="AM63" i="3" s="1"/>
  <c r="AN63" i="3" s="1"/>
  <c r="AO63" i="3" s="1"/>
  <c r="AP63" i="3" s="1"/>
  <c r="AQ63" i="3" s="1"/>
  <c r="AR63" i="3" s="1"/>
  <c r="AS63" i="3" s="1"/>
  <c r="AJ62" i="3"/>
  <c r="AK62" i="3" s="1"/>
  <c r="AL62" i="3" s="1"/>
  <c r="AM62" i="3" s="1"/>
  <c r="AN62" i="3" s="1"/>
  <c r="AO62" i="3" s="1"/>
  <c r="AP62" i="3" s="1"/>
  <c r="AQ62" i="3" s="1"/>
  <c r="AR62" i="3" s="1"/>
  <c r="AS62" i="3" s="1"/>
  <c r="AJ61" i="3"/>
  <c r="AK61" i="3" s="1"/>
  <c r="AL61" i="3" s="1"/>
  <c r="AM61" i="3" s="1"/>
  <c r="AN61" i="3" s="1"/>
  <c r="AO61" i="3" s="1"/>
  <c r="AP61" i="3" s="1"/>
  <c r="AQ61" i="3" s="1"/>
  <c r="AR61" i="3" s="1"/>
  <c r="AS61" i="3" s="1"/>
  <c r="AJ60" i="3"/>
  <c r="AK60" i="3" s="1"/>
  <c r="AL60" i="3" s="1"/>
  <c r="AM60" i="3" s="1"/>
  <c r="AN60" i="3" s="1"/>
  <c r="AO60" i="3" s="1"/>
  <c r="AP60" i="3" s="1"/>
  <c r="AQ60" i="3" s="1"/>
  <c r="AR60" i="3" s="1"/>
  <c r="AS60" i="3" s="1"/>
  <c r="C51" i="3"/>
  <c r="C52" i="3" s="1"/>
  <c r="C53" i="3" s="1"/>
  <c r="C54" i="3" s="1"/>
  <c r="C55" i="3" s="1"/>
  <c r="A51" i="3"/>
  <c r="A52" i="3" s="1"/>
  <c r="A53" i="3" s="1"/>
  <c r="A54" i="3" s="1"/>
  <c r="A55" i="3" s="1"/>
  <c r="A56" i="3" s="1"/>
  <c r="A57" i="3" s="1"/>
  <c r="AJ23" i="3"/>
  <c r="AK23" i="3" s="1"/>
  <c r="AL23" i="3" s="1"/>
  <c r="AM23" i="3" s="1"/>
  <c r="AN23" i="3" s="1"/>
  <c r="AO23" i="3" s="1"/>
  <c r="AP23" i="3" s="1"/>
  <c r="AQ23" i="3" s="1"/>
  <c r="AR23" i="3" s="1"/>
  <c r="AS23" i="3" s="1"/>
  <c r="AJ22" i="3"/>
  <c r="AK22" i="3" s="1"/>
  <c r="AL22" i="3" s="1"/>
  <c r="AM22" i="3" s="1"/>
  <c r="AN22" i="3" s="1"/>
  <c r="AO22" i="3" s="1"/>
  <c r="AP22" i="3" s="1"/>
  <c r="AQ22" i="3" s="1"/>
  <c r="AR22" i="3" s="1"/>
  <c r="AS22" i="3" s="1"/>
  <c r="AJ21" i="3"/>
  <c r="AK21" i="3" s="1"/>
  <c r="AL21" i="3" s="1"/>
  <c r="AM21" i="3" s="1"/>
  <c r="AN21" i="3" s="1"/>
  <c r="AO21" i="3" s="1"/>
  <c r="AP21" i="3" s="1"/>
  <c r="AQ21" i="3" s="1"/>
  <c r="AR21" i="3" s="1"/>
  <c r="AS21" i="3" s="1"/>
  <c r="AJ20" i="3"/>
  <c r="AK20" i="3" s="1"/>
  <c r="AL20" i="3" s="1"/>
  <c r="AM20" i="3" s="1"/>
  <c r="AN20" i="3" s="1"/>
  <c r="AO20" i="3" s="1"/>
  <c r="AP20" i="3" s="1"/>
  <c r="AQ20" i="3" s="1"/>
  <c r="AR20" i="3" s="1"/>
  <c r="AS20" i="3" s="1"/>
  <c r="AJ19" i="3"/>
  <c r="AK19" i="3" s="1"/>
  <c r="AL19" i="3" s="1"/>
  <c r="AM19" i="3" s="1"/>
  <c r="AN19" i="3" s="1"/>
  <c r="AO19" i="3" s="1"/>
  <c r="AP19" i="3" s="1"/>
  <c r="AQ19" i="3" s="1"/>
  <c r="AR19" i="3" s="1"/>
  <c r="AS19" i="3" s="1"/>
  <c r="AJ18" i="3"/>
  <c r="AK18" i="3" s="1"/>
  <c r="AL18" i="3" s="1"/>
  <c r="AM18" i="3" s="1"/>
  <c r="AN18" i="3" s="1"/>
  <c r="AO18" i="3" s="1"/>
  <c r="AP18" i="3" s="1"/>
  <c r="AQ18" i="3" s="1"/>
  <c r="AR18" i="3" s="1"/>
  <c r="AS18" i="3" s="1"/>
  <c r="AJ17" i="3"/>
  <c r="AK17" i="3" s="1"/>
  <c r="AL17" i="3" s="1"/>
  <c r="AM17" i="3" s="1"/>
  <c r="AN17" i="3" s="1"/>
  <c r="AO17" i="3" s="1"/>
  <c r="AP17" i="3" s="1"/>
  <c r="AQ17" i="3" s="1"/>
  <c r="AR17" i="3" s="1"/>
  <c r="AS17" i="3" s="1"/>
  <c r="AJ16" i="3"/>
  <c r="AK16" i="3" s="1"/>
  <c r="AL16" i="3" s="1"/>
  <c r="AM16" i="3" s="1"/>
  <c r="AN16" i="3" s="1"/>
  <c r="AO16" i="3" s="1"/>
  <c r="AP16" i="3" s="1"/>
  <c r="AQ16" i="3" s="1"/>
  <c r="AR16" i="3" s="1"/>
  <c r="AS16" i="3" s="1"/>
  <c r="AJ15" i="3"/>
  <c r="AK15" i="3" s="1"/>
  <c r="AL15" i="3" s="1"/>
  <c r="AM15" i="3" s="1"/>
  <c r="AN15" i="3" s="1"/>
  <c r="AO15" i="3" s="1"/>
  <c r="AP15" i="3" s="1"/>
  <c r="AQ15" i="3" s="1"/>
  <c r="AR15" i="3" s="1"/>
  <c r="AS15" i="3" s="1"/>
  <c r="C15" i="3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A15" i="3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J14" i="3"/>
  <c r="AK14" i="3" s="1"/>
  <c r="AL14" i="3" s="1"/>
  <c r="AM14" i="3" s="1"/>
  <c r="AN14" i="3" s="1"/>
  <c r="AO14" i="3" s="1"/>
  <c r="AP14" i="3" s="1"/>
  <c r="AQ14" i="3" s="1"/>
  <c r="AR14" i="3" s="1"/>
  <c r="AS14" i="3" s="1"/>
  <c r="AJ39" i="4"/>
  <c r="AK39" i="4" s="1"/>
  <c r="AL39" i="4" s="1"/>
  <c r="AM39" i="4" s="1"/>
  <c r="AN39" i="4" s="1"/>
  <c r="AO39" i="4" s="1"/>
  <c r="AP39" i="4" s="1"/>
  <c r="AQ39" i="4" s="1"/>
  <c r="AR39" i="4" s="1"/>
  <c r="AS39" i="4" s="1"/>
  <c r="AJ38" i="4"/>
  <c r="AK38" i="4" s="1"/>
  <c r="AL38" i="4" s="1"/>
  <c r="AM38" i="4" s="1"/>
  <c r="AN38" i="4" s="1"/>
  <c r="AO38" i="4" s="1"/>
  <c r="AP38" i="4" s="1"/>
  <c r="AQ38" i="4" s="1"/>
  <c r="AR38" i="4" s="1"/>
  <c r="AS38" i="4" s="1"/>
  <c r="AJ37" i="4"/>
  <c r="AK37" i="4" s="1"/>
  <c r="AL37" i="4" s="1"/>
  <c r="AM37" i="4" s="1"/>
  <c r="AN37" i="4" s="1"/>
  <c r="AO37" i="4" s="1"/>
  <c r="AP37" i="4" s="1"/>
  <c r="AQ37" i="4" s="1"/>
  <c r="AR37" i="4" s="1"/>
  <c r="AS37" i="4" s="1"/>
  <c r="AJ36" i="4"/>
  <c r="AK36" i="4" s="1"/>
  <c r="AL36" i="4" s="1"/>
  <c r="AM36" i="4" s="1"/>
  <c r="AN36" i="4" s="1"/>
  <c r="AO36" i="4" s="1"/>
  <c r="AP36" i="4" s="1"/>
  <c r="AQ36" i="4" s="1"/>
  <c r="AR36" i="4" s="1"/>
  <c r="AS36" i="4" s="1"/>
  <c r="AJ35" i="4"/>
  <c r="AK35" i="4" s="1"/>
  <c r="AL35" i="4" s="1"/>
  <c r="AM35" i="4" s="1"/>
  <c r="AN35" i="4" s="1"/>
  <c r="AO35" i="4" s="1"/>
  <c r="AP35" i="4" s="1"/>
  <c r="AQ35" i="4" s="1"/>
  <c r="AR35" i="4" s="1"/>
  <c r="AS35" i="4" s="1"/>
  <c r="AJ34" i="4"/>
  <c r="AK34" i="4" s="1"/>
  <c r="AL34" i="4" s="1"/>
  <c r="AM34" i="4" s="1"/>
  <c r="AN34" i="4" s="1"/>
  <c r="AO34" i="4" s="1"/>
  <c r="AP34" i="4" s="1"/>
  <c r="AQ34" i="4" s="1"/>
  <c r="AR34" i="4" s="1"/>
  <c r="AS34" i="4" s="1"/>
  <c r="AJ33" i="4"/>
  <c r="AK33" i="4" s="1"/>
  <c r="AL33" i="4" s="1"/>
  <c r="AM33" i="4" s="1"/>
  <c r="AN33" i="4" s="1"/>
  <c r="AO33" i="4" s="1"/>
  <c r="AP33" i="4" s="1"/>
  <c r="AQ33" i="4" s="1"/>
  <c r="AR33" i="4" s="1"/>
  <c r="AS33" i="4" s="1"/>
  <c r="AS32" i="4"/>
  <c r="AO30" i="4"/>
  <c r="AP30" i="4" s="1"/>
  <c r="AQ30" i="4" s="1"/>
  <c r="AR30" i="4" s="1"/>
  <c r="AS30" i="4" s="1"/>
  <c r="AJ29" i="4"/>
  <c r="AK29" i="4" s="1"/>
  <c r="AL29" i="4" s="1"/>
  <c r="AM29" i="4" s="1"/>
  <c r="AN29" i="4" s="1"/>
  <c r="AO29" i="4" s="1"/>
  <c r="AP29" i="4" s="1"/>
  <c r="AQ29" i="4" s="1"/>
  <c r="AR29" i="4" s="1"/>
  <c r="AS29" i="4" s="1"/>
  <c r="AJ28" i="4"/>
  <c r="AK28" i="4" s="1"/>
  <c r="AL28" i="4" s="1"/>
  <c r="AM28" i="4" s="1"/>
  <c r="AN28" i="4" s="1"/>
  <c r="AO28" i="4" s="1"/>
  <c r="AP28" i="4" s="1"/>
  <c r="AQ28" i="4" s="1"/>
  <c r="AR28" i="4" s="1"/>
  <c r="AS28" i="4" s="1"/>
  <c r="AJ27" i="4"/>
  <c r="AK27" i="4" s="1"/>
  <c r="AL27" i="4" s="1"/>
  <c r="AM27" i="4" s="1"/>
  <c r="AN27" i="4" s="1"/>
  <c r="AO27" i="4" s="1"/>
  <c r="AP27" i="4" s="1"/>
  <c r="AQ27" i="4" s="1"/>
  <c r="AR27" i="4" s="1"/>
  <c r="AS27" i="4" s="1"/>
  <c r="AJ25" i="4"/>
  <c r="AK25" i="4" s="1"/>
  <c r="AL25" i="4" s="1"/>
  <c r="AM25" i="4" s="1"/>
  <c r="AN25" i="4" s="1"/>
  <c r="AO25" i="4" s="1"/>
  <c r="AP25" i="4" s="1"/>
  <c r="AQ25" i="4" s="1"/>
  <c r="AR25" i="4" s="1"/>
  <c r="AS25" i="4" s="1"/>
  <c r="AJ24" i="4"/>
  <c r="AK24" i="4" s="1"/>
  <c r="AL24" i="4" s="1"/>
  <c r="AM24" i="4" s="1"/>
  <c r="AN24" i="4" s="1"/>
  <c r="AO24" i="4" s="1"/>
  <c r="AP24" i="4" s="1"/>
  <c r="AQ24" i="4" s="1"/>
  <c r="AR24" i="4" s="1"/>
  <c r="AS24" i="4" s="1"/>
  <c r="AJ23" i="4"/>
  <c r="AK23" i="4" s="1"/>
  <c r="AL23" i="4" s="1"/>
  <c r="AM23" i="4" s="1"/>
  <c r="AN23" i="4" s="1"/>
  <c r="AO23" i="4" s="1"/>
  <c r="AP23" i="4" s="1"/>
  <c r="AQ23" i="4" s="1"/>
  <c r="AR23" i="4" s="1"/>
  <c r="AS23" i="4" s="1"/>
  <c r="D22" i="4"/>
  <c r="C22" i="4"/>
  <c r="C23" i="4" s="1"/>
  <c r="C24" i="4" s="1"/>
  <c r="C25" i="4" s="1"/>
  <c r="C26" i="4" s="1"/>
  <c r="C27" i="4" s="1"/>
  <c r="C28" i="4" s="1"/>
  <c r="C29" i="4" s="1"/>
  <c r="E21" i="4"/>
  <c r="E22" i="4" s="1"/>
  <c r="AJ77" i="4"/>
  <c r="AK77" i="4" s="1"/>
  <c r="AL77" i="4" s="1"/>
  <c r="AM77" i="4" s="1"/>
  <c r="AN77" i="4" s="1"/>
  <c r="AO77" i="4" s="1"/>
  <c r="AP77" i="4" s="1"/>
  <c r="AQ77" i="4" s="1"/>
  <c r="AR77" i="4" s="1"/>
  <c r="AS77" i="4" s="1"/>
  <c r="AJ76" i="4"/>
  <c r="AK76" i="4" s="1"/>
  <c r="AL76" i="4" s="1"/>
  <c r="AM76" i="4" s="1"/>
  <c r="AN76" i="4" s="1"/>
  <c r="AO76" i="4" s="1"/>
  <c r="AP76" i="4" s="1"/>
  <c r="AQ76" i="4" s="1"/>
  <c r="AR76" i="4" s="1"/>
  <c r="AS76" i="4" s="1"/>
  <c r="AJ75" i="4"/>
  <c r="AK75" i="4" s="1"/>
  <c r="AL75" i="4" s="1"/>
  <c r="AM75" i="4" s="1"/>
  <c r="AN75" i="4" s="1"/>
  <c r="AO75" i="4" s="1"/>
  <c r="AP75" i="4" s="1"/>
  <c r="AQ75" i="4" s="1"/>
  <c r="AR75" i="4" s="1"/>
  <c r="AS75" i="4" s="1"/>
  <c r="AJ74" i="4"/>
  <c r="AK74" i="4" s="1"/>
  <c r="AL74" i="4" s="1"/>
  <c r="AM74" i="4" s="1"/>
  <c r="AN74" i="4" s="1"/>
  <c r="AO74" i="4" s="1"/>
  <c r="AP74" i="4" s="1"/>
  <c r="AQ74" i="4" s="1"/>
  <c r="AR74" i="4" s="1"/>
  <c r="AS74" i="4" s="1"/>
  <c r="AJ73" i="4"/>
  <c r="AK73" i="4" s="1"/>
  <c r="AL73" i="4" s="1"/>
  <c r="AM73" i="4" s="1"/>
  <c r="AN73" i="4" s="1"/>
  <c r="AO73" i="4" s="1"/>
  <c r="AP73" i="4" s="1"/>
  <c r="AQ73" i="4" s="1"/>
  <c r="AR73" i="4" s="1"/>
  <c r="AS73" i="4" s="1"/>
  <c r="AJ72" i="4"/>
  <c r="AK72" i="4" s="1"/>
  <c r="AL72" i="4" s="1"/>
  <c r="AM72" i="4" s="1"/>
  <c r="AN72" i="4" s="1"/>
  <c r="AO72" i="4" s="1"/>
  <c r="AP72" i="4" s="1"/>
  <c r="AQ72" i="4" s="1"/>
  <c r="AR72" i="4" s="1"/>
  <c r="AS72" i="4" s="1"/>
  <c r="AJ71" i="4"/>
  <c r="AK71" i="4" s="1"/>
  <c r="AL71" i="4" s="1"/>
  <c r="AM71" i="4" s="1"/>
  <c r="AN71" i="4" s="1"/>
  <c r="AO71" i="4" s="1"/>
  <c r="AP71" i="4" s="1"/>
  <c r="AQ71" i="4" s="1"/>
  <c r="AR71" i="4" s="1"/>
  <c r="AS71" i="4" s="1"/>
  <c r="Y70" i="4"/>
  <c r="Z70" i="4" s="1"/>
  <c r="AA70" i="4" s="1"/>
  <c r="AB70" i="4" s="1"/>
  <c r="AC70" i="4" s="1"/>
  <c r="AD70" i="4" s="1"/>
  <c r="AE70" i="4" s="1"/>
  <c r="AF70" i="4" s="1"/>
  <c r="AG70" i="4" s="1"/>
  <c r="AH70" i="4" s="1"/>
  <c r="AI70" i="4" s="1"/>
  <c r="AJ70" i="4" s="1"/>
  <c r="AK70" i="4" s="1"/>
  <c r="AL70" i="4" s="1"/>
  <c r="AM70" i="4" s="1"/>
  <c r="AN70" i="4" s="1"/>
  <c r="AO70" i="4" s="1"/>
  <c r="AP70" i="4" s="1"/>
  <c r="AQ70" i="4" s="1"/>
  <c r="AR70" i="4" s="1"/>
  <c r="AS70" i="4" s="1"/>
  <c r="AJ67" i="4"/>
  <c r="AK67" i="4" s="1"/>
  <c r="AL67" i="4" s="1"/>
  <c r="AM67" i="4" s="1"/>
  <c r="AN67" i="4" s="1"/>
  <c r="AJ66" i="4"/>
  <c r="AK66" i="4" s="1"/>
  <c r="AL66" i="4" s="1"/>
  <c r="AM66" i="4" s="1"/>
  <c r="AN66" i="4" s="1"/>
  <c r="AO66" i="4" s="1"/>
  <c r="AP66" i="4" s="1"/>
  <c r="AQ66" i="4" s="1"/>
  <c r="AR66" i="4" s="1"/>
  <c r="AS66" i="4" s="1"/>
  <c r="AJ65" i="4"/>
  <c r="AK65" i="4" s="1"/>
  <c r="AL65" i="4" s="1"/>
  <c r="AM65" i="4" s="1"/>
  <c r="AN65" i="4" s="1"/>
  <c r="AO65" i="4" s="1"/>
  <c r="AP65" i="4" s="1"/>
  <c r="AQ65" i="4" s="1"/>
  <c r="AR65" i="4" s="1"/>
  <c r="AS65" i="4" s="1"/>
  <c r="AJ63" i="4"/>
  <c r="AK63" i="4" s="1"/>
  <c r="AL63" i="4" s="1"/>
  <c r="AM63" i="4" s="1"/>
  <c r="AN63" i="4" s="1"/>
  <c r="AO63" i="4" s="1"/>
  <c r="AP63" i="4" s="1"/>
  <c r="AQ63" i="4" s="1"/>
  <c r="AR63" i="4" s="1"/>
  <c r="AS63" i="4" s="1"/>
  <c r="AS62" i="4"/>
  <c r="AS61" i="4"/>
  <c r="D60" i="4"/>
  <c r="C60" i="4"/>
  <c r="C61" i="4" s="1"/>
  <c r="C62" i="4" s="1"/>
  <c r="C63" i="4" s="1"/>
  <c r="C64" i="4" s="1"/>
  <c r="C65" i="4" s="1"/>
  <c r="C66" i="4" s="1"/>
  <c r="C67" i="4" s="1"/>
  <c r="E59" i="4"/>
  <c r="F59" i="4" s="1"/>
  <c r="AJ47" i="3"/>
  <c r="AK47" i="3" s="1"/>
  <c r="AL47" i="3" s="1"/>
  <c r="AM47" i="3" s="1"/>
  <c r="AN47" i="3" s="1"/>
  <c r="AO47" i="3" s="1"/>
  <c r="AP47" i="3" s="1"/>
  <c r="AQ47" i="3" s="1"/>
  <c r="AR47" i="3" s="1"/>
  <c r="AS47" i="3" s="1"/>
  <c r="AJ46" i="3"/>
  <c r="AK46" i="3" s="1"/>
  <c r="AL46" i="3" s="1"/>
  <c r="AM46" i="3" s="1"/>
  <c r="AN46" i="3" s="1"/>
  <c r="AO46" i="3" s="1"/>
  <c r="AP46" i="3" s="1"/>
  <c r="AQ46" i="3" s="1"/>
  <c r="AR46" i="3" s="1"/>
  <c r="AS46" i="3" s="1"/>
  <c r="AJ45" i="3"/>
  <c r="AK45" i="3" s="1"/>
  <c r="AL45" i="3" s="1"/>
  <c r="AM45" i="3" s="1"/>
  <c r="AN45" i="3" s="1"/>
  <c r="AO45" i="3" s="1"/>
  <c r="AP45" i="3" s="1"/>
  <c r="AQ45" i="3" s="1"/>
  <c r="AR45" i="3" s="1"/>
  <c r="AS45" i="3" s="1"/>
  <c r="AJ44" i="3"/>
  <c r="AK44" i="3" s="1"/>
  <c r="AL44" i="3" s="1"/>
  <c r="AM44" i="3" s="1"/>
  <c r="AN44" i="3" s="1"/>
  <c r="AO44" i="3" s="1"/>
  <c r="AP44" i="3" s="1"/>
  <c r="AQ44" i="3" s="1"/>
  <c r="AR44" i="3" s="1"/>
  <c r="AS44" i="3" s="1"/>
  <c r="AJ43" i="3"/>
  <c r="AK43" i="3" s="1"/>
  <c r="AL43" i="3" s="1"/>
  <c r="AM43" i="3" s="1"/>
  <c r="AN43" i="3" s="1"/>
  <c r="AO43" i="3" s="1"/>
  <c r="AP43" i="3" s="1"/>
  <c r="AQ43" i="3" s="1"/>
  <c r="AR43" i="3" s="1"/>
  <c r="AS43" i="3" s="1"/>
  <c r="AJ42" i="3"/>
  <c r="AK42" i="3" s="1"/>
  <c r="AL42" i="3" s="1"/>
  <c r="AM42" i="3" s="1"/>
  <c r="AN42" i="3" s="1"/>
  <c r="AO42" i="3" s="1"/>
  <c r="AP42" i="3" s="1"/>
  <c r="AQ42" i="3" s="1"/>
  <c r="AR42" i="3" s="1"/>
  <c r="AS42" i="3" s="1"/>
  <c r="C39" i="3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A39" i="3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J48" i="4"/>
  <c r="AK48" i="4" s="1"/>
  <c r="AL48" i="4" s="1"/>
  <c r="AM48" i="4" s="1"/>
  <c r="AN48" i="4" s="1"/>
  <c r="AO48" i="4" s="1"/>
  <c r="AP48" i="4" s="1"/>
  <c r="AQ48" i="4" s="1"/>
  <c r="AR48" i="4" s="1"/>
  <c r="AS48" i="4" s="1"/>
  <c r="AJ47" i="4"/>
  <c r="AK47" i="4" s="1"/>
  <c r="AL47" i="4" s="1"/>
  <c r="AM47" i="4" s="1"/>
  <c r="AN47" i="4" s="1"/>
  <c r="AO47" i="4" s="1"/>
  <c r="AP47" i="4" s="1"/>
  <c r="AQ47" i="4" s="1"/>
  <c r="AR47" i="4" s="1"/>
  <c r="AS47" i="4" s="1"/>
  <c r="AJ46" i="4"/>
  <c r="AK46" i="4" s="1"/>
  <c r="AL46" i="4" s="1"/>
  <c r="AM46" i="4" s="1"/>
  <c r="AN46" i="4" s="1"/>
  <c r="AO46" i="4" s="1"/>
  <c r="AP46" i="4" s="1"/>
  <c r="AQ46" i="4" s="1"/>
  <c r="AR46" i="4" s="1"/>
  <c r="AS46" i="4" s="1"/>
  <c r="AJ58" i="4"/>
  <c r="AK58" i="4" s="1"/>
  <c r="AL58" i="4" s="1"/>
  <c r="AM58" i="4" s="1"/>
  <c r="AN58" i="4" s="1"/>
  <c r="AO58" i="4" s="1"/>
  <c r="AP58" i="4" s="1"/>
  <c r="AQ58" i="4" s="1"/>
  <c r="AR58" i="4" s="1"/>
  <c r="AS58" i="4" s="1"/>
  <c r="AJ57" i="4"/>
  <c r="AK57" i="4" s="1"/>
  <c r="AL57" i="4" s="1"/>
  <c r="AM57" i="4" s="1"/>
  <c r="AN57" i="4" s="1"/>
  <c r="AO57" i="4" s="1"/>
  <c r="AP57" i="4" s="1"/>
  <c r="AQ57" i="4" s="1"/>
  <c r="AR57" i="4" s="1"/>
  <c r="AS57" i="4" s="1"/>
  <c r="AJ56" i="4"/>
  <c r="AK56" i="4" s="1"/>
  <c r="AL56" i="4" s="1"/>
  <c r="AM56" i="4" s="1"/>
  <c r="AN56" i="4" s="1"/>
  <c r="AO56" i="4" s="1"/>
  <c r="AP56" i="4" s="1"/>
  <c r="AQ56" i="4" s="1"/>
  <c r="AR56" i="4" s="1"/>
  <c r="AS56" i="4" s="1"/>
  <c r="AJ55" i="4"/>
  <c r="AK55" i="4" s="1"/>
  <c r="AL55" i="4" s="1"/>
  <c r="AM55" i="4" s="1"/>
  <c r="AN55" i="4" s="1"/>
  <c r="AO55" i="4" s="1"/>
  <c r="AP55" i="4" s="1"/>
  <c r="AQ55" i="4" s="1"/>
  <c r="AR55" i="4" s="1"/>
  <c r="AS55" i="4" s="1"/>
  <c r="AJ54" i="4"/>
  <c r="AK54" i="4" s="1"/>
  <c r="AL54" i="4" s="1"/>
  <c r="AM54" i="4" s="1"/>
  <c r="AN54" i="4" s="1"/>
  <c r="AO54" i="4" s="1"/>
  <c r="AP54" i="4" s="1"/>
  <c r="AQ54" i="4" s="1"/>
  <c r="AR54" i="4" s="1"/>
  <c r="AS54" i="4" s="1"/>
  <c r="AJ53" i="4"/>
  <c r="AK53" i="4" s="1"/>
  <c r="AL53" i="4" s="1"/>
  <c r="AM53" i="4" s="1"/>
  <c r="AN53" i="4" s="1"/>
  <c r="AO53" i="4" s="1"/>
  <c r="AP53" i="4" s="1"/>
  <c r="AQ53" i="4" s="1"/>
  <c r="AR53" i="4" s="1"/>
  <c r="AS53" i="4" s="1"/>
  <c r="AJ52" i="4"/>
  <c r="AK52" i="4" s="1"/>
  <c r="AL52" i="4" s="1"/>
  <c r="AM52" i="4" s="1"/>
  <c r="AN52" i="4" s="1"/>
  <c r="AO52" i="4" s="1"/>
  <c r="AP52" i="4" s="1"/>
  <c r="AQ52" i="4" s="1"/>
  <c r="AR52" i="4" s="1"/>
  <c r="AS52" i="4" s="1"/>
  <c r="Y51" i="4"/>
  <c r="Z51" i="4" s="1"/>
  <c r="AA51" i="4" s="1"/>
  <c r="AB51" i="4" s="1"/>
  <c r="AC51" i="4" s="1"/>
  <c r="AD51" i="4" s="1"/>
  <c r="AE51" i="4" s="1"/>
  <c r="AF51" i="4" s="1"/>
  <c r="AG51" i="4" s="1"/>
  <c r="AH51" i="4" s="1"/>
  <c r="AI51" i="4" s="1"/>
  <c r="AJ51" i="4" s="1"/>
  <c r="AK51" i="4" s="1"/>
  <c r="AL51" i="4" s="1"/>
  <c r="AM51" i="4" s="1"/>
  <c r="AN51" i="4" s="1"/>
  <c r="AO51" i="4" s="1"/>
  <c r="AP51" i="4" s="1"/>
  <c r="AQ51" i="4" s="1"/>
  <c r="AR51" i="4" s="1"/>
  <c r="AS51" i="4" s="1"/>
  <c r="AK50" i="4"/>
  <c r="AL50" i="4" s="1"/>
  <c r="AM50" i="4" s="1"/>
  <c r="AN50" i="4" s="1"/>
  <c r="AO50" i="4" s="1"/>
  <c r="AP50" i="4" s="1"/>
  <c r="AQ50" i="4" s="1"/>
  <c r="AR50" i="4" s="1"/>
  <c r="AJ45" i="4"/>
  <c r="AK45" i="4" s="1"/>
  <c r="AL45" i="4" s="1"/>
  <c r="AM45" i="4" s="1"/>
  <c r="AN45" i="4" s="1"/>
  <c r="AO45" i="4" s="1"/>
  <c r="AP45" i="4" s="1"/>
  <c r="AQ45" i="4" s="1"/>
  <c r="AR45" i="4" s="1"/>
  <c r="AS45" i="4" s="1"/>
  <c r="AJ44" i="4"/>
  <c r="AK44" i="4" s="1"/>
  <c r="AL44" i="4" s="1"/>
  <c r="AM44" i="4" s="1"/>
  <c r="AN44" i="4" s="1"/>
  <c r="AO44" i="4" s="1"/>
  <c r="AP44" i="4" s="1"/>
  <c r="AQ44" i="4" s="1"/>
  <c r="AR44" i="4" s="1"/>
  <c r="AS44" i="4" s="1"/>
  <c r="AS43" i="4"/>
  <c r="AS42" i="4"/>
  <c r="D41" i="4"/>
  <c r="C41" i="4"/>
  <c r="C42" i="4" s="1"/>
  <c r="C43" i="4" s="1"/>
  <c r="C44" i="4" s="1"/>
  <c r="C45" i="4" s="1"/>
  <c r="C46" i="4" s="1"/>
  <c r="C47" i="4" s="1"/>
  <c r="C48" i="4" s="1"/>
  <c r="E40" i="4"/>
  <c r="F40" i="4" s="1"/>
  <c r="G40" i="4" s="1"/>
  <c r="AJ37" i="3"/>
  <c r="AK37" i="3" s="1"/>
  <c r="AL37" i="3" s="1"/>
  <c r="AM37" i="3" s="1"/>
  <c r="AN37" i="3" s="1"/>
  <c r="AO37" i="3" s="1"/>
  <c r="AP37" i="3" s="1"/>
  <c r="AQ37" i="3" s="1"/>
  <c r="AR37" i="3" s="1"/>
  <c r="AS37" i="3" s="1"/>
  <c r="AJ36" i="3"/>
  <c r="AK36" i="3" s="1"/>
  <c r="AL36" i="3" s="1"/>
  <c r="AM36" i="3" s="1"/>
  <c r="AN36" i="3" s="1"/>
  <c r="AO36" i="3" s="1"/>
  <c r="AP36" i="3" s="1"/>
  <c r="AQ36" i="3" s="1"/>
  <c r="AR36" i="3" s="1"/>
  <c r="AS36" i="3" s="1"/>
  <c r="AJ35" i="3"/>
  <c r="AK35" i="3" s="1"/>
  <c r="AL35" i="3" s="1"/>
  <c r="AM35" i="3" s="1"/>
  <c r="AN35" i="3" s="1"/>
  <c r="AO35" i="3" s="1"/>
  <c r="AP35" i="3" s="1"/>
  <c r="AQ35" i="3" s="1"/>
  <c r="AR35" i="3" s="1"/>
  <c r="AS35" i="3" s="1"/>
  <c r="AJ34" i="3"/>
  <c r="AK34" i="3" s="1"/>
  <c r="AL34" i="3" s="1"/>
  <c r="AM34" i="3" s="1"/>
  <c r="AN34" i="3" s="1"/>
  <c r="AO34" i="3" s="1"/>
  <c r="AP34" i="3" s="1"/>
  <c r="AQ34" i="3" s="1"/>
  <c r="AR34" i="3" s="1"/>
  <c r="AS34" i="3" s="1"/>
  <c r="AJ33" i="3"/>
  <c r="AK33" i="3" s="1"/>
  <c r="AL33" i="3" s="1"/>
  <c r="AM33" i="3" s="1"/>
  <c r="AN33" i="3" s="1"/>
  <c r="AO33" i="3" s="1"/>
  <c r="AP33" i="3" s="1"/>
  <c r="AQ33" i="3" s="1"/>
  <c r="AR33" i="3" s="1"/>
  <c r="AS33" i="3" s="1"/>
  <c r="AJ32" i="3"/>
  <c r="AK32" i="3" s="1"/>
  <c r="AL32" i="3" s="1"/>
  <c r="AM32" i="3" s="1"/>
  <c r="AN32" i="3" s="1"/>
  <c r="AO32" i="3" s="1"/>
  <c r="AP32" i="3" s="1"/>
  <c r="AQ32" i="3" s="1"/>
  <c r="AR32" i="3" s="1"/>
  <c r="AS32" i="3" s="1"/>
  <c r="AJ31" i="3"/>
  <c r="AK31" i="3" s="1"/>
  <c r="AL31" i="3" s="1"/>
  <c r="AM31" i="3" s="1"/>
  <c r="AN31" i="3" s="1"/>
  <c r="AO31" i="3" s="1"/>
  <c r="AP31" i="3" s="1"/>
  <c r="AQ31" i="3" s="1"/>
  <c r="AR31" i="3" s="1"/>
  <c r="AS31" i="3" s="1"/>
  <c r="AJ30" i="3"/>
  <c r="AK30" i="3" s="1"/>
  <c r="AL30" i="3" s="1"/>
  <c r="AM30" i="3" s="1"/>
  <c r="AN30" i="3" s="1"/>
  <c r="AO30" i="3" s="1"/>
  <c r="AP30" i="3" s="1"/>
  <c r="AQ30" i="3" s="1"/>
  <c r="AR30" i="3" s="1"/>
  <c r="AS30" i="3" s="1"/>
  <c r="C27" i="3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A27" i="3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J20" i="4"/>
  <c r="AK20" i="4" s="1"/>
  <c r="AL20" i="4" s="1"/>
  <c r="AM20" i="4" s="1"/>
  <c r="AN20" i="4" s="1"/>
  <c r="AO20" i="4" s="1"/>
  <c r="AP20" i="4" s="1"/>
  <c r="AQ20" i="4" s="1"/>
  <c r="AR20" i="4" s="1"/>
  <c r="AS20" i="4" s="1"/>
  <c r="AJ19" i="4"/>
  <c r="AK19" i="4" s="1"/>
  <c r="AL19" i="4" s="1"/>
  <c r="AM19" i="4" s="1"/>
  <c r="AN19" i="4" s="1"/>
  <c r="AO19" i="4" s="1"/>
  <c r="AP19" i="4" s="1"/>
  <c r="AQ19" i="4" s="1"/>
  <c r="AR19" i="4" s="1"/>
  <c r="AS19" i="4" s="1"/>
  <c r="AJ18" i="4"/>
  <c r="AK18" i="4" s="1"/>
  <c r="AL18" i="4" s="1"/>
  <c r="AM18" i="4" s="1"/>
  <c r="AN18" i="4" s="1"/>
  <c r="AO18" i="4" s="1"/>
  <c r="AP18" i="4" s="1"/>
  <c r="AQ18" i="4" s="1"/>
  <c r="AR18" i="4" s="1"/>
  <c r="AS18" i="4" s="1"/>
  <c r="AJ17" i="4"/>
  <c r="AK17" i="4" s="1"/>
  <c r="AL17" i="4" s="1"/>
  <c r="AM17" i="4" s="1"/>
  <c r="AN17" i="4" s="1"/>
  <c r="AO17" i="4" s="1"/>
  <c r="AP17" i="4" s="1"/>
  <c r="AQ17" i="4" s="1"/>
  <c r="AR17" i="4" s="1"/>
  <c r="AS17" i="4" s="1"/>
  <c r="AJ16" i="4"/>
  <c r="AK16" i="4" s="1"/>
  <c r="AL16" i="4" s="1"/>
  <c r="AM16" i="4" s="1"/>
  <c r="AN16" i="4" s="1"/>
  <c r="AO16" i="4" s="1"/>
  <c r="AP16" i="4" s="1"/>
  <c r="AQ16" i="4" s="1"/>
  <c r="AR16" i="4" s="1"/>
  <c r="AS16" i="4" s="1"/>
  <c r="AJ15" i="4"/>
  <c r="AK15" i="4" s="1"/>
  <c r="AL15" i="4" s="1"/>
  <c r="AM15" i="4" s="1"/>
  <c r="AN15" i="4" s="1"/>
  <c r="AO15" i="4" s="1"/>
  <c r="AP15" i="4" s="1"/>
  <c r="AQ15" i="4" s="1"/>
  <c r="AR15" i="4" s="1"/>
  <c r="AS15" i="4" s="1"/>
  <c r="AJ14" i="4"/>
  <c r="AK14" i="4" s="1"/>
  <c r="AL14" i="4" s="1"/>
  <c r="AM14" i="4" s="1"/>
  <c r="AN14" i="4" s="1"/>
  <c r="AO14" i="4" s="1"/>
  <c r="AP14" i="4" s="1"/>
  <c r="AQ14" i="4" s="1"/>
  <c r="AR14" i="4" s="1"/>
  <c r="AS14" i="4" s="1"/>
  <c r="Y13" i="4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K12" i="4"/>
  <c r="AL12" i="4" s="1"/>
  <c r="AM12" i="4" s="1"/>
  <c r="AN12" i="4" s="1"/>
  <c r="AO12" i="4" s="1"/>
  <c r="AP12" i="4" s="1"/>
  <c r="AQ12" i="4" s="1"/>
  <c r="AR12" i="4" s="1"/>
  <c r="AO11" i="4"/>
  <c r="AP11" i="4" s="1"/>
  <c r="AQ11" i="4" s="1"/>
  <c r="AR11" i="4" s="1"/>
  <c r="AS11" i="4" s="1"/>
  <c r="AJ10" i="4"/>
  <c r="AK10" i="4" s="1"/>
  <c r="AL10" i="4" s="1"/>
  <c r="AM10" i="4" s="1"/>
  <c r="AN10" i="4" s="1"/>
  <c r="AO10" i="4" s="1"/>
  <c r="AP10" i="4" s="1"/>
  <c r="AQ10" i="4" s="1"/>
  <c r="AR10" i="4" s="1"/>
  <c r="AS10" i="4" s="1"/>
  <c r="AJ9" i="4"/>
  <c r="AK9" i="4" s="1"/>
  <c r="AL9" i="4" s="1"/>
  <c r="AM9" i="4" s="1"/>
  <c r="AN9" i="4" s="1"/>
  <c r="AO9" i="4" s="1"/>
  <c r="AP9" i="4" s="1"/>
  <c r="AQ9" i="4" s="1"/>
  <c r="AR9" i="4" s="1"/>
  <c r="AS9" i="4" s="1"/>
  <c r="AJ8" i="4"/>
  <c r="AK8" i="4" s="1"/>
  <c r="AL8" i="4" s="1"/>
  <c r="AM8" i="4" s="1"/>
  <c r="AN8" i="4" s="1"/>
  <c r="AO8" i="4" s="1"/>
  <c r="AP8" i="4" s="1"/>
  <c r="AQ8" i="4" s="1"/>
  <c r="AR8" i="4" s="1"/>
  <c r="AS8" i="4" s="1"/>
  <c r="AJ7" i="4"/>
  <c r="AK7" i="4" s="1"/>
  <c r="AL7" i="4" s="1"/>
  <c r="AM7" i="4" s="1"/>
  <c r="AN7" i="4" s="1"/>
  <c r="AO7" i="4" s="1"/>
  <c r="AP7" i="4" s="1"/>
  <c r="AQ7" i="4" s="1"/>
  <c r="AR7" i="4" s="1"/>
  <c r="AS7" i="4" s="1"/>
  <c r="AJ6" i="4"/>
  <c r="AK6" i="4" s="1"/>
  <c r="AL6" i="4" s="1"/>
  <c r="AM6" i="4" s="1"/>
  <c r="AN6" i="4" s="1"/>
  <c r="AO6" i="4" s="1"/>
  <c r="AP6" i="4" s="1"/>
  <c r="AQ6" i="4" s="1"/>
  <c r="AR6" i="4" s="1"/>
  <c r="AS6" i="4" s="1"/>
  <c r="AJ5" i="4"/>
  <c r="AK5" i="4" s="1"/>
  <c r="AL5" i="4" s="1"/>
  <c r="AM5" i="4" s="1"/>
  <c r="AN5" i="4" s="1"/>
  <c r="AO5" i="4" s="1"/>
  <c r="AP5" i="4" s="1"/>
  <c r="AQ5" i="4" s="1"/>
  <c r="AR5" i="4" s="1"/>
  <c r="AS5" i="4" s="1"/>
  <c r="AJ4" i="4"/>
  <c r="AK4" i="4" s="1"/>
  <c r="AL4" i="4" s="1"/>
  <c r="AM4" i="4" s="1"/>
  <c r="AN4" i="4" s="1"/>
  <c r="AO4" i="4" s="1"/>
  <c r="AP4" i="4" s="1"/>
  <c r="AQ4" i="4" s="1"/>
  <c r="AR4" i="4" s="1"/>
  <c r="AS4" i="4" s="1"/>
  <c r="D3" i="4"/>
  <c r="C3" i="4"/>
  <c r="C4" i="4" s="1"/>
  <c r="C5" i="4" s="1"/>
  <c r="C6" i="4" s="1"/>
  <c r="C7" i="4" s="1"/>
  <c r="C8" i="4" s="1"/>
  <c r="C9" i="4" s="1"/>
  <c r="C10" i="4" s="1"/>
  <c r="E2" i="4"/>
  <c r="F2" i="4" s="1"/>
  <c r="AJ1" i="4"/>
  <c r="AK1" i="4" s="1"/>
  <c r="AL1" i="4" s="1"/>
  <c r="AM1" i="4" s="1"/>
  <c r="AN1" i="4" s="1"/>
  <c r="AO1" i="4" s="1"/>
  <c r="AP1" i="4" s="1"/>
  <c r="AQ1" i="4" s="1"/>
  <c r="AR1" i="4" s="1"/>
  <c r="AS1" i="4" s="1"/>
  <c r="AJ13" i="3"/>
  <c r="AK13" i="3" s="1"/>
  <c r="AL13" i="3" s="1"/>
  <c r="AM13" i="3" s="1"/>
  <c r="AN13" i="3" s="1"/>
  <c r="AO13" i="3" s="1"/>
  <c r="AP13" i="3" s="1"/>
  <c r="AQ13" i="3" s="1"/>
  <c r="AR13" i="3" s="1"/>
  <c r="AS13" i="3" s="1"/>
  <c r="AJ12" i="3"/>
  <c r="AK12" i="3" s="1"/>
  <c r="AL12" i="3" s="1"/>
  <c r="AM12" i="3" s="1"/>
  <c r="AN12" i="3" s="1"/>
  <c r="AO12" i="3" s="1"/>
  <c r="AP12" i="3" s="1"/>
  <c r="AQ12" i="3" s="1"/>
  <c r="AR12" i="3" s="1"/>
  <c r="AS12" i="3" s="1"/>
  <c r="AJ11" i="3"/>
  <c r="AK11" i="3" s="1"/>
  <c r="AL11" i="3" s="1"/>
  <c r="AM11" i="3" s="1"/>
  <c r="AN11" i="3" s="1"/>
  <c r="AO11" i="3" s="1"/>
  <c r="AP11" i="3" s="1"/>
  <c r="AQ11" i="3" s="1"/>
  <c r="AR11" i="3" s="1"/>
  <c r="AS11" i="3" s="1"/>
  <c r="AJ10" i="3"/>
  <c r="AK10" i="3" s="1"/>
  <c r="AL10" i="3" s="1"/>
  <c r="AM10" i="3" s="1"/>
  <c r="AN10" i="3" s="1"/>
  <c r="AO10" i="3" s="1"/>
  <c r="AP10" i="3" s="1"/>
  <c r="AQ10" i="3" s="1"/>
  <c r="AR10" i="3" s="1"/>
  <c r="AS10" i="3" s="1"/>
  <c r="AJ9" i="3"/>
  <c r="AK9" i="3" s="1"/>
  <c r="AL9" i="3" s="1"/>
  <c r="AM9" i="3" s="1"/>
  <c r="AN9" i="3" s="1"/>
  <c r="AO9" i="3" s="1"/>
  <c r="AP9" i="3" s="1"/>
  <c r="AQ9" i="3" s="1"/>
  <c r="AR9" i="3" s="1"/>
  <c r="AS9" i="3" s="1"/>
  <c r="AJ8" i="3"/>
  <c r="AK8" i="3" s="1"/>
  <c r="AL8" i="3" s="1"/>
  <c r="AM8" i="3" s="1"/>
  <c r="AN8" i="3" s="1"/>
  <c r="AO8" i="3" s="1"/>
  <c r="AP8" i="3" s="1"/>
  <c r="AQ8" i="3" s="1"/>
  <c r="AR8" i="3" s="1"/>
  <c r="AS8" i="3" s="1"/>
  <c r="AJ7" i="3"/>
  <c r="AK7" i="3" s="1"/>
  <c r="AL7" i="3" s="1"/>
  <c r="AM7" i="3" s="1"/>
  <c r="AN7" i="3" s="1"/>
  <c r="AO7" i="3" s="1"/>
  <c r="AP7" i="3" s="1"/>
  <c r="AQ7" i="3" s="1"/>
  <c r="AR7" i="3" s="1"/>
  <c r="AS7" i="3" s="1"/>
  <c r="AJ6" i="3"/>
  <c r="AK6" i="3" s="1"/>
  <c r="AL6" i="3" s="1"/>
  <c r="AM6" i="3" s="1"/>
  <c r="AN6" i="3" s="1"/>
  <c r="AO6" i="3" s="1"/>
  <c r="AP6" i="3" s="1"/>
  <c r="AQ6" i="3" s="1"/>
  <c r="AR6" i="3" s="1"/>
  <c r="AS6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F1" i="3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C3" i="2"/>
  <c r="S3" i="2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K3" i="1"/>
  <c r="AL3" i="1" s="1"/>
  <c r="AM3" i="1" s="1"/>
  <c r="AN3" i="1" s="1"/>
  <c r="AO3" i="1" s="1"/>
  <c r="AP3" i="1" s="1"/>
  <c r="AQ3" i="1" s="1"/>
  <c r="AR3" i="1" s="1"/>
  <c r="AS3" i="1" s="1"/>
  <c r="AT3" i="1" s="1"/>
  <c r="Q3" i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K2" i="1"/>
  <c r="AL2" i="1" s="1"/>
  <c r="AM2" i="1" s="1"/>
  <c r="AN2" i="1" s="1"/>
  <c r="AO2" i="1" s="1"/>
  <c r="AP2" i="1" s="1"/>
  <c r="AQ2" i="1" s="1"/>
  <c r="AR2" i="1" s="1"/>
  <c r="AS2" i="1" s="1"/>
  <c r="AT2" i="1" s="1"/>
  <c r="AK1" i="1"/>
  <c r="AL1" i="1" s="1"/>
  <c r="AM1" i="1" s="1"/>
  <c r="AN1" i="1" s="1"/>
  <c r="AO1" i="1" s="1"/>
  <c r="AP1" i="1" s="1"/>
  <c r="AQ1" i="1" s="1"/>
  <c r="AR1" i="1" s="1"/>
  <c r="AS1" i="1" s="1"/>
  <c r="AT1" i="1" s="1"/>
  <c r="G116" i="4" l="1"/>
  <c r="F117" i="4"/>
  <c r="E117" i="4"/>
  <c r="F78" i="4"/>
  <c r="T3" i="2"/>
  <c r="A88" i="3"/>
  <c r="A89" i="3" s="1"/>
  <c r="A90" i="3" s="1"/>
  <c r="A91" i="3" s="1"/>
  <c r="A86" i="3"/>
  <c r="A87" i="3" s="1"/>
  <c r="C84" i="3"/>
  <c r="C85" i="3" s="1"/>
  <c r="C88" i="3" s="1"/>
  <c r="C89" i="3" s="1"/>
  <c r="C90" i="3" s="1"/>
  <c r="C91" i="3" s="1"/>
  <c r="C86" i="3"/>
  <c r="C87" i="3" s="1"/>
  <c r="A74" i="3"/>
  <c r="A75" i="3" s="1"/>
  <c r="A76" i="3" s="1"/>
  <c r="A77" i="3" s="1"/>
  <c r="C70" i="3"/>
  <c r="C71" i="3" s="1"/>
  <c r="C74" i="3" s="1"/>
  <c r="C75" i="3" s="1"/>
  <c r="C76" i="3" s="1"/>
  <c r="C77" i="3" s="1"/>
  <c r="C72" i="3"/>
  <c r="C73" i="3" s="1"/>
  <c r="C56" i="3"/>
  <c r="C57" i="3" s="1"/>
  <c r="C60" i="3" s="1"/>
  <c r="C61" i="3" s="1"/>
  <c r="C62" i="3" s="1"/>
  <c r="C63" i="3" s="1"/>
  <c r="C58" i="3"/>
  <c r="C59" i="3" s="1"/>
  <c r="A60" i="3"/>
  <c r="A61" i="3" s="1"/>
  <c r="A62" i="3" s="1"/>
  <c r="A63" i="3" s="1"/>
  <c r="A58" i="3"/>
  <c r="A59" i="3" s="1"/>
  <c r="C127" i="4"/>
  <c r="C128" i="4" s="1"/>
  <c r="C129" i="4" s="1"/>
  <c r="C130" i="4" s="1"/>
  <c r="C131" i="4" s="1"/>
  <c r="C132" i="4" s="1"/>
  <c r="C133" i="4" s="1"/>
  <c r="C134" i="4" s="1"/>
  <c r="C125" i="4"/>
  <c r="C126" i="4" s="1"/>
  <c r="C108" i="4"/>
  <c r="C109" i="4" s="1"/>
  <c r="C110" i="4" s="1"/>
  <c r="C111" i="4" s="1"/>
  <c r="C112" i="4" s="1"/>
  <c r="C113" i="4" s="1"/>
  <c r="C114" i="4" s="1"/>
  <c r="C115" i="4" s="1"/>
  <c r="C106" i="4"/>
  <c r="C107" i="4" s="1"/>
  <c r="F97" i="4"/>
  <c r="C87" i="4"/>
  <c r="C88" i="4" s="1"/>
  <c r="C89" i="4"/>
  <c r="C90" i="4" s="1"/>
  <c r="C91" i="4" s="1"/>
  <c r="C92" i="4" s="1"/>
  <c r="C93" i="4" s="1"/>
  <c r="C94" i="4" s="1"/>
  <c r="C95" i="4" s="1"/>
  <c r="C96" i="4" s="1"/>
  <c r="E41" i="4"/>
  <c r="E60" i="4"/>
  <c r="F21" i="4"/>
  <c r="G21" i="4" s="1"/>
  <c r="H21" i="4" s="1"/>
  <c r="G2" i="4"/>
  <c r="G3" i="4" s="1"/>
  <c r="F3" i="4"/>
  <c r="C30" i="4"/>
  <c r="C31" i="4" s="1"/>
  <c r="C32" i="4"/>
  <c r="C33" i="4" s="1"/>
  <c r="C34" i="4" s="1"/>
  <c r="C35" i="4" s="1"/>
  <c r="C36" i="4" s="1"/>
  <c r="C37" i="4" s="1"/>
  <c r="C38" i="4" s="1"/>
  <c r="C39" i="4" s="1"/>
  <c r="F60" i="4"/>
  <c r="G59" i="4"/>
  <c r="G60" i="4" s="1"/>
  <c r="E3" i="4"/>
  <c r="AN49" i="4"/>
  <c r="AO49" i="4" s="1"/>
  <c r="AP49" i="4" s="1"/>
  <c r="AQ49" i="4" s="1"/>
  <c r="AR49" i="4" s="1"/>
  <c r="AS49" i="4" s="1"/>
  <c r="AS50" i="4" s="1"/>
  <c r="C70" i="4"/>
  <c r="C71" i="4" s="1"/>
  <c r="C72" i="4" s="1"/>
  <c r="C73" i="4" s="1"/>
  <c r="C74" i="4" s="1"/>
  <c r="C75" i="4" s="1"/>
  <c r="C76" i="4" s="1"/>
  <c r="C77" i="4" s="1"/>
  <c r="C68" i="4"/>
  <c r="C69" i="4" s="1"/>
  <c r="AO67" i="4"/>
  <c r="AP67" i="4" s="1"/>
  <c r="AQ67" i="4" s="1"/>
  <c r="AR67" i="4" s="1"/>
  <c r="AS67" i="4" s="1"/>
  <c r="AN68" i="4"/>
  <c r="AO68" i="4" s="1"/>
  <c r="AP68" i="4" s="1"/>
  <c r="AQ68" i="4" s="1"/>
  <c r="AR68" i="4" s="1"/>
  <c r="AS68" i="4" s="1"/>
  <c r="AS69" i="4" s="1"/>
  <c r="H40" i="4"/>
  <c r="G41" i="4"/>
  <c r="C49" i="4"/>
  <c r="C50" i="4" s="1"/>
  <c r="C51" i="4"/>
  <c r="C52" i="4" s="1"/>
  <c r="C53" i="4" s="1"/>
  <c r="C54" i="4" s="1"/>
  <c r="C55" i="4" s="1"/>
  <c r="C56" i="4" s="1"/>
  <c r="C57" i="4" s="1"/>
  <c r="C58" i="4" s="1"/>
  <c r="F41" i="4"/>
  <c r="J3" i="2"/>
  <c r="K3" i="2" s="1"/>
  <c r="L3" i="2" s="1"/>
  <c r="M3" i="2" s="1"/>
  <c r="N3" i="2" s="1"/>
  <c r="O3" i="2" s="1"/>
  <c r="P3" i="2" s="1"/>
  <c r="Q3" i="2" s="1"/>
  <c r="R3" i="2" s="1"/>
  <c r="U3" i="2"/>
  <c r="V3" i="2" s="1"/>
  <c r="W3" i="2" s="1"/>
  <c r="X3" i="2" s="1"/>
  <c r="Y3" i="2" s="1"/>
  <c r="Z3" i="2" s="1"/>
  <c r="AA3" i="2" s="1"/>
  <c r="AB3" i="2" s="1"/>
  <c r="C11" i="4"/>
  <c r="C12" i="4" s="1"/>
  <c r="C13" i="4"/>
  <c r="C14" i="4" s="1"/>
  <c r="C15" i="4" s="1"/>
  <c r="C16" i="4" s="1"/>
  <c r="C17" i="4" s="1"/>
  <c r="C18" i="4" s="1"/>
  <c r="C19" i="4" s="1"/>
  <c r="C20" i="4" s="1"/>
  <c r="AD3" i="2"/>
  <c r="AE3" i="2" s="1"/>
  <c r="AF3" i="2" s="1"/>
  <c r="AG3" i="2" s="1"/>
  <c r="AH3" i="2" s="1"/>
  <c r="AI3" i="2" s="1"/>
  <c r="AJ3" i="2" s="1"/>
  <c r="AK3" i="2" s="1"/>
  <c r="AL3" i="2" s="1"/>
  <c r="AM3" i="2" s="1"/>
  <c r="H59" i="4" l="1"/>
  <c r="F79" i="4"/>
  <c r="G78" i="4"/>
  <c r="H2" i="4"/>
  <c r="I2" i="4" s="1"/>
  <c r="H116" i="4"/>
  <c r="G117" i="4"/>
  <c r="G97" i="4"/>
  <c r="F98" i="4"/>
  <c r="G22" i="4"/>
  <c r="F22" i="4"/>
  <c r="H22" i="4"/>
  <c r="I21" i="4"/>
  <c r="H60" i="4"/>
  <c r="I59" i="4"/>
  <c r="H41" i="4"/>
  <c r="I40" i="4"/>
  <c r="H3" i="4" l="1"/>
  <c r="H117" i="4"/>
  <c r="I116" i="4"/>
  <c r="G79" i="4"/>
  <c r="H78" i="4"/>
  <c r="H97" i="4"/>
  <c r="G98" i="4"/>
  <c r="I22" i="4"/>
  <c r="J21" i="4"/>
  <c r="I60" i="4"/>
  <c r="J59" i="4"/>
  <c r="I41" i="4"/>
  <c r="J40" i="4"/>
  <c r="I3" i="4"/>
  <c r="J2" i="4"/>
  <c r="H79" i="4" l="1"/>
  <c r="I78" i="4"/>
  <c r="I117" i="4"/>
  <c r="J116" i="4"/>
  <c r="I97" i="4"/>
  <c r="H98" i="4"/>
  <c r="J22" i="4"/>
  <c r="K21" i="4"/>
  <c r="J60" i="4"/>
  <c r="K59" i="4"/>
  <c r="J41" i="4"/>
  <c r="K40" i="4"/>
  <c r="J3" i="4"/>
  <c r="K2" i="4"/>
  <c r="J117" i="4" l="1"/>
  <c r="K116" i="4"/>
  <c r="I79" i="4"/>
  <c r="J78" i="4"/>
  <c r="I98" i="4"/>
  <c r="J97" i="4"/>
  <c r="K22" i="4"/>
  <c r="L21" i="4"/>
  <c r="K60" i="4"/>
  <c r="L59" i="4"/>
  <c r="K41" i="4"/>
  <c r="L40" i="4"/>
  <c r="K3" i="4"/>
  <c r="L2" i="4"/>
  <c r="J79" i="4" l="1"/>
  <c r="K78" i="4"/>
  <c r="K117" i="4"/>
  <c r="L116" i="4"/>
  <c r="J98" i="4"/>
  <c r="K97" i="4"/>
  <c r="L22" i="4"/>
  <c r="M21" i="4"/>
  <c r="L60" i="4"/>
  <c r="M59" i="4"/>
  <c r="L41" i="4"/>
  <c r="M40" i="4"/>
  <c r="L3" i="4"/>
  <c r="M2" i="4"/>
  <c r="L117" i="4" l="1"/>
  <c r="M116" i="4"/>
  <c r="K79" i="4"/>
  <c r="L78" i="4"/>
  <c r="L97" i="4"/>
  <c r="K98" i="4"/>
  <c r="N21" i="4"/>
  <c r="M22" i="4"/>
  <c r="N59" i="4"/>
  <c r="M60" i="4"/>
  <c r="N40" i="4"/>
  <c r="M41" i="4"/>
  <c r="N2" i="4"/>
  <c r="M3" i="4"/>
  <c r="M78" i="4" l="1"/>
  <c r="L79" i="4"/>
  <c r="M117" i="4"/>
  <c r="N116" i="4"/>
  <c r="L98" i="4"/>
  <c r="M97" i="4"/>
  <c r="O21" i="4"/>
  <c r="N22" i="4"/>
  <c r="O59" i="4"/>
  <c r="N60" i="4"/>
  <c r="O40" i="4"/>
  <c r="N41" i="4"/>
  <c r="O2" i="4"/>
  <c r="N3" i="4"/>
  <c r="O116" i="4" l="1"/>
  <c r="N117" i="4"/>
  <c r="N78" i="4"/>
  <c r="M79" i="4"/>
  <c r="M98" i="4"/>
  <c r="N97" i="4"/>
  <c r="O22" i="4"/>
  <c r="P21" i="4"/>
  <c r="P59" i="4"/>
  <c r="O60" i="4"/>
  <c r="P40" i="4"/>
  <c r="O41" i="4"/>
  <c r="O3" i="4"/>
  <c r="P2" i="4"/>
  <c r="O78" i="4" l="1"/>
  <c r="N79" i="4"/>
  <c r="P116" i="4"/>
  <c r="O117" i="4"/>
  <c r="O97" i="4"/>
  <c r="N98" i="4"/>
  <c r="P22" i="4"/>
  <c r="Q21" i="4"/>
  <c r="P60" i="4"/>
  <c r="Q59" i="4"/>
  <c r="P41" i="4"/>
  <c r="Q40" i="4"/>
  <c r="P3" i="4"/>
  <c r="Q2" i="4"/>
  <c r="Q116" i="4" l="1"/>
  <c r="P117" i="4"/>
  <c r="O79" i="4"/>
  <c r="P78" i="4"/>
  <c r="P97" i="4"/>
  <c r="O98" i="4"/>
  <c r="Q22" i="4"/>
  <c r="R21" i="4"/>
  <c r="Q60" i="4"/>
  <c r="R59" i="4"/>
  <c r="Q41" i="4"/>
  <c r="R40" i="4"/>
  <c r="Q3" i="4"/>
  <c r="R2" i="4"/>
  <c r="P79" i="4" l="1"/>
  <c r="Q78" i="4"/>
  <c r="Q117" i="4"/>
  <c r="R116" i="4"/>
  <c r="Q97" i="4"/>
  <c r="P98" i="4"/>
  <c r="R22" i="4"/>
  <c r="S21" i="4"/>
  <c r="R60" i="4"/>
  <c r="S59" i="4"/>
  <c r="R41" i="4"/>
  <c r="S40" i="4"/>
  <c r="R3" i="4"/>
  <c r="S2" i="4"/>
  <c r="Q79" i="4" l="1"/>
  <c r="R78" i="4"/>
  <c r="R117" i="4"/>
  <c r="S116" i="4"/>
  <c r="Q98" i="4"/>
  <c r="R97" i="4"/>
  <c r="S22" i="4"/>
  <c r="T21" i="4"/>
  <c r="S60" i="4"/>
  <c r="T59" i="4"/>
  <c r="S41" i="4"/>
  <c r="T40" i="4"/>
  <c r="S3" i="4"/>
  <c r="T2" i="4"/>
  <c r="S117" i="4" l="1"/>
  <c r="T116" i="4"/>
  <c r="R79" i="4"/>
  <c r="S78" i="4"/>
  <c r="R98" i="4"/>
  <c r="S97" i="4"/>
  <c r="T22" i="4"/>
  <c r="U21" i="4"/>
  <c r="T60" i="4"/>
  <c r="U59" i="4"/>
  <c r="T41" i="4"/>
  <c r="U40" i="4"/>
  <c r="T3" i="4"/>
  <c r="U2" i="4"/>
  <c r="T117" i="4" l="1"/>
  <c r="U116" i="4"/>
  <c r="S79" i="4"/>
  <c r="T78" i="4"/>
  <c r="T97" i="4"/>
  <c r="S98" i="4"/>
  <c r="V21" i="4"/>
  <c r="U22" i="4"/>
  <c r="V59" i="4"/>
  <c r="U60" i="4"/>
  <c r="V40" i="4"/>
  <c r="U41" i="4"/>
  <c r="V2" i="4"/>
  <c r="U3" i="4"/>
  <c r="U78" i="4" l="1"/>
  <c r="T79" i="4"/>
  <c r="V116" i="4"/>
  <c r="U117" i="4"/>
  <c r="T98" i="4"/>
  <c r="U97" i="4"/>
  <c r="W21" i="4"/>
  <c r="V22" i="4"/>
  <c r="W59" i="4"/>
  <c r="V60" i="4"/>
  <c r="W40" i="4"/>
  <c r="V41" i="4"/>
  <c r="W2" i="4"/>
  <c r="V3" i="4"/>
  <c r="W116" i="4" l="1"/>
  <c r="V117" i="4"/>
  <c r="V78" i="4"/>
  <c r="U79" i="4"/>
  <c r="U98" i="4"/>
  <c r="V97" i="4"/>
  <c r="X21" i="4"/>
  <c r="W22" i="4"/>
  <c r="X59" i="4"/>
  <c r="W60" i="4"/>
  <c r="W41" i="4"/>
  <c r="X40" i="4"/>
  <c r="W3" i="4"/>
  <c r="X2" i="4"/>
  <c r="W78" i="4" l="1"/>
  <c r="V79" i="4"/>
  <c r="X116" i="4"/>
  <c r="W117" i="4"/>
  <c r="W97" i="4"/>
  <c r="V98" i="4"/>
  <c r="X22" i="4"/>
  <c r="Y21" i="4"/>
  <c r="X60" i="4"/>
  <c r="Y59" i="4"/>
  <c r="X41" i="4"/>
  <c r="Y40" i="4"/>
  <c r="X3" i="4"/>
  <c r="Y2" i="4"/>
  <c r="X117" i="4" l="1"/>
  <c r="Y116" i="4"/>
  <c r="W79" i="4"/>
  <c r="X78" i="4"/>
  <c r="X97" i="4"/>
  <c r="W98" i="4"/>
  <c r="Y22" i="4"/>
  <c r="Z21" i="4"/>
  <c r="Y60" i="4"/>
  <c r="Z59" i="4"/>
  <c r="Y41" i="4"/>
  <c r="Z40" i="4"/>
  <c r="Y3" i="4"/>
  <c r="Z2" i="4"/>
  <c r="Y78" i="4" l="1"/>
  <c r="X79" i="4"/>
  <c r="Y117" i="4"/>
  <c r="Z116" i="4"/>
  <c r="Y97" i="4"/>
  <c r="X98" i="4"/>
  <c r="Z22" i="4"/>
  <c r="AA21" i="4"/>
  <c r="Z60" i="4"/>
  <c r="AA59" i="4"/>
  <c r="Z41" i="4"/>
  <c r="AA40" i="4"/>
  <c r="Z3" i="4"/>
  <c r="AA2" i="4"/>
  <c r="AA116" i="4" l="1"/>
  <c r="Z117" i="4"/>
  <c r="Y79" i="4"/>
  <c r="Z78" i="4"/>
  <c r="Y98" i="4"/>
  <c r="Z97" i="4"/>
  <c r="AA22" i="4"/>
  <c r="AB21" i="4"/>
  <c r="AA60" i="4"/>
  <c r="AB59" i="4"/>
  <c r="AA41" i="4"/>
  <c r="AB40" i="4"/>
  <c r="AA3" i="4"/>
  <c r="AB2" i="4"/>
  <c r="Z79" i="4" l="1"/>
  <c r="AA78" i="4"/>
  <c r="AA117" i="4"/>
  <c r="AB116" i="4"/>
  <c r="Z98" i="4"/>
  <c r="AA97" i="4"/>
  <c r="AB22" i="4"/>
  <c r="AC21" i="4"/>
  <c r="AB60" i="4"/>
  <c r="AC59" i="4"/>
  <c r="AB41" i="4"/>
  <c r="AC40" i="4"/>
  <c r="AB3" i="4"/>
  <c r="AC2" i="4"/>
  <c r="AB117" i="4" l="1"/>
  <c r="AC116" i="4"/>
  <c r="AA79" i="4"/>
  <c r="AB78" i="4"/>
  <c r="AA98" i="4"/>
  <c r="AB97" i="4"/>
  <c r="AC22" i="4"/>
  <c r="AD21" i="4"/>
  <c r="AD59" i="4"/>
  <c r="AC60" i="4"/>
  <c r="AD40" i="4"/>
  <c r="AC41" i="4"/>
  <c r="AD2" i="4"/>
  <c r="AC3" i="4"/>
  <c r="AC78" i="4" l="1"/>
  <c r="AB79" i="4"/>
  <c r="AD116" i="4"/>
  <c r="AC117" i="4"/>
  <c r="AB98" i="4"/>
  <c r="AC97" i="4"/>
  <c r="AE21" i="4"/>
  <c r="AD22" i="4"/>
  <c r="AE59" i="4"/>
  <c r="AD60" i="4"/>
  <c r="AE40" i="4"/>
  <c r="AD41" i="4"/>
  <c r="AE2" i="4"/>
  <c r="AD3" i="4"/>
  <c r="AE116" i="4" l="1"/>
  <c r="AD117" i="4"/>
  <c r="AD78" i="4"/>
  <c r="AC79" i="4"/>
  <c r="AC98" i="4"/>
  <c r="AD97" i="4"/>
  <c r="AF21" i="4"/>
  <c r="AE22" i="4"/>
  <c r="AE60" i="4"/>
  <c r="AF59" i="4"/>
  <c r="AF40" i="4"/>
  <c r="AE41" i="4"/>
  <c r="AE3" i="4"/>
  <c r="AF2" i="4"/>
  <c r="AE78" i="4" l="1"/>
  <c r="AD79" i="4"/>
  <c r="AF116" i="4"/>
  <c r="AE117" i="4"/>
  <c r="AE97" i="4"/>
  <c r="AD98" i="4"/>
  <c r="AF22" i="4"/>
  <c r="AG21" i="4"/>
  <c r="AF60" i="4"/>
  <c r="AG59" i="4"/>
  <c r="AF41" i="4"/>
  <c r="AG40" i="4"/>
  <c r="AG2" i="4"/>
  <c r="AF3" i="4"/>
  <c r="AG116" i="4" l="1"/>
  <c r="AF117" i="4"/>
  <c r="AE79" i="4"/>
  <c r="AF78" i="4"/>
  <c r="AF97" i="4"/>
  <c r="AE98" i="4"/>
  <c r="AG22" i="4"/>
  <c r="AH21" i="4"/>
  <c r="AG60" i="4"/>
  <c r="AH59" i="4"/>
  <c r="AG41" i="4"/>
  <c r="AH40" i="4"/>
  <c r="AG3" i="4"/>
  <c r="AH2" i="4"/>
  <c r="AF79" i="4" l="1"/>
  <c r="AG78" i="4"/>
  <c r="AG117" i="4"/>
  <c r="AH116" i="4"/>
  <c r="AG97" i="4"/>
  <c r="AF98" i="4"/>
  <c r="AH22" i="4"/>
  <c r="AI21" i="4"/>
  <c r="AH60" i="4"/>
  <c r="AI59" i="4"/>
  <c r="AH41" i="4"/>
  <c r="AI40" i="4"/>
  <c r="AH3" i="4"/>
  <c r="AI2" i="4"/>
  <c r="AH117" i="4" l="1"/>
  <c r="AI116" i="4"/>
  <c r="AG79" i="4"/>
  <c r="AH78" i="4"/>
  <c r="AG98" i="4"/>
  <c r="AH97" i="4"/>
  <c r="AI22" i="4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J21" i="4"/>
  <c r="AK21" i="4" s="1"/>
  <c r="AL21" i="4" s="1"/>
  <c r="AM21" i="4" s="1"/>
  <c r="AN21" i="4" s="1"/>
  <c r="AO21" i="4" s="1"/>
  <c r="AP21" i="4" s="1"/>
  <c r="AQ21" i="4" s="1"/>
  <c r="AR21" i="4" s="1"/>
  <c r="AS21" i="4" s="1"/>
  <c r="AI60" i="4"/>
  <c r="AJ60" i="4" s="1"/>
  <c r="AK60" i="4" s="1"/>
  <c r="AL60" i="4" s="1"/>
  <c r="AM60" i="4" s="1"/>
  <c r="AN60" i="4" s="1"/>
  <c r="AO60" i="4" s="1"/>
  <c r="AP60" i="4" s="1"/>
  <c r="AQ60" i="4" s="1"/>
  <c r="AR60" i="4" s="1"/>
  <c r="AS60" i="4" s="1"/>
  <c r="AJ59" i="4"/>
  <c r="AK59" i="4" s="1"/>
  <c r="AL59" i="4" s="1"/>
  <c r="AM59" i="4" s="1"/>
  <c r="AN59" i="4" s="1"/>
  <c r="AO59" i="4" s="1"/>
  <c r="AP59" i="4" s="1"/>
  <c r="AQ59" i="4" s="1"/>
  <c r="AR59" i="4" s="1"/>
  <c r="AS59" i="4" s="1"/>
  <c r="AI41" i="4"/>
  <c r="AJ41" i="4" s="1"/>
  <c r="AK41" i="4" s="1"/>
  <c r="AL41" i="4" s="1"/>
  <c r="AM41" i="4" s="1"/>
  <c r="AN41" i="4" s="1"/>
  <c r="AO41" i="4" s="1"/>
  <c r="AP41" i="4" s="1"/>
  <c r="AQ41" i="4" s="1"/>
  <c r="AR41" i="4" s="1"/>
  <c r="AS41" i="4" s="1"/>
  <c r="AJ40" i="4"/>
  <c r="AK40" i="4" s="1"/>
  <c r="AL40" i="4" s="1"/>
  <c r="AM40" i="4" s="1"/>
  <c r="AN40" i="4" s="1"/>
  <c r="AO40" i="4" s="1"/>
  <c r="AP40" i="4" s="1"/>
  <c r="AQ40" i="4" s="1"/>
  <c r="AR40" i="4" s="1"/>
  <c r="AS40" i="4" s="1"/>
  <c r="AI3" i="4"/>
  <c r="AJ3" i="4" s="1"/>
  <c r="AK3" i="4" s="1"/>
  <c r="AL3" i="4" s="1"/>
  <c r="AM3" i="4" s="1"/>
  <c r="AN3" i="4" s="1"/>
  <c r="AO3" i="4" s="1"/>
  <c r="AP3" i="4" s="1"/>
  <c r="AQ3" i="4" s="1"/>
  <c r="AR3" i="4" s="1"/>
  <c r="AS3" i="4" s="1"/>
  <c r="AJ2" i="4"/>
  <c r="AK2" i="4" s="1"/>
  <c r="AL2" i="4" s="1"/>
  <c r="AM2" i="4" s="1"/>
  <c r="AN2" i="4" s="1"/>
  <c r="AO2" i="4" s="1"/>
  <c r="AP2" i="4" s="1"/>
  <c r="AQ2" i="4" s="1"/>
  <c r="AR2" i="4" s="1"/>
  <c r="AS2" i="4" s="1"/>
  <c r="AH79" i="4" l="1"/>
  <c r="AI78" i="4"/>
  <c r="AI117" i="4"/>
  <c r="AJ117" i="4" s="1"/>
  <c r="AK117" i="4" s="1"/>
  <c r="AL117" i="4" s="1"/>
  <c r="AM117" i="4" s="1"/>
  <c r="AN117" i="4" s="1"/>
  <c r="AO117" i="4" s="1"/>
  <c r="AP117" i="4" s="1"/>
  <c r="AQ117" i="4" s="1"/>
  <c r="AR117" i="4" s="1"/>
  <c r="AS117" i="4" s="1"/>
  <c r="AJ116" i="4"/>
  <c r="AK116" i="4" s="1"/>
  <c r="AL116" i="4" s="1"/>
  <c r="AM116" i="4" s="1"/>
  <c r="AN116" i="4" s="1"/>
  <c r="AO116" i="4" s="1"/>
  <c r="AP116" i="4" s="1"/>
  <c r="AQ116" i="4" s="1"/>
  <c r="AR116" i="4" s="1"/>
  <c r="AS116" i="4" s="1"/>
  <c r="AH98" i="4"/>
  <c r="AI97" i="4"/>
  <c r="AJ78" i="4" l="1"/>
  <c r="AK78" i="4" s="1"/>
  <c r="AL78" i="4" s="1"/>
  <c r="AM78" i="4" s="1"/>
  <c r="AN78" i="4" s="1"/>
  <c r="AO78" i="4" s="1"/>
  <c r="AP78" i="4" s="1"/>
  <c r="AQ78" i="4" s="1"/>
  <c r="AR78" i="4" s="1"/>
  <c r="AS78" i="4" s="1"/>
  <c r="AI79" i="4"/>
  <c r="AJ79" i="4" s="1"/>
  <c r="AK79" i="4" s="1"/>
  <c r="AL79" i="4" s="1"/>
  <c r="AM79" i="4" s="1"/>
  <c r="AN79" i="4" s="1"/>
  <c r="AO79" i="4" s="1"/>
  <c r="AP79" i="4" s="1"/>
  <c r="AQ79" i="4" s="1"/>
  <c r="AR79" i="4" s="1"/>
  <c r="AS79" i="4" s="1"/>
  <c r="AI98" i="4"/>
  <c r="AJ98" i="4" s="1"/>
  <c r="AK98" i="4" s="1"/>
  <c r="AL98" i="4" s="1"/>
  <c r="AM98" i="4" s="1"/>
  <c r="AN98" i="4" s="1"/>
  <c r="AO98" i="4" s="1"/>
  <c r="AP98" i="4" s="1"/>
  <c r="AQ98" i="4" s="1"/>
  <c r="AR98" i="4" s="1"/>
  <c r="AS98" i="4" s="1"/>
  <c r="AJ97" i="4"/>
  <c r="AK97" i="4" s="1"/>
  <c r="AL97" i="4" s="1"/>
  <c r="AM97" i="4" s="1"/>
  <c r="AN97" i="4" s="1"/>
  <c r="AO97" i="4" s="1"/>
  <c r="AP97" i="4" s="1"/>
  <c r="AQ97" i="4" s="1"/>
  <c r="AR97" i="4" s="1"/>
  <c r="AS97" i="4" s="1"/>
</calcChain>
</file>

<file path=xl/sharedStrings.xml><?xml version="1.0" encoding="utf-8"?>
<sst xmlns="http://schemas.openxmlformats.org/spreadsheetml/2006/main" count="427" uniqueCount="65">
  <si>
    <t>scenario</t>
  </si>
  <si>
    <t>units</t>
  </si>
  <si>
    <t>NZE_SATIM</t>
  </si>
  <si>
    <t>Mt/yr</t>
  </si>
  <si>
    <t>NZE_LN</t>
  </si>
  <si>
    <t>none</t>
  </si>
  <si>
    <t>R/tCO2e</t>
  </si>
  <si>
    <t>IRP23</t>
  </si>
  <si>
    <t>LOW</t>
  </si>
  <si>
    <t>BASE</t>
  </si>
  <si>
    <t>HIGH</t>
  </si>
  <si>
    <t>station_name</t>
  </si>
  <si>
    <t>Ankerlig</t>
  </si>
  <si>
    <t>kgCO2/GJ</t>
  </si>
  <si>
    <t>Gourikwa</t>
  </si>
  <si>
    <t>Acacia</t>
  </si>
  <si>
    <t>PortRex</t>
  </si>
  <si>
    <t>Gariep</t>
  </si>
  <si>
    <t>Vanderkloof</t>
  </si>
  <si>
    <t>Avon</t>
  </si>
  <si>
    <t>Dedisa</t>
  </si>
  <si>
    <t>Secunda_coal</t>
  </si>
  <si>
    <t>Sasolburg_coal</t>
  </si>
  <si>
    <t>Sasol_ice</t>
  </si>
  <si>
    <t>Sasol_ocgt</t>
  </si>
  <si>
    <t>carrier</t>
  </si>
  <si>
    <t>source</t>
  </si>
  <si>
    <t>coal</t>
  </si>
  <si>
    <t>Assuming 96 kgCO2/GJ for thermal coal see coal_ref1</t>
  </si>
  <si>
    <t>sasol_coal</t>
  </si>
  <si>
    <t>ocgt_diesel</t>
  </si>
  <si>
    <t>Assume switch to green liquid fuels in 2040</t>
  </si>
  <si>
    <t>ocgt_diesel_emg</t>
  </si>
  <si>
    <t>ocgt_avf</t>
  </si>
  <si>
    <t>ocgt_gas</t>
  </si>
  <si>
    <t>ocgt_gas_h2_40</t>
  </si>
  <si>
    <t>As per IRP_2023 scenario</t>
  </si>
  <si>
    <t>ocgt_gas_h2_45</t>
  </si>
  <si>
    <t>ocgt_gas_h2_50</t>
  </si>
  <si>
    <t>ocgt_gas_h2_55</t>
  </si>
  <si>
    <t>ocgt_gas_h2_60</t>
  </si>
  <si>
    <t>sasol_gas</t>
  </si>
  <si>
    <t>biomass_forestry</t>
  </si>
  <si>
    <t>biomass_landfill_gas</t>
  </si>
  <si>
    <t>biomass_biogas</t>
  </si>
  <si>
    <t>biomass_MSW</t>
  </si>
  <si>
    <t>nuclear</t>
  </si>
  <si>
    <t>solar_csp</t>
  </si>
  <si>
    <t>ccgt_steam</t>
  </si>
  <si>
    <t>NO_CLEAN_DIESEL</t>
  </si>
  <si>
    <t>NO_CLEAN_DIESEL_NO_GAS_LKG</t>
  </si>
  <si>
    <t>NO_GAS_LKG</t>
  </si>
  <si>
    <t>FS_2040</t>
  </si>
  <si>
    <t>FS_2045</t>
  </si>
  <si>
    <t>FS_2050</t>
  </si>
  <si>
    <t>coal_eskom</t>
  </si>
  <si>
    <t>coal_IPP</t>
  </si>
  <si>
    <t>LOW_PMR1</t>
  </si>
  <si>
    <t>BASE_PMR1</t>
  </si>
  <si>
    <t>HIGH_PMR1</t>
  </si>
  <si>
    <t>LOW_PMR1b</t>
  </si>
  <si>
    <t>BASE_PMR1b</t>
  </si>
  <si>
    <t>HIGH_PMR1b</t>
  </si>
  <si>
    <t>BASE_LOW_PMR1b</t>
  </si>
  <si>
    <t>HIGH_BASE_PMR1b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</si>
</sst>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  <font>
      <sz val="10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2F2F2"/>
        <bgColor rgb="FFE2F0D9"/>
      </patternFill>
    </fill>
    <fill>
      <patternFill patternType="solid">
        <fgColor rgb="FFFFCC99"/>
        <bgColor rgb="FFF8CBAD"/>
      </patternFill>
    </fill>
    <fill>
      <patternFill patternType="solid">
        <fgColor rgb="FF548235"/>
        <bgColor rgb="FF339966"/>
      </patternFill>
    </fill>
    <fill>
      <patternFill patternType="solid">
        <fgColor theme="0"/>
        <bgColor rgb="FFF2F2F2"/>
      </patternFill>
    </fill>
    <fill>
      <patternFill patternType="solid">
        <fgColor rgb="FFA9D18E"/>
        <bgColor rgb="FFBFBFBF"/>
      </patternFill>
    </fill>
    <fill>
      <patternFill patternType="solid">
        <fgColor theme="4" tint="0.79989013336588644"/>
        <bgColor rgb="FFE2F0D9"/>
      </patternFill>
    </fill>
    <fill>
      <patternFill patternType="solid">
        <fgColor theme="5" tint="0.59987182226020086"/>
        <bgColor rgb="FFFFCC99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5" tint="0.79998168889431442"/>
        <bgColor rgb="FFDEEBF7"/>
      </patternFill>
    </fill>
    <fill>
      <patternFill patternType="solid">
        <fgColor theme="8" tint="0.79998168889431442"/>
        <bgColor rgb="FFDEEBF7"/>
      </patternFill>
    </fill>
    <fill>
      <patternFill patternType="solid">
        <fgColor theme="9" tint="0.79998168889431442"/>
        <bgColor rgb="FFDEEBF7"/>
      </patternFill>
    </fill>
    <fill>
      <patternFill patternType="solid">
        <fgColor theme="9" tint="0.59999389629810485"/>
        <bgColor rgb="FFDEEBF7"/>
      </patternFill>
    </fill>
    <fill>
      <patternFill patternType="solid">
        <fgColor theme="9" tint="0.39997558519241921"/>
        <bgColor rgb="FFDEEBF7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rgb="FFE2F0D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rgb="FFDEEBF7"/>
      </patternFill>
    </fill>
    <fill>
      <patternFill patternType="solid">
        <fgColor rgb="FF0070C0"/>
        <bgColor rgb="FFF2F2F2"/>
      </patternFill>
    </fill>
    <fill>
      <patternFill patternType="solid">
        <fgColor theme="0" tint="-0.499984740745262"/>
        <bgColor rgb="FFFFCC99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66FF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</borders>
  <cellStyleXfs count="4">
    <xf numFmtId="0" fontId="0" fillId="0" borderId="0"/>
    <xf numFmtId="0" fontId="1" fillId="2" borderId="1" applyProtection="0"/>
    <xf numFmtId="0" fontId="4" fillId="3" borderId="2" applyProtection="0"/>
    <xf numFmtId="9" fontId="7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right"/>
    </xf>
    <xf numFmtId="0" fontId="1" fillId="2" borderId="3" xfId="1" applyBorder="1" applyAlignment="1" applyProtection="1">
      <alignment horizontal="left" vertical="center" wrapText="1"/>
    </xf>
    <xf numFmtId="0" fontId="1" fillId="2" borderId="3" xfId="1" applyBorder="1" applyAlignment="1" applyProtection="1">
      <alignment horizontal="right" vertical="center" wrapText="1"/>
    </xf>
    <xf numFmtId="0" fontId="2" fillId="4" borderId="4" xfId="0" applyFont="1" applyFill="1" applyBorder="1"/>
    <xf numFmtId="0" fontId="3" fillId="5" borderId="0" xfId="2" applyFont="1" applyFill="1" applyBorder="1" applyAlignment="1" applyProtection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5" fillId="5" borderId="0" xfId="0" applyFont="1" applyFill="1" applyAlignment="1">
      <alignment horizontal="right" wrapText="1"/>
    </xf>
    <xf numFmtId="0" fontId="0" fillId="6" borderId="4" xfId="0" applyFill="1" applyBorder="1"/>
    <xf numFmtId="0" fontId="3" fillId="2" borderId="0" xfId="2" applyFont="1" applyFill="1" applyBorder="1" applyAlignment="1" applyProtection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1" fontId="0" fillId="2" borderId="0" xfId="0" applyNumberFormat="1" applyFill="1"/>
    <xf numFmtId="2" fontId="0" fillId="2" borderId="0" xfId="0" applyNumberFormat="1" applyFill="1"/>
    <xf numFmtId="0" fontId="1" fillId="2" borderId="1" xfId="1" applyAlignment="1" applyProtection="1">
      <alignment horizontal="left" vertical="center" wrapText="1"/>
    </xf>
    <xf numFmtId="0" fontId="1" fillId="2" borderId="1" xfId="1" applyAlignment="1" applyProtection="1">
      <alignment horizontal="right" vertical="center" wrapText="1"/>
    </xf>
    <xf numFmtId="0" fontId="1" fillId="2" borderId="5" xfId="1" applyBorder="1" applyAlignment="1" applyProtection="1">
      <alignment horizontal="right" vertical="center" wrapText="1"/>
    </xf>
    <xf numFmtId="1" fontId="0" fillId="5" borderId="0" xfId="0" applyNumberFormat="1" applyFill="1"/>
    <xf numFmtId="1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3" fillId="5" borderId="0" xfId="2" applyFont="1" applyFill="1" applyBorder="1" applyProtection="1"/>
    <xf numFmtId="0" fontId="3" fillId="2" borderId="0" xfId="2" applyFont="1" applyFill="1" applyBorder="1" applyProtection="1"/>
    <xf numFmtId="0" fontId="3" fillId="2" borderId="3" xfId="2" applyFont="1" applyFill="1" applyBorder="1" applyProtection="1"/>
    <xf numFmtId="0" fontId="3" fillId="2" borderId="3" xfId="2" applyFont="1" applyFill="1" applyBorder="1" applyAlignment="1" applyProtection="1">
      <alignment horizontal="right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1" fillId="2" borderId="6" xfId="1" applyBorder="1" applyAlignment="1" applyProtection="1">
      <alignment horizontal="left" vertical="center" wrapText="1"/>
    </xf>
    <xf numFmtId="0" fontId="1" fillId="2" borderId="6" xfId="1" applyBorder="1" applyAlignment="1" applyProtection="1">
      <alignment vertical="center" wrapText="1"/>
    </xf>
    <xf numFmtId="0" fontId="3" fillId="5" borderId="0" xfId="2" applyFont="1" applyFill="1" applyBorder="1" applyAlignment="1" applyProtection="1">
      <alignment horizontal="left"/>
    </xf>
    <xf numFmtId="1" fontId="3" fillId="5" borderId="0" xfId="0" applyNumberFormat="1" applyFont="1" applyFill="1"/>
    <xf numFmtId="0" fontId="3" fillId="5" borderId="0" xfId="0" applyFont="1" applyFill="1" applyAlignment="1">
      <alignment horizontal="left"/>
    </xf>
    <xf numFmtId="0" fontId="3" fillId="2" borderId="0" xfId="2" applyFont="1" applyFill="1" applyBorder="1" applyAlignment="1" applyProtection="1">
      <alignment horizontal="left"/>
    </xf>
    <xf numFmtId="1" fontId="3" fillId="2" borderId="0" xfId="2" applyNumberFormat="1" applyFont="1" applyFill="1" applyBorder="1" applyProtection="1"/>
    <xf numFmtId="0" fontId="0" fillId="11" borderId="0" xfId="0" applyFill="1"/>
    <xf numFmtId="0" fontId="0" fillId="12" borderId="0" xfId="0" applyFill="1"/>
    <xf numFmtId="1" fontId="0" fillId="5" borderId="0" xfId="0" applyNumberFormat="1" applyFill="1" applyAlignment="1">
      <alignment horizontal="right"/>
    </xf>
    <xf numFmtId="1" fontId="0" fillId="2" borderId="3" xfId="0" applyNumberFormat="1" applyFill="1" applyBorder="1" applyAlignment="1">
      <alignment horizontal="right"/>
    </xf>
    <xf numFmtId="1" fontId="3" fillId="5" borderId="0" xfId="2" applyNumberFormat="1" applyFont="1" applyFill="1" applyBorder="1" applyProtection="1"/>
    <xf numFmtId="0" fontId="0" fillId="10" borderId="3" xfId="0" applyFill="1" applyBorder="1"/>
    <xf numFmtId="0" fontId="3" fillId="5" borderId="3" xfId="2" applyFont="1" applyFill="1" applyBorder="1" applyAlignment="1" applyProtection="1">
      <alignment horizontal="left"/>
    </xf>
    <xf numFmtId="0" fontId="3" fillId="5" borderId="3" xfId="2" applyFont="1" applyFill="1" applyBorder="1" applyProtection="1"/>
    <xf numFmtId="1" fontId="3" fillId="5" borderId="3" xfId="0" applyNumberFormat="1" applyFont="1" applyFill="1" applyBorder="1"/>
    <xf numFmtId="0" fontId="0" fillId="11" borderId="3" xfId="0" applyFill="1" applyBorder="1"/>
    <xf numFmtId="1" fontId="3" fillId="5" borderId="3" xfId="2" applyNumberFormat="1" applyFont="1" applyFill="1" applyBorder="1" applyProtection="1"/>
    <xf numFmtId="0" fontId="0" fillId="12" borderId="3" xfId="0" applyFill="1" applyBorder="1"/>
    <xf numFmtId="0" fontId="0" fillId="13" borderId="0" xfId="0" applyFill="1"/>
    <xf numFmtId="0" fontId="0" fillId="13" borderId="3" xfId="0" applyFill="1" applyBorder="1"/>
    <xf numFmtId="0" fontId="0" fillId="14" borderId="0" xfId="0" applyFill="1"/>
    <xf numFmtId="0" fontId="0" fillId="14" borderId="3" xfId="0" applyFill="1" applyBorder="1"/>
    <xf numFmtId="0" fontId="0" fillId="15" borderId="0" xfId="0" applyFill="1"/>
    <xf numFmtId="0" fontId="0" fillId="15" borderId="3" xfId="0" applyFill="1" applyBorder="1"/>
    <xf numFmtId="0" fontId="0" fillId="16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3" fillId="16" borderId="0" xfId="2" applyFont="1" applyFill="1" applyBorder="1" applyProtection="1"/>
    <xf numFmtId="1" fontId="3" fillId="16" borderId="0" xfId="0" applyNumberFormat="1" applyFont="1" applyFill="1"/>
    <xf numFmtId="0" fontId="3" fillId="17" borderId="0" xfId="2" applyFont="1" applyFill="1" applyBorder="1" applyProtection="1"/>
    <xf numFmtId="0" fontId="0" fillId="18" borderId="0" xfId="0" applyFill="1"/>
    <xf numFmtId="9" fontId="0" fillId="0" borderId="0" xfId="3" applyFont="1"/>
    <xf numFmtId="9" fontId="0" fillId="0" borderId="0" xfId="0" applyNumberFormat="1"/>
    <xf numFmtId="0" fontId="8" fillId="19" borderId="0" xfId="0" applyFont="1" applyFill="1"/>
    <xf numFmtId="0" fontId="8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8" fillId="23" borderId="0" xfId="0" applyFont="1" applyFill="1"/>
  </cellXfs>
  <cellStyles count="4">
    <cellStyle name="Excel Built-in Input" xfId="2" xr:uid="{00000000-0005-0000-0000-000007000000}"/>
    <cellStyle name="Excel Built-in Output" xfId="1" xr:uid="{00000000-0005-0000-0000-000006000000}"/>
    <cellStyle name="Normal" xfId="0" builtinId="0"/>
    <cellStyle name="Percent" xfId="3" builtinId="5"/>
  </cellStyles>
  <dxfs count="1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5B9BD5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8CBAD"/>
      <rgbColor rgb="FFA9D18E"/>
      <rgbColor rgb="FFFFCC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Carbon Price (Real 2024 numbers)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carbon_tax!$A$10:$B$10</c:f>
              <c:strCache>
                <c:ptCount val="2"/>
                <c:pt idx="0">
                  <c:v>LOW_PMR1b</c:v>
                </c:pt>
                <c:pt idx="1">
                  <c:v>R/tCO2e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carbon_tax!$C$1:$AM$1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xVal>
          <c:yVal>
            <c:numRef>
              <c:f>carbon_tax!$C$10:$AM$10</c:f>
              <c:numCache>
                <c:formatCode>General</c:formatCode>
                <c:ptCount val="37"/>
                <c:pt idx="0">
                  <c:v>0</c:v>
                </c:pt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33.6</c:v>
                </c:pt>
                <c:pt idx="7">
                  <c:v>33.6</c:v>
                </c:pt>
                <c:pt idx="8">
                  <c:v>43.2</c:v>
                </c:pt>
                <c:pt idx="9">
                  <c:v>64.8</c:v>
                </c:pt>
                <c:pt idx="10">
                  <c:v>86.4</c:v>
                </c:pt>
                <c:pt idx="11">
                  <c:v>108</c:v>
                </c:pt>
                <c:pt idx="12">
                  <c:v>147.6</c:v>
                </c:pt>
                <c:pt idx="13">
                  <c:v>187.2</c:v>
                </c:pt>
                <c:pt idx="14">
                  <c:v>226.8</c:v>
                </c:pt>
                <c:pt idx="15">
                  <c:v>266.39999999999998</c:v>
                </c:pt>
                <c:pt idx="16">
                  <c:v>306</c:v>
                </c:pt>
                <c:pt idx="17">
                  <c:v>360</c:v>
                </c:pt>
                <c:pt idx="18">
                  <c:v>414</c:v>
                </c:pt>
                <c:pt idx="19">
                  <c:v>468</c:v>
                </c:pt>
                <c:pt idx="20">
                  <c:v>522</c:v>
                </c:pt>
                <c:pt idx="21">
                  <c:v>576</c:v>
                </c:pt>
                <c:pt idx="22">
                  <c:v>630</c:v>
                </c:pt>
                <c:pt idx="23">
                  <c:v>684</c:v>
                </c:pt>
                <c:pt idx="24">
                  <c:v>738</c:v>
                </c:pt>
                <c:pt idx="25">
                  <c:v>792</c:v>
                </c:pt>
                <c:pt idx="26">
                  <c:v>846</c:v>
                </c:pt>
                <c:pt idx="27">
                  <c:v>900</c:v>
                </c:pt>
                <c:pt idx="28">
                  <c:v>954</c:v>
                </c:pt>
                <c:pt idx="29">
                  <c:v>1008</c:v>
                </c:pt>
                <c:pt idx="30">
                  <c:v>1062</c:v>
                </c:pt>
                <c:pt idx="31">
                  <c:v>1116</c:v>
                </c:pt>
                <c:pt idx="32">
                  <c:v>1170</c:v>
                </c:pt>
                <c:pt idx="33">
                  <c:v>1224</c:v>
                </c:pt>
                <c:pt idx="34" formatCode="0%">
                  <c:v>1278</c:v>
                </c:pt>
                <c:pt idx="35">
                  <c:v>1332</c:v>
                </c:pt>
                <c:pt idx="36">
                  <c:v>1386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ED-43E3-8BD9-40494D534A99}"/>
            </c:ext>
          </c:extLst>
        </c:ser>
        <c:ser>
          <c:idx val="4"/>
          <c:order val="4"/>
          <c:tx>
            <c:strRef>
              <c:f>carbon_tax!$A$12:$B$12</c:f>
              <c:strCache>
                <c:ptCount val="2"/>
                <c:pt idx="0">
                  <c:v>BASE_PMR1b</c:v>
                </c:pt>
                <c:pt idx="1">
                  <c:v>R/tCO2e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carbon_tax!$C$1:$AM$1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xVal>
          <c:yVal>
            <c:numRef>
              <c:f>carbon_tax!$C$12:$AM$12</c:f>
              <c:numCache>
                <c:formatCode>General</c:formatCode>
                <c:ptCount val="37"/>
                <c:pt idx="0">
                  <c:v>0</c:v>
                </c:pt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33.6</c:v>
                </c:pt>
                <c:pt idx="7">
                  <c:v>147.24</c:v>
                </c:pt>
                <c:pt idx="8">
                  <c:v>265.68</c:v>
                </c:pt>
                <c:pt idx="9">
                  <c:v>390.12</c:v>
                </c:pt>
                <c:pt idx="10">
                  <c:v>514.55999999999995</c:v>
                </c:pt>
                <c:pt idx="11">
                  <c:v>639</c:v>
                </c:pt>
                <c:pt idx="12">
                  <c:v>739.8</c:v>
                </c:pt>
                <c:pt idx="13">
                  <c:v>840.6</c:v>
                </c:pt>
                <c:pt idx="14">
                  <c:v>941.4</c:v>
                </c:pt>
                <c:pt idx="15">
                  <c:v>1042.2</c:v>
                </c:pt>
                <c:pt idx="16">
                  <c:v>1143</c:v>
                </c:pt>
                <c:pt idx="17">
                  <c:v>1215</c:v>
                </c:pt>
                <c:pt idx="18">
                  <c:v>1287</c:v>
                </c:pt>
                <c:pt idx="19">
                  <c:v>1359</c:v>
                </c:pt>
                <c:pt idx="20">
                  <c:v>1431</c:v>
                </c:pt>
                <c:pt idx="21">
                  <c:v>1503</c:v>
                </c:pt>
                <c:pt idx="22">
                  <c:v>1575</c:v>
                </c:pt>
                <c:pt idx="23">
                  <c:v>1647</c:v>
                </c:pt>
                <c:pt idx="24">
                  <c:v>1719</c:v>
                </c:pt>
                <c:pt idx="25">
                  <c:v>1791</c:v>
                </c:pt>
                <c:pt idx="26">
                  <c:v>1863</c:v>
                </c:pt>
                <c:pt idx="27">
                  <c:v>1935</c:v>
                </c:pt>
                <c:pt idx="28">
                  <c:v>2007</c:v>
                </c:pt>
                <c:pt idx="29">
                  <c:v>2079</c:v>
                </c:pt>
                <c:pt idx="30">
                  <c:v>2151</c:v>
                </c:pt>
                <c:pt idx="31">
                  <c:v>2223</c:v>
                </c:pt>
                <c:pt idx="32">
                  <c:v>2295</c:v>
                </c:pt>
                <c:pt idx="33">
                  <c:v>2367</c:v>
                </c:pt>
                <c:pt idx="34">
                  <c:v>2439</c:v>
                </c:pt>
                <c:pt idx="35">
                  <c:v>2511</c:v>
                </c:pt>
                <c:pt idx="36">
                  <c:v>2583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ED-43E3-8BD9-40494D534A99}"/>
            </c:ext>
          </c:extLst>
        </c:ser>
        <c:ser>
          <c:idx val="5"/>
          <c:order val="5"/>
          <c:tx>
            <c:strRef>
              <c:f>carbon_tax!$A$14:$B$14</c:f>
              <c:strCache>
                <c:ptCount val="2"/>
                <c:pt idx="0">
                  <c:v>HIGH_PMR1b</c:v>
                </c:pt>
                <c:pt idx="1">
                  <c:v>R/tCO2e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carbon_tax!$C$1:$AM$1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xVal>
          <c:yVal>
            <c:numRef>
              <c:f>carbon_tax!$C$14:$AM$14</c:f>
              <c:numCache>
                <c:formatCode>General</c:formatCode>
                <c:ptCount val="37"/>
                <c:pt idx="0">
                  <c:v>0</c:v>
                </c:pt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33.6</c:v>
                </c:pt>
                <c:pt idx="7">
                  <c:v>260.88</c:v>
                </c:pt>
                <c:pt idx="8">
                  <c:v>488.16</c:v>
                </c:pt>
                <c:pt idx="9">
                  <c:v>715.44</c:v>
                </c:pt>
                <c:pt idx="10">
                  <c:v>942.72</c:v>
                </c:pt>
                <c:pt idx="11">
                  <c:v>1170</c:v>
                </c:pt>
                <c:pt idx="12">
                  <c:v>1332</c:v>
                </c:pt>
                <c:pt idx="13">
                  <c:v>1494</c:v>
                </c:pt>
                <c:pt idx="14">
                  <c:v>1656</c:v>
                </c:pt>
                <c:pt idx="15">
                  <c:v>1818</c:v>
                </c:pt>
                <c:pt idx="16">
                  <c:v>1980</c:v>
                </c:pt>
                <c:pt idx="17">
                  <c:v>2070</c:v>
                </c:pt>
                <c:pt idx="18">
                  <c:v>2160</c:v>
                </c:pt>
                <c:pt idx="19">
                  <c:v>2250</c:v>
                </c:pt>
                <c:pt idx="20">
                  <c:v>2340</c:v>
                </c:pt>
                <c:pt idx="21">
                  <c:v>2430</c:v>
                </c:pt>
                <c:pt idx="22">
                  <c:v>2520</c:v>
                </c:pt>
                <c:pt idx="23">
                  <c:v>2610</c:v>
                </c:pt>
                <c:pt idx="24">
                  <c:v>2700</c:v>
                </c:pt>
                <c:pt idx="25">
                  <c:v>2790</c:v>
                </c:pt>
                <c:pt idx="26">
                  <c:v>2880</c:v>
                </c:pt>
                <c:pt idx="27">
                  <c:v>2970</c:v>
                </c:pt>
                <c:pt idx="28">
                  <c:v>3060</c:v>
                </c:pt>
                <c:pt idx="29">
                  <c:v>3150</c:v>
                </c:pt>
                <c:pt idx="30">
                  <c:v>3240</c:v>
                </c:pt>
                <c:pt idx="31">
                  <c:v>3330</c:v>
                </c:pt>
                <c:pt idx="32">
                  <c:v>3420</c:v>
                </c:pt>
                <c:pt idx="33">
                  <c:v>3510</c:v>
                </c:pt>
                <c:pt idx="34">
                  <c:v>3600</c:v>
                </c:pt>
                <c:pt idx="35">
                  <c:v>3690</c:v>
                </c:pt>
                <c:pt idx="36">
                  <c:v>3780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ED-43E3-8BD9-40494D534A99}"/>
            </c:ext>
          </c:extLst>
        </c:ser>
        <c:ser>
          <c:idx val="7"/>
          <c:order val="6"/>
          <c:tx>
            <c:strRef>
              <c:f>carbon_tax!$A$11</c:f>
              <c:strCache>
                <c:ptCount val="1"/>
                <c:pt idx="0">
                  <c:v>BASE_LOW_PMR1b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carbon_tax!$D$1:$AM$1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carbon_tax!$D$11:$AM$11</c:f>
              <c:numCache>
                <c:formatCode>General</c:formatCode>
                <c:ptCount val="36"/>
                <c:pt idx="0">
                  <c:v>33.6</c:v>
                </c:pt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90.42</c:v>
                </c:pt>
                <c:pt idx="7">
                  <c:v>154.44</c:v>
                </c:pt>
                <c:pt idx="8">
                  <c:v>227.46</c:v>
                </c:pt>
                <c:pt idx="9">
                  <c:v>300.47999999999996</c:v>
                </c:pt>
                <c:pt idx="10">
                  <c:v>373.5</c:v>
                </c:pt>
                <c:pt idx="11">
                  <c:v>443.7</c:v>
                </c:pt>
                <c:pt idx="12">
                  <c:v>513.9</c:v>
                </c:pt>
                <c:pt idx="13">
                  <c:v>584.1</c:v>
                </c:pt>
                <c:pt idx="14">
                  <c:v>654.29999999999995</c:v>
                </c:pt>
                <c:pt idx="15">
                  <c:v>724.5</c:v>
                </c:pt>
                <c:pt idx="16">
                  <c:v>787.5</c:v>
                </c:pt>
                <c:pt idx="17">
                  <c:v>850.5</c:v>
                </c:pt>
                <c:pt idx="18">
                  <c:v>913.5</c:v>
                </c:pt>
                <c:pt idx="19">
                  <c:v>976.5</c:v>
                </c:pt>
                <c:pt idx="20">
                  <c:v>1039.5</c:v>
                </c:pt>
                <c:pt idx="21">
                  <c:v>1102.5</c:v>
                </c:pt>
                <c:pt idx="22">
                  <c:v>1165.5</c:v>
                </c:pt>
                <c:pt idx="23">
                  <c:v>1228.5</c:v>
                </c:pt>
                <c:pt idx="24">
                  <c:v>1291.5</c:v>
                </c:pt>
                <c:pt idx="25">
                  <c:v>1354.5</c:v>
                </c:pt>
                <c:pt idx="26">
                  <c:v>1417.5</c:v>
                </c:pt>
                <c:pt idx="27">
                  <c:v>1480.5</c:v>
                </c:pt>
                <c:pt idx="28">
                  <c:v>1543.5</c:v>
                </c:pt>
                <c:pt idx="29">
                  <c:v>1606.5</c:v>
                </c:pt>
                <c:pt idx="30">
                  <c:v>1669.5</c:v>
                </c:pt>
                <c:pt idx="31">
                  <c:v>1732.5</c:v>
                </c:pt>
                <c:pt idx="32">
                  <c:v>1795.5</c:v>
                </c:pt>
                <c:pt idx="33">
                  <c:v>1858.5</c:v>
                </c:pt>
                <c:pt idx="34">
                  <c:v>1921.5</c:v>
                </c:pt>
                <c:pt idx="35">
                  <c:v>1984.5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48-4B78-8E64-2EEEB0063CA5}"/>
            </c:ext>
          </c:extLst>
        </c:ser>
        <c:ser>
          <c:idx val="8"/>
          <c:order val="7"/>
          <c:tx>
            <c:strRef>
              <c:f>carbon_tax!$A$13</c:f>
              <c:strCache>
                <c:ptCount val="1"/>
                <c:pt idx="0">
                  <c:v>HIGH_BASE_PMR1b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carbon_tax!$D$1:$AM$1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carbon_tax!$D$13:$AM$13</c:f>
              <c:numCache>
                <c:formatCode>General</c:formatCode>
                <c:ptCount val="36"/>
                <c:pt idx="0">
                  <c:v>33.6</c:v>
                </c:pt>
                <c:pt idx="1">
                  <c:v>33.6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204.06</c:v>
                </c:pt>
                <c:pt idx="7">
                  <c:v>376.92</c:v>
                </c:pt>
                <c:pt idx="8">
                  <c:v>552.78</c:v>
                </c:pt>
                <c:pt idx="9">
                  <c:v>728.64</c:v>
                </c:pt>
                <c:pt idx="10">
                  <c:v>904.5</c:v>
                </c:pt>
                <c:pt idx="11">
                  <c:v>1035.9000000000001</c:v>
                </c:pt>
                <c:pt idx="12">
                  <c:v>1167.3</c:v>
                </c:pt>
                <c:pt idx="13">
                  <c:v>1298.7</c:v>
                </c:pt>
                <c:pt idx="14">
                  <c:v>1430.1</c:v>
                </c:pt>
                <c:pt idx="15">
                  <c:v>1561.5</c:v>
                </c:pt>
                <c:pt idx="16">
                  <c:v>1642.5</c:v>
                </c:pt>
                <c:pt idx="17">
                  <c:v>1723.5</c:v>
                </c:pt>
                <c:pt idx="18">
                  <c:v>1804.5</c:v>
                </c:pt>
                <c:pt idx="19">
                  <c:v>1885.5</c:v>
                </c:pt>
                <c:pt idx="20">
                  <c:v>1966.5</c:v>
                </c:pt>
                <c:pt idx="21">
                  <c:v>2047.5</c:v>
                </c:pt>
                <c:pt idx="22">
                  <c:v>2128.5</c:v>
                </c:pt>
                <c:pt idx="23">
                  <c:v>2209.5</c:v>
                </c:pt>
                <c:pt idx="24">
                  <c:v>2290.5</c:v>
                </c:pt>
                <c:pt idx="25">
                  <c:v>2371.5</c:v>
                </c:pt>
                <c:pt idx="26">
                  <c:v>2452.5</c:v>
                </c:pt>
                <c:pt idx="27">
                  <c:v>2533.5</c:v>
                </c:pt>
                <c:pt idx="28">
                  <c:v>2614.5</c:v>
                </c:pt>
                <c:pt idx="29">
                  <c:v>2695.5</c:v>
                </c:pt>
                <c:pt idx="30">
                  <c:v>2776.5</c:v>
                </c:pt>
                <c:pt idx="31">
                  <c:v>2857.5</c:v>
                </c:pt>
                <c:pt idx="32">
                  <c:v>2938.5</c:v>
                </c:pt>
                <c:pt idx="33">
                  <c:v>3019.5</c:v>
                </c:pt>
                <c:pt idx="34">
                  <c:v>3100.5</c:v>
                </c:pt>
                <c:pt idx="35">
                  <c:v>3181.5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48-4B78-8E64-2EEEB0063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701088"/>
        <c:axId val="10726996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carbon_tax!$A$7:$B$7</c15:sqref>
                        </c15:formulaRef>
                      </c:ext>
                    </c:extLst>
                    <c:strCache>
                      <c:ptCount val="2"/>
                      <c:pt idx="0">
                        <c:v>LOW_PMR1</c:v>
                      </c:pt>
                      <c:pt idx="1">
                        <c:v>R/tCO2e</c:v>
                      </c:pt>
                    </c:strCache>
                  </c:strRef>
                </c:tx>
                <c:spPr>
                  <a:ln w="19050" cap="rnd">
                    <a:solidFill>
                      <a:schemeClr val="bg1">
                        <a:lumMod val="5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carbon_tax!$C$1:$AM$1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</c:v>
                      </c:pt>
                      <c:pt idx="3">
                        <c:v>2027</c:v>
                      </c:pt>
                      <c:pt idx="4">
                        <c:v>2028</c:v>
                      </c:pt>
                      <c:pt idx="5">
                        <c:v>2029</c:v>
                      </c:pt>
                      <c:pt idx="6">
                        <c:v>2030</c:v>
                      </c:pt>
                      <c:pt idx="7">
                        <c:v>2031</c:v>
                      </c:pt>
                      <c:pt idx="8">
                        <c:v>2032</c:v>
                      </c:pt>
                      <c:pt idx="9">
                        <c:v>2033</c:v>
                      </c:pt>
                      <c:pt idx="10">
                        <c:v>2034</c:v>
                      </c:pt>
                      <c:pt idx="11">
                        <c:v>2035</c:v>
                      </c:pt>
                      <c:pt idx="12">
                        <c:v>2036</c:v>
                      </c:pt>
                      <c:pt idx="13">
                        <c:v>2037</c:v>
                      </c:pt>
                      <c:pt idx="14">
                        <c:v>2038</c:v>
                      </c:pt>
                      <c:pt idx="15">
                        <c:v>2039</c:v>
                      </c:pt>
                      <c:pt idx="16">
                        <c:v>2040</c:v>
                      </c:pt>
                      <c:pt idx="17">
                        <c:v>2041</c:v>
                      </c:pt>
                      <c:pt idx="18">
                        <c:v>2042</c:v>
                      </c:pt>
                      <c:pt idx="19">
                        <c:v>2043</c:v>
                      </c:pt>
                      <c:pt idx="20">
                        <c:v>2044</c:v>
                      </c:pt>
                      <c:pt idx="21">
                        <c:v>2045</c:v>
                      </c:pt>
                      <c:pt idx="22">
                        <c:v>2046</c:v>
                      </c:pt>
                      <c:pt idx="23">
                        <c:v>2047</c:v>
                      </c:pt>
                      <c:pt idx="24">
                        <c:v>2048</c:v>
                      </c:pt>
                      <c:pt idx="25">
                        <c:v>2049</c:v>
                      </c:pt>
                      <c:pt idx="26">
                        <c:v>2050</c:v>
                      </c:pt>
                      <c:pt idx="27">
                        <c:v>2051</c:v>
                      </c:pt>
                      <c:pt idx="28">
                        <c:v>2052</c:v>
                      </c:pt>
                      <c:pt idx="29">
                        <c:v>2053</c:v>
                      </c:pt>
                      <c:pt idx="30">
                        <c:v>2054</c:v>
                      </c:pt>
                      <c:pt idx="31">
                        <c:v>2055</c:v>
                      </c:pt>
                      <c:pt idx="32">
                        <c:v>2056</c:v>
                      </c:pt>
                      <c:pt idx="33">
                        <c:v>2057</c:v>
                      </c:pt>
                      <c:pt idx="34">
                        <c:v>2058</c:v>
                      </c:pt>
                      <c:pt idx="35">
                        <c:v>2059</c:v>
                      </c:pt>
                      <c:pt idx="36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carbon_tax!$C$7:$AM$7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97.561153548241066</c:v>
                      </c:pt>
                      <c:pt idx="8">
                        <c:v>106.43034932535394</c:v>
                      </c:pt>
                      <c:pt idx="9">
                        <c:v>115.29954510246677</c:v>
                      </c:pt>
                      <c:pt idx="10">
                        <c:v>124.16874087957959</c:v>
                      </c:pt>
                      <c:pt idx="11">
                        <c:v>133.03793665669244</c:v>
                      </c:pt>
                      <c:pt idx="12">
                        <c:v>190.04665693821829</c:v>
                      </c:pt>
                      <c:pt idx="13">
                        <c:v>253.07281778279571</c:v>
                      </c:pt>
                      <c:pt idx="14">
                        <c:v>322.11641919042472</c:v>
                      </c:pt>
                      <c:pt idx="15">
                        <c:v>397.17746116110544</c:v>
                      </c:pt>
                      <c:pt idx="16">
                        <c:v>478.2559436948377</c:v>
                      </c:pt>
                      <c:pt idx="17">
                        <c:v>565.35186679162166</c:v>
                      </c:pt>
                      <c:pt idx="18">
                        <c:v>658.46523045145727</c:v>
                      </c:pt>
                      <c:pt idx="19">
                        <c:v>757.59603467434442</c:v>
                      </c:pt>
                      <c:pt idx="20">
                        <c:v>862.74427946028322</c:v>
                      </c:pt>
                      <c:pt idx="21">
                        <c:v>973.90996480927356</c:v>
                      </c:pt>
                      <c:pt idx="22">
                        <c:v>1091.0930907213155</c:v>
                      </c:pt>
                      <c:pt idx="23">
                        <c:v>1169.3198180409868</c:v>
                      </c:pt>
                      <c:pt idx="24">
                        <c:v>1247.546545360658</c:v>
                      </c:pt>
                      <c:pt idx="25">
                        <c:v>1325.773272680329</c:v>
                      </c:pt>
                      <c:pt idx="26">
                        <c:v>1404</c:v>
                      </c:pt>
                      <c:pt idx="27">
                        <c:v>1418.868424644093</c:v>
                      </c:pt>
                      <c:pt idx="28">
                        <c:v>1433.2073677099906</c:v>
                      </c:pt>
                      <c:pt idx="29">
                        <c:v>1447.6842798970629</c:v>
                      </c:pt>
                      <c:pt idx="30">
                        <c:v>1462.3073541393462</c:v>
                      </c:pt>
                      <c:pt idx="31">
                        <c:v>1477.0781355014406</c:v>
                      </c:pt>
                      <c:pt idx="32">
                        <c:v>1491.9981166681939</c:v>
                      </c:pt>
                      <c:pt idx="33">
                        <c:v>1507.0688047153481</c:v>
                      </c:pt>
                      <c:pt idx="34" formatCode="0%">
                        <c:v>1522.291721934695</c:v>
                      </c:pt>
                      <c:pt idx="35">
                        <c:v>1537.6684059946415</c:v>
                      </c:pt>
                      <c:pt idx="36">
                        <c:v>1553.2004100955976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2ED-43E3-8BD9-40494D534A9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carbon_tax!$A$8:$B$8</c15:sqref>
                        </c15:formulaRef>
                      </c:ext>
                    </c:extLst>
                    <c:strCache>
                      <c:ptCount val="2"/>
                      <c:pt idx="0">
                        <c:v>BASE_PMR1</c:v>
                      </c:pt>
                      <c:pt idx="1">
                        <c:v>R/tCO2e</c:v>
                      </c:pt>
                    </c:strCache>
                  </c:strRef>
                </c:tx>
                <c:spPr>
                  <a:ln w="19050" cap="rnd">
                    <a:solidFill>
                      <a:srgbClr val="0070C0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carbon_tax!$C$1:$AM$1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</c:v>
                      </c:pt>
                      <c:pt idx="3">
                        <c:v>2027</c:v>
                      </c:pt>
                      <c:pt idx="4">
                        <c:v>2028</c:v>
                      </c:pt>
                      <c:pt idx="5">
                        <c:v>2029</c:v>
                      </c:pt>
                      <c:pt idx="6">
                        <c:v>2030</c:v>
                      </c:pt>
                      <c:pt idx="7">
                        <c:v>2031</c:v>
                      </c:pt>
                      <c:pt idx="8">
                        <c:v>2032</c:v>
                      </c:pt>
                      <c:pt idx="9">
                        <c:v>2033</c:v>
                      </c:pt>
                      <c:pt idx="10">
                        <c:v>2034</c:v>
                      </c:pt>
                      <c:pt idx="11">
                        <c:v>2035</c:v>
                      </c:pt>
                      <c:pt idx="12">
                        <c:v>2036</c:v>
                      </c:pt>
                      <c:pt idx="13">
                        <c:v>2037</c:v>
                      </c:pt>
                      <c:pt idx="14">
                        <c:v>2038</c:v>
                      </c:pt>
                      <c:pt idx="15">
                        <c:v>2039</c:v>
                      </c:pt>
                      <c:pt idx="16">
                        <c:v>2040</c:v>
                      </c:pt>
                      <c:pt idx="17">
                        <c:v>2041</c:v>
                      </c:pt>
                      <c:pt idx="18">
                        <c:v>2042</c:v>
                      </c:pt>
                      <c:pt idx="19">
                        <c:v>2043</c:v>
                      </c:pt>
                      <c:pt idx="20">
                        <c:v>2044</c:v>
                      </c:pt>
                      <c:pt idx="21">
                        <c:v>2045</c:v>
                      </c:pt>
                      <c:pt idx="22">
                        <c:v>2046</c:v>
                      </c:pt>
                      <c:pt idx="23">
                        <c:v>2047</c:v>
                      </c:pt>
                      <c:pt idx="24">
                        <c:v>2048</c:v>
                      </c:pt>
                      <c:pt idx="25">
                        <c:v>2049</c:v>
                      </c:pt>
                      <c:pt idx="26">
                        <c:v>2050</c:v>
                      </c:pt>
                      <c:pt idx="27">
                        <c:v>2051</c:v>
                      </c:pt>
                      <c:pt idx="28">
                        <c:v>2052</c:v>
                      </c:pt>
                      <c:pt idx="29">
                        <c:v>2053</c:v>
                      </c:pt>
                      <c:pt idx="30">
                        <c:v>2054</c:v>
                      </c:pt>
                      <c:pt idx="31">
                        <c:v>2055</c:v>
                      </c:pt>
                      <c:pt idx="32">
                        <c:v>2056</c:v>
                      </c:pt>
                      <c:pt idx="33">
                        <c:v>2057</c:v>
                      </c:pt>
                      <c:pt idx="34">
                        <c:v>2058</c:v>
                      </c:pt>
                      <c:pt idx="35">
                        <c:v>2059</c:v>
                      </c:pt>
                      <c:pt idx="36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carbon_tax!$C$8:$AM$8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30.768526361575976</c:v>
                      </c:pt>
                      <c:pt idx="3">
                        <c:v>29.443565896244952</c:v>
                      </c:pt>
                      <c:pt idx="4">
                        <c:v>28.175661144732022</c:v>
                      </c:pt>
                      <c:pt idx="5">
                        <c:v>26.962355162422988</c:v>
                      </c:pt>
                      <c:pt idx="6">
                        <c:v>25.801296806146407</c:v>
                      </c:pt>
                      <c:pt idx="7">
                        <c:v>278.14339970642965</c:v>
                      </c:pt>
                      <c:pt idx="8">
                        <c:v>347.93918118444014</c:v>
                      </c:pt>
                      <c:pt idx="9">
                        <c:v>422.24804308473938</c:v>
                      </c:pt>
                      <c:pt idx="10">
                        <c:v>501.06998540732741</c:v>
                      </c:pt>
                      <c:pt idx="11">
                        <c:v>584.405008152204</c:v>
                      </c:pt>
                      <c:pt idx="12">
                        <c:v>672.25311131936928</c:v>
                      </c:pt>
                      <c:pt idx="13">
                        <c:v>764.61429490882347</c:v>
                      </c:pt>
                      <c:pt idx="14">
                        <c:v>861.48855892056633</c:v>
                      </c:pt>
                      <c:pt idx="15">
                        <c:v>962.87590335459765</c:v>
                      </c:pt>
                      <c:pt idx="16">
                        <c:v>1068.7763282109181</c:v>
                      </c:pt>
                      <c:pt idx="17">
                        <c:v>1179.189833489527</c:v>
                      </c:pt>
                      <c:pt idx="18">
                        <c:v>1294.1164191904247</c:v>
                      </c:pt>
                      <c:pt idx="19">
                        <c:v>1413.556085313611</c:v>
                      </c:pt>
                      <c:pt idx="20">
                        <c:v>1537.5088318590863</c:v>
                      </c:pt>
                      <c:pt idx="21">
                        <c:v>1665.9746588268501</c:v>
                      </c:pt>
                      <c:pt idx="22">
                        <c:v>1798.9535662169026</c:v>
                      </c:pt>
                      <c:pt idx="23">
                        <c:v>1889.2151746626769</c:v>
                      </c:pt>
                      <c:pt idx="24">
                        <c:v>1979.4767831084512</c:v>
                      </c:pt>
                      <c:pt idx="25">
                        <c:v>2069.7383915542259</c:v>
                      </c:pt>
                      <c:pt idx="26">
                        <c:v>2160</c:v>
                      </c:pt>
                      <c:pt idx="27">
                        <c:v>2182.5419793102278</c:v>
                      </c:pt>
                      <c:pt idx="28">
                        <c:v>2204.5951714002808</c:v>
                      </c:pt>
                      <c:pt idx="29">
                        <c:v>2226.8638833693285</c:v>
                      </c:pt>
                      <c:pt idx="30">
                        <c:v>2249.3574586950199</c:v>
                      </c:pt>
                      <c:pt idx="31">
                        <c:v>2272.0782411136179</c:v>
                      </c:pt>
                      <c:pt idx="32">
                        <c:v>2295.0285263774681</c:v>
                      </c:pt>
                      <c:pt idx="33">
                        <c:v>2318.210632704514</c:v>
                      </c:pt>
                      <c:pt idx="34">
                        <c:v>2341.6269017217314</c:v>
                      </c:pt>
                      <c:pt idx="35">
                        <c:v>2365.2796987088195</c:v>
                      </c:pt>
                      <c:pt idx="36">
                        <c:v>2389.1714128371914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2ED-43E3-8BD9-40494D534A9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carbon_tax!$A$9:$B$9</c15:sqref>
                        </c15:formulaRef>
                      </c:ext>
                    </c:extLst>
                    <c:strCache>
                      <c:ptCount val="2"/>
                      <c:pt idx="0">
                        <c:v>HIGH_PMR1</c:v>
                      </c:pt>
                      <c:pt idx="1">
                        <c:v>R/tCO2e</c:v>
                      </c:pt>
                    </c:strCache>
                  </c:strRef>
                </c:tx>
                <c:spPr>
                  <a:ln w="19050" cap="rnd">
                    <a:solidFill>
                      <a:srgbClr val="7030A0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carbon_tax!$C$1:$AM$1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</c:v>
                      </c:pt>
                      <c:pt idx="3">
                        <c:v>2027</c:v>
                      </c:pt>
                      <c:pt idx="4">
                        <c:v>2028</c:v>
                      </c:pt>
                      <c:pt idx="5">
                        <c:v>2029</c:v>
                      </c:pt>
                      <c:pt idx="6">
                        <c:v>2030</c:v>
                      </c:pt>
                      <c:pt idx="7">
                        <c:v>2031</c:v>
                      </c:pt>
                      <c:pt idx="8">
                        <c:v>2032</c:v>
                      </c:pt>
                      <c:pt idx="9">
                        <c:v>2033</c:v>
                      </c:pt>
                      <c:pt idx="10">
                        <c:v>2034</c:v>
                      </c:pt>
                      <c:pt idx="11">
                        <c:v>2035</c:v>
                      </c:pt>
                      <c:pt idx="12">
                        <c:v>2036</c:v>
                      </c:pt>
                      <c:pt idx="13">
                        <c:v>2037</c:v>
                      </c:pt>
                      <c:pt idx="14">
                        <c:v>2038</c:v>
                      </c:pt>
                      <c:pt idx="15">
                        <c:v>2039</c:v>
                      </c:pt>
                      <c:pt idx="16">
                        <c:v>2040</c:v>
                      </c:pt>
                      <c:pt idx="17">
                        <c:v>2041</c:v>
                      </c:pt>
                      <c:pt idx="18">
                        <c:v>2042</c:v>
                      </c:pt>
                      <c:pt idx="19">
                        <c:v>2043</c:v>
                      </c:pt>
                      <c:pt idx="20">
                        <c:v>2044</c:v>
                      </c:pt>
                      <c:pt idx="21">
                        <c:v>2045</c:v>
                      </c:pt>
                      <c:pt idx="22">
                        <c:v>2046</c:v>
                      </c:pt>
                      <c:pt idx="23">
                        <c:v>2047</c:v>
                      </c:pt>
                      <c:pt idx="24">
                        <c:v>2048</c:v>
                      </c:pt>
                      <c:pt idx="25">
                        <c:v>2049</c:v>
                      </c:pt>
                      <c:pt idx="26">
                        <c:v>2050</c:v>
                      </c:pt>
                      <c:pt idx="27">
                        <c:v>2051</c:v>
                      </c:pt>
                      <c:pt idx="28">
                        <c:v>2052</c:v>
                      </c:pt>
                      <c:pt idx="29">
                        <c:v>2053</c:v>
                      </c:pt>
                      <c:pt idx="30">
                        <c:v>2054</c:v>
                      </c:pt>
                      <c:pt idx="31">
                        <c:v>2055</c:v>
                      </c:pt>
                      <c:pt idx="32">
                        <c:v>2056</c:v>
                      </c:pt>
                      <c:pt idx="33">
                        <c:v>2057</c:v>
                      </c:pt>
                      <c:pt idx="34">
                        <c:v>2058</c:v>
                      </c:pt>
                      <c:pt idx="35">
                        <c:v>2059</c:v>
                      </c:pt>
                      <c:pt idx="36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carbon_tax!$C$9:$AM$9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30.768526361575976</c:v>
                      </c:pt>
                      <c:pt idx="3">
                        <c:v>29.443565896244952</c:v>
                      </c:pt>
                      <c:pt idx="4">
                        <c:v>28.175661144732022</c:v>
                      </c:pt>
                      <c:pt idx="5">
                        <c:v>26.962355162422988</c:v>
                      </c:pt>
                      <c:pt idx="6">
                        <c:v>25.801296806146407</c:v>
                      </c:pt>
                      <c:pt idx="7">
                        <c:v>493.66783108451307</c:v>
                      </c:pt>
                      <c:pt idx="8">
                        <c:v>632.56783108451305</c:v>
                      </c:pt>
                      <c:pt idx="9">
                        <c:v>771.46783108451314</c:v>
                      </c:pt>
                      <c:pt idx="10">
                        <c:v>910.36783108451311</c:v>
                      </c:pt>
                      <c:pt idx="11">
                        <c:v>1049.2678310845131</c:v>
                      </c:pt>
                      <c:pt idx="12">
                        <c:v>1188.1678310845132</c:v>
                      </c:pt>
                      <c:pt idx="13">
                        <c:v>1327.0678310845133</c:v>
                      </c:pt>
                      <c:pt idx="14">
                        <c:v>1465.9678310845131</c:v>
                      </c:pt>
                      <c:pt idx="15">
                        <c:v>1604.8678310845132</c:v>
                      </c:pt>
                      <c:pt idx="16">
                        <c:v>1743.7678310845131</c:v>
                      </c:pt>
                      <c:pt idx="17">
                        <c:v>1882.6678310845132</c:v>
                      </c:pt>
                      <c:pt idx="18">
                        <c:v>2021.5678310845133</c:v>
                      </c:pt>
                      <c:pt idx="19">
                        <c:v>2160.4678310845129</c:v>
                      </c:pt>
                      <c:pt idx="20">
                        <c:v>2299.3678310845135</c:v>
                      </c:pt>
                      <c:pt idx="21">
                        <c:v>2438.2678310845131</c:v>
                      </c:pt>
                      <c:pt idx="22">
                        <c:v>2577.1678310845132</c:v>
                      </c:pt>
                      <c:pt idx="23">
                        <c:v>2716.0678310845133</c:v>
                      </c:pt>
                      <c:pt idx="24">
                        <c:v>2854.9678310845134</c:v>
                      </c:pt>
                      <c:pt idx="25">
                        <c:v>2993.867831084513</c:v>
                      </c:pt>
                      <c:pt idx="26">
                        <c:v>3132.7678310845131</c:v>
                      </c:pt>
                      <c:pt idx="27">
                        <c:v>3165.5489518193012</c:v>
                      </c:pt>
                      <c:pt idx="28">
                        <c:v>3197.5356827443798</c:v>
                      </c:pt>
                      <c:pt idx="29">
                        <c:v>3229.834139024917</c:v>
                      </c:pt>
                      <c:pt idx="30">
                        <c:v>3262.4587274600253</c:v>
                      </c:pt>
                      <c:pt idx="31">
                        <c:v>3295.4128560320682</c:v>
                      </c:pt>
                      <c:pt idx="32">
                        <c:v>3328.6998545779661</c:v>
                      </c:pt>
                      <c:pt idx="33">
                        <c:v>3362.3230854322901</c:v>
                      </c:pt>
                      <c:pt idx="34">
                        <c:v>3396.2859448811009</c:v>
                      </c:pt>
                      <c:pt idx="35">
                        <c:v>3430.5918635162634</c:v>
                      </c:pt>
                      <c:pt idx="36">
                        <c:v>3465.2443065820844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2ED-43E3-8BD9-40494D534A99}"/>
                  </c:ext>
                </c:extLst>
              </c15:ser>
            </c15:filteredScatterSeries>
          </c:ext>
        </c:extLst>
      </c:scatterChart>
      <c:valAx>
        <c:axId val="107270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699648"/>
        <c:crosses val="autoZero"/>
        <c:crossBetween val="midCat"/>
      </c:valAx>
      <c:valAx>
        <c:axId val="107269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Carbon price (R/t)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01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14</xdr:row>
      <xdr:rowOff>181927</xdr:rowOff>
    </xdr:from>
    <xdr:to>
      <xdr:col>16</xdr:col>
      <xdr:colOff>22860</xdr:colOff>
      <xdr:row>35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A31B1C-6B7D-52F3-7AE5-20B895913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"/>
  <sheetViews>
    <sheetView zoomScaleNormal="100" workbookViewId="0">
      <selection activeCell="Y13" sqref="Y13"/>
    </sheetView>
  </sheetViews>
  <sheetFormatPr defaultColWidth="8.6328125" defaultRowHeight="14.5" x14ac:dyDescent="0.35"/>
  <cols>
    <col min="1" max="1" width="17.08984375" customWidth="1"/>
    <col min="2" max="2" width="6" customWidth="1"/>
    <col min="3" max="3" width="11.453125" hidden="1" customWidth="1"/>
    <col min="4" max="4" width="8.08984375" hidden="1" customWidth="1"/>
    <col min="5" max="7" width="7.453125" hidden="1" customWidth="1"/>
    <col min="8" max="8" width="9.453125" style="1" hidden="1" customWidth="1"/>
    <col min="9" max="36" width="5" style="1" customWidth="1"/>
    <col min="37" max="46" width="5" customWidth="1"/>
  </cols>
  <sheetData>
    <row r="1" spans="1:46" x14ac:dyDescent="0.35">
      <c r="A1" s="2" t="s">
        <v>0</v>
      </c>
      <c r="B1" s="3" t="s">
        <v>1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  <c r="M1" s="3">
        <v>2027</v>
      </c>
      <c r="N1" s="3">
        <v>2028</v>
      </c>
      <c r="O1" s="3">
        <v>2029</v>
      </c>
      <c r="P1" s="3">
        <v>2030</v>
      </c>
      <c r="Q1" s="3">
        <v>2031</v>
      </c>
      <c r="R1" s="3">
        <v>2032</v>
      </c>
      <c r="S1" s="3">
        <v>2033</v>
      </c>
      <c r="T1" s="3">
        <v>2034</v>
      </c>
      <c r="U1" s="3">
        <v>2035</v>
      </c>
      <c r="V1" s="3">
        <v>2036</v>
      </c>
      <c r="W1" s="3">
        <v>2037</v>
      </c>
      <c r="X1" s="3">
        <v>2038</v>
      </c>
      <c r="Y1" s="3">
        <v>2039</v>
      </c>
      <c r="Z1" s="3">
        <v>2040</v>
      </c>
      <c r="AA1" s="3">
        <v>2041</v>
      </c>
      <c r="AB1" s="3">
        <v>2042</v>
      </c>
      <c r="AC1" s="3">
        <v>2043</v>
      </c>
      <c r="AD1" s="3">
        <v>2044</v>
      </c>
      <c r="AE1" s="3">
        <v>2045</v>
      </c>
      <c r="AF1" s="3">
        <v>2046</v>
      </c>
      <c r="AG1" s="3">
        <v>2047</v>
      </c>
      <c r="AH1" s="3">
        <v>2048</v>
      </c>
      <c r="AI1" s="3">
        <v>2049</v>
      </c>
      <c r="AJ1" s="3">
        <v>2050</v>
      </c>
      <c r="AK1" s="3">
        <f t="shared" ref="AK1:AT1" si="0">AJ1+1</f>
        <v>2051</v>
      </c>
      <c r="AL1" s="3">
        <f t="shared" si="0"/>
        <v>2052</v>
      </c>
      <c r="AM1" s="3">
        <f t="shared" si="0"/>
        <v>2053</v>
      </c>
      <c r="AN1" s="3">
        <f t="shared" si="0"/>
        <v>2054</v>
      </c>
      <c r="AO1" s="3">
        <f t="shared" si="0"/>
        <v>2055</v>
      </c>
      <c r="AP1" s="3">
        <f t="shared" si="0"/>
        <v>2056</v>
      </c>
      <c r="AQ1" s="3">
        <f t="shared" si="0"/>
        <v>2057</v>
      </c>
      <c r="AR1" s="3">
        <f t="shared" si="0"/>
        <v>2058</v>
      </c>
      <c r="AS1" s="3">
        <f t="shared" si="0"/>
        <v>2059</v>
      </c>
      <c r="AT1" s="3">
        <f t="shared" si="0"/>
        <v>2060</v>
      </c>
    </row>
    <row r="2" spans="1:46" x14ac:dyDescent="0.35">
      <c r="A2" s="4" t="s">
        <v>2</v>
      </c>
      <c r="B2" s="5" t="s">
        <v>3</v>
      </c>
      <c r="C2" s="6"/>
      <c r="D2" s="6"/>
      <c r="E2" s="6"/>
      <c r="F2" s="6"/>
      <c r="G2" s="6"/>
      <c r="H2" s="7"/>
      <c r="I2" s="8">
        <v>160</v>
      </c>
      <c r="J2" s="8">
        <v>160</v>
      </c>
      <c r="K2" s="8">
        <v>160</v>
      </c>
      <c r="L2" s="8">
        <v>160</v>
      </c>
      <c r="M2" s="8">
        <v>160</v>
      </c>
      <c r="N2" s="8">
        <v>160</v>
      </c>
      <c r="O2" s="8">
        <v>160</v>
      </c>
      <c r="P2" s="8">
        <v>160</v>
      </c>
      <c r="Q2" s="8">
        <v>156</v>
      </c>
      <c r="R2" s="8">
        <v>146</v>
      </c>
      <c r="S2" s="8">
        <v>128</v>
      </c>
      <c r="T2" s="8">
        <v>128</v>
      </c>
      <c r="U2" s="8">
        <v>110</v>
      </c>
      <c r="V2" s="8">
        <v>89</v>
      </c>
      <c r="W2" s="8">
        <v>64</v>
      </c>
      <c r="X2" s="8">
        <v>48</v>
      </c>
      <c r="Y2" s="8">
        <v>33</v>
      </c>
      <c r="Z2" s="8">
        <v>17</v>
      </c>
      <c r="AA2" s="8">
        <v>16</v>
      </c>
      <c r="AB2" s="8">
        <v>16</v>
      </c>
      <c r="AC2" s="8">
        <v>15</v>
      </c>
      <c r="AD2" s="8">
        <v>15</v>
      </c>
      <c r="AE2" s="8">
        <v>14</v>
      </c>
      <c r="AF2" s="8">
        <v>11</v>
      </c>
      <c r="AG2" s="8">
        <v>9</v>
      </c>
      <c r="AH2" s="8">
        <v>6</v>
      </c>
      <c r="AI2" s="8">
        <v>3</v>
      </c>
      <c r="AJ2" s="8">
        <v>0.01</v>
      </c>
      <c r="AK2">
        <f t="shared" ref="AK2:AT2" si="1">AJ2</f>
        <v>0.01</v>
      </c>
      <c r="AL2">
        <f t="shared" si="1"/>
        <v>0.01</v>
      </c>
      <c r="AM2">
        <f t="shared" si="1"/>
        <v>0.01</v>
      </c>
      <c r="AN2">
        <f t="shared" si="1"/>
        <v>0.01</v>
      </c>
      <c r="AO2">
        <f t="shared" si="1"/>
        <v>0.01</v>
      </c>
      <c r="AP2">
        <f t="shared" si="1"/>
        <v>0.01</v>
      </c>
      <c r="AQ2">
        <f t="shared" si="1"/>
        <v>0.01</v>
      </c>
      <c r="AR2">
        <f t="shared" si="1"/>
        <v>0.01</v>
      </c>
      <c r="AS2">
        <f t="shared" si="1"/>
        <v>0.01</v>
      </c>
      <c r="AT2">
        <f t="shared" si="1"/>
        <v>0.01</v>
      </c>
    </row>
    <row r="3" spans="1:46" x14ac:dyDescent="0.35">
      <c r="A3" s="9" t="s">
        <v>4</v>
      </c>
      <c r="B3" s="10" t="s">
        <v>3</v>
      </c>
      <c r="C3" s="11"/>
      <c r="D3" s="11"/>
      <c r="E3" s="11"/>
      <c r="F3" s="11"/>
      <c r="G3" s="11"/>
      <c r="H3" s="12"/>
      <c r="I3" s="13">
        <v>160</v>
      </c>
      <c r="J3" s="13">
        <v>160</v>
      </c>
      <c r="K3" s="13">
        <v>160</v>
      </c>
      <c r="L3" s="13">
        <v>160</v>
      </c>
      <c r="M3" s="13">
        <v>160</v>
      </c>
      <c r="N3" s="13">
        <v>160</v>
      </c>
      <c r="O3" s="13">
        <v>160</v>
      </c>
      <c r="P3" s="13">
        <v>160</v>
      </c>
      <c r="Q3" s="13">
        <f t="shared" ref="Q3:AI3" si="2">P3-(160/20)</f>
        <v>152</v>
      </c>
      <c r="R3" s="13">
        <f t="shared" si="2"/>
        <v>144</v>
      </c>
      <c r="S3" s="13">
        <f t="shared" si="2"/>
        <v>136</v>
      </c>
      <c r="T3" s="13">
        <f t="shared" si="2"/>
        <v>128</v>
      </c>
      <c r="U3" s="13">
        <f t="shared" si="2"/>
        <v>120</v>
      </c>
      <c r="V3" s="13">
        <f t="shared" si="2"/>
        <v>112</v>
      </c>
      <c r="W3" s="13">
        <f t="shared" si="2"/>
        <v>104</v>
      </c>
      <c r="X3" s="13">
        <f t="shared" si="2"/>
        <v>96</v>
      </c>
      <c r="Y3" s="13">
        <f t="shared" si="2"/>
        <v>88</v>
      </c>
      <c r="Z3" s="13">
        <f t="shared" si="2"/>
        <v>80</v>
      </c>
      <c r="AA3" s="13">
        <f t="shared" si="2"/>
        <v>72</v>
      </c>
      <c r="AB3" s="13">
        <f t="shared" si="2"/>
        <v>64</v>
      </c>
      <c r="AC3" s="13">
        <f t="shared" si="2"/>
        <v>56</v>
      </c>
      <c r="AD3" s="13">
        <f t="shared" si="2"/>
        <v>48</v>
      </c>
      <c r="AE3" s="13">
        <f t="shared" si="2"/>
        <v>40</v>
      </c>
      <c r="AF3" s="13">
        <f t="shared" si="2"/>
        <v>32</v>
      </c>
      <c r="AG3" s="13">
        <f t="shared" si="2"/>
        <v>24</v>
      </c>
      <c r="AH3" s="13">
        <f t="shared" si="2"/>
        <v>16</v>
      </c>
      <c r="AI3" s="13">
        <f t="shared" si="2"/>
        <v>8</v>
      </c>
      <c r="AJ3" s="14">
        <v>0.01</v>
      </c>
      <c r="AK3">
        <f t="shared" ref="AK3:AT3" si="3">AJ3</f>
        <v>0.01</v>
      </c>
      <c r="AL3">
        <f t="shared" si="3"/>
        <v>0.01</v>
      </c>
      <c r="AM3">
        <f t="shared" si="3"/>
        <v>0.01</v>
      </c>
      <c r="AN3">
        <f t="shared" si="3"/>
        <v>0.01</v>
      </c>
      <c r="AO3">
        <f t="shared" si="3"/>
        <v>0.01</v>
      </c>
      <c r="AP3">
        <f t="shared" si="3"/>
        <v>0.01</v>
      </c>
      <c r="AQ3">
        <f t="shared" si="3"/>
        <v>0.01</v>
      </c>
      <c r="AR3">
        <f t="shared" si="3"/>
        <v>0.01</v>
      </c>
      <c r="AS3">
        <f t="shared" si="3"/>
        <v>0.01</v>
      </c>
      <c r="AT3">
        <f t="shared" si="3"/>
        <v>0.01</v>
      </c>
    </row>
  </sheetData>
  <conditionalFormatting sqref="A2:B3">
    <cfRule type="containsText" dxfId="0" priority="2" operator="containsText" text="ignore">
      <formula>NOT(ISERROR(SEARCH("ignore",A2)))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4"/>
  <sheetViews>
    <sheetView tabSelected="1" zoomScaleNormal="100" workbookViewId="0">
      <selection activeCell="X21" sqref="X21"/>
    </sheetView>
  </sheetViews>
  <sheetFormatPr defaultColWidth="8.6328125" defaultRowHeight="14.5" x14ac:dyDescent="0.35"/>
  <cols>
    <col min="1" max="1" width="19.90625" customWidth="1"/>
    <col min="2" max="2" width="8.453125" style="1" customWidth="1"/>
    <col min="3" max="39" width="5" customWidth="1"/>
  </cols>
  <sheetData>
    <row r="1" spans="1:41" x14ac:dyDescent="0.35">
      <c r="A1" s="15" t="s">
        <v>0</v>
      </c>
      <c r="B1" s="16" t="s">
        <v>1</v>
      </c>
      <c r="C1" s="16">
        <v>2024</v>
      </c>
      <c r="D1" s="16">
        <v>2025</v>
      </c>
      <c r="E1" s="16">
        <f t="shared" ref="E1:AM1" si="0">D1+1</f>
        <v>2026</v>
      </c>
      <c r="F1" s="16">
        <f t="shared" si="0"/>
        <v>2027</v>
      </c>
      <c r="G1" s="16">
        <f t="shared" si="0"/>
        <v>2028</v>
      </c>
      <c r="H1" s="16">
        <f t="shared" si="0"/>
        <v>2029</v>
      </c>
      <c r="I1" s="16">
        <f t="shared" si="0"/>
        <v>2030</v>
      </c>
      <c r="J1" s="16">
        <f t="shared" si="0"/>
        <v>2031</v>
      </c>
      <c r="K1" s="16">
        <f t="shared" si="0"/>
        <v>2032</v>
      </c>
      <c r="L1" s="16">
        <f t="shared" si="0"/>
        <v>2033</v>
      </c>
      <c r="M1" s="16">
        <f t="shared" si="0"/>
        <v>2034</v>
      </c>
      <c r="N1" s="16">
        <f t="shared" si="0"/>
        <v>2035</v>
      </c>
      <c r="O1" s="16">
        <f t="shared" si="0"/>
        <v>2036</v>
      </c>
      <c r="P1" s="16">
        <f t="shared" si="0"/>
        <v>2037</v>
      </c>
      <c r="Q1" s="16">
        <f t="shared" si="0"/>
        <v>2038</v>
      </c>
      <c r="R1" s="16">
        <f t="shared" si="0"/>
        <v>2039</v>
      </c>
      <c r="S1" s="16">
        <f t="shared" si="0"/>
        <v>2040</v>
      </c>
      <c r="T1" s="16">
        <f t="shared" si="0"/>
        <v>2041</v>
      </c>
      <c r="U1" s="16">
        <f t="shared" si="0"/>
        <v>2042</v>
      </c>
      <c r="V1" s="16">
        <f t="shared" si="0"/>
        <v>2043</v>
      </c>
      <c r="W1" s="16">
        <f t="shared" si="0"/>
        <v>2044</v>
      </c>
      <c r="X1" s="16">
        <f t="shared" si="0"/>
        <v>2045</v>
      </c>
      <c r="Y1" s="16">
        <f t="shared" si="0"/>
        <v>2046</v>
      </c>
      <c r="Z1" s="16">
        <f t="shared" si="0"/>
        <v>2047</v>
      </c>
      <c r="AA1" s="16">
        <f t="shared" si="0"/>
        <v>2048</v>
      </c>
      <c r="AB1" s="16">
        <f t="shared" si="0"/>
        <v>2049</v>
      </c>
      <c r="AC1" s="16">
        <f t="shared" si="0"/>
        <v>2050</v>
      </c>
      <c r="AD1" s="17">
        <f t="shared" si="0"/>
        <v>2051</v>
      </c>
      <c r="AE1" s="17">
        <f t="shared" si="0"/>
        <v>2052</v>
      </c>
      <c r="AF1" s="17">
        <f t="shared" si="0"/>
        <v>2053</v>
      </c>
      <c r="AG1" s="17">
        <f t="shared" si="0"/>
        <v>2054</v>
      </c>
      <c r="AH1" s="17">
        <f t="shared" si="0"/>
        <v>2055</v>
      </c>
      <c r="AI1" s="17">
        <f t="shared" si="0"/>
        <v>2056</v>
      </c>
      <c r="AJ1" s="17">
        <f t="shared" si="0"/>
        <v>2057</v>
      </c>
      <c r="AK1" s="17">
        <f t="shared" si="0"/>
        <v>2058</v>
      </c>
      <c r="AL1" s="17">
        <f t="shared" si="0"/>
        <v>2059</v>
      </c>
      <c r="AM1" s="17">
        <f t="shared" si="0"/>
        <v>2060</v>
      </c>
    </row>
    <row r="2" spans="1:41" x14ac:dyDescent="0.35">
      <c r="A2" s="6" t="s">
        <v>5</v>
      </c>
      <c r="B2" s="7" t="s">
        <v>6</v>
      </c>
      <c r="C2" s="18">
        <v>0</v>
      </c>
      <c r="D2" s="18">
        <f t="shared" ref="D2:AM2" si="1">C2</f>
        <v>0</v>
      </c>
      <c r="E2" s="18">
        <f t="shared" si="1"/>
        <v>0</v>
      </c>
      <c r="F2" s="18">
        <f t="shared" si="1"/>
        <v>0</v>
      </c>
      <c r="G2" s="18">
        <f t="shared" si="1"/>
        <v>0</v>
      </c>
      <c r="H2" s="18">
        <f t="shared" si="1"/>
        <v>0</v>
      </c>
      <c r="I2" s="18">
        <f t="shared" si="1"/>
        <v>0</v>
      </c>
      <c r="J2" s="18">
        <f t="shared" si="1"/>
        <v>0</v>
      </c>
      <c r="K2" s="18">
        <f t="shared" si="1"/>
        <v>0</v>
      </c>
      <c r="L2" s="18">
        <f t="shared" si="1"/>
        <v>0</v>
      </c>
      <c r="M2" s="18">
        <f t="shared" si="1"/>
        <v>0</v>
      </c>
      <c r="N2" s="18">
        <f t="shared" si="1"/>
        <v>0</v>
      </c>
      <c r="O2" s="18">
        <f t="shared" si="1"/>
        <v>0</v>
      </c>
      <c r="P2" s="18">
        <f t="shared" si="1"/>
        <v>0</v>
      </c>
      <c r="Q2" s="18">
        <f t="shared" si="1"/>
        <v>0</v>
      </c>
      <c r="R2" s="18">
        <f t="shared" si="1"/>
        <v>0</v>
      </c>
      <c r="S2" s="18">
        <f t="shared" si="1"/>
        <v>0</v>
      </c>
      <c r="T2" s="18">
        <f t="shared" si="1"/>
        <v>0</v>
      </c>
      <c r="U2" s="18">
        <f t="shared" si="1"/>
        <v>0</v>
      </c>
      <c r="V2" s="18">
        <f t="shared" si="1"/>
        <v>0</v>
      </c>
      <c r="W2" s="18">
        <f t="shared" si="1"/>
        <v>0</v>
      </c>
      <c r="X2" s="18">
        <f t="shared" si="1"/>
        <v>0</v>
      </c>
      <c r="Y2" s="18">
        <f t="shared" si="1"/>
        <v>0</v>
      </c>
      <c r="Z2" s="18">
        <f t="shared" si="1"/>
        <v>0</v>
      </c>
      <c r="AA2" s="18">
        <f t="shared" si="1"/>
        <v>0</v>
      </c>
      <c r="AB2" s="18">
        <f t="shared" si="1"/>
        <v>0</v>
      </c>
      <c r="AC2" s="18">
        <f t="shared" si="1"/>
        <v>0</v>
      </c>
      <c r="AD2" s="19">
        <f t="shared" si="1"/>
        <v>0</v>
      </c>
      <c r="AE2" s="19">
        <f t="shared" si="1"/>
        <v>0</v>
      </c>
      <c r="AF2" s="19">
        <f t="shared" si="1"/>
        <v>0</v>
      </c>
      <c r="AG2" s="19">
        <f t="shared" si="1"/>
        <v>0</v>
      </c>
      <c r="AH2" s="19">
        <f t="shared" si="1"/>
        <v>0</v>
      </c>
      <c r="AI2" s="19">
        <f t="shared" si="1"/>
        <v>0</v>
      </c>
      <c r="AJ2" s="19">
        <f t="shared" si="1"/>
        <v>0</v>
      </c>
      <c r="AK2" s="19">
        <f t="shared" si="1"/>
        <v>0</v>
      </c>
      <c r="AL2" s="19">
        <f t="shared" si="1"/>
        <v>0</v>
      </c>
      <c r="AM2" s="19">
        <f t="shared" si="1"/>
        <v>0</v>
      </c>
      <c r="AO2" s="19"/>
    </row>
    <row r="3" spans="1:41" x14ac:dyDescent="0.35">
      <c r="A3" s="20" t="s">
        <v>7</v>
      </c>
      <c r="B3" s="12" t="s">
        <v>6</v>
      </c>
      <c r="C3" s="11">
        <v>0</v>
      </c>
      <c r="D3" s="13">
        <v>0</v>
      </c>
      <c r="E3" s="13">
        <v>308</v>
      </c>
      <c r="F3" s="13">
        <v>347</v>
      </c>
      <c r="G3" s="13">
        <v>385</v>
      </c>
      <c r="H3" s="13">
        <v>424</v>
      </c>
      <c r="I3" s="13">
        <v>462</v>
      </c>
      <c r="J3" s="13">
        <f t="shared" ref="J3:R3" si="2">($S$3-$I$3)/10+I3</f>
        <v>507.95</v>
      </c>
      <c r="K3" s="13">
        <f t="shared" si="2"/>
        <v>553.9</v>
      </c>
      <c r="L3" s="13">
        <f t="shared" si="2"/>
        <v>599.85</v>
      </c>
      <c r="M3" s="13">
        <f t="shared" si="2"/>
        <v>645.80000000000007</v>
      </c>
      <c r="N3" s="13">
        <f t="shared" si="2"/>
        <v>691.75000000000011</v>
      </c>
      <c r="O3" s="13">
        <f t="shared" si="2"/>
        <v>737.70000000000016</v>
      </c>
      <c r="P3" s="13">
        <f t="shared" si="2"/>
        <v>783.6500000000002</v>
      </c>
      <c r="Q3" s="13">
        <f t="shared" si="2"/>
        <v>829.60000000000025</v>
      </c>
      <c r="R3" s="13">
        <f t="shared" si="2"/>
        <v>875.5500000000003</v>
      </c>
      <c r="S3" s="13">
        <f>50*18.43</f>
        <v>921.5</v>
      </c>
      <c r="T3" s="13">
        <f t="shared" ref="T3:AB3" si="3">($AC$3-$S$3)/10+S3</f>
        <v>1013.65</v>
      </c>
      <c r="U3" s="13">
        <f t="shared" si="3"/>
        <v>1105.8</v>
      </c>
      <c r="V3" s="13">
        <f t="shared" si="3"/>
        <v>1197.95</v>
      </c>
      <c r="W3" s="13">
        <f t="shared" si="3"/>
        <v>1290.1000000000001</v>
      </c>
      <c r="X3" s="13">
        <f t="shared" si="3"/>
        <v>1382.2500000000002</v>
      </c>
      <c r="Y3" s="13">
        <f t="shared" si="3"/>
        <v>1474.4000000000003</v>
      </c>
      <c r="Z3" s="13">
        <f t="shared" si="3"/>
        <v>1566.5500000000004</v>
      </c>
      <c r="AA3" s="13">
        <f t="shared" si="3"/>
        <v>1658.7000000000005</v>
      </c>
      <c r="AB3" s="13">
        <f t="shared" si="3"/>
        <v>1750.8500000000006</v>
      </c>
      <c r="AC3" s="13">
        <f>100*18.43</f>
        <v>1843</v>
      </c>
      <c r="AD3" s="13">
        <f t="shared" ref="AD3:AM3" si="4">+($AC$3-$S$3)/10+AC3</f>
        <v>1935.15</v>
      </c>
      <c r="AE3" s="13">
        <f t="shared" si="4"/>
        <v>2027.3000000000002</v>
      </c>
      <c r="AF3" s="13">
        <f t="shared" si="4"/>
        <v>2119.4500000000003</v>
      </c>
      <c r="AG3" s="13">
        <f t="shared" si="4"/>
        <v>2211.6000000000004</v>
      </c>
      <c r="AH3" s="13">
        <f t="shared" si="4"/>
        <v>2303.7500000000005</v>
      </c>
      <c r="AI3" s="13">
        <f t="shared" si="4"/>
        <v>2395.9000000000005</v>
      </c>
      <c r="AJ3" s="13">
        <f t="shared" si="4"/>
        <v>2488.0500000000006</v>
      </c>
      <c r="AK3" s="13">
        <f t="shared" si="4"/>
        <v>2580.2000000000007</v>
      </c>
      <c r="AL3" s="13">
        <f t="shared" si="4"/>
        <v>2672.3500000000008</v>
      </c>
      <c r="AM3" s="13">
        <f t="shared" si="4"/>
        <v>2764.5000000000009</v>
      </c>
      <c r="AO3" s="19"/>
    </row>
    <row r="4" spans="1:41" x14ac:dyDescent="0.35">
      <c r="A4" s="21" t="s">
        <v>8</v>
      </c>
      <c r="B4" s="1" t="s">
        <v>6</v>
      </c>
      <c r="C4">
        <v>33.6</v>
      </c>
      <c r="D4">
        <v>33.6</v>
      </c>
      <c r="E4">
        <v>33.6</v>
      </c>
      <c r="F4">
        <v>33.6</v>
      </c>
      <c r="G4">
        <v>33.6</v>
      </c>
      <c r="H4">
        <v>33.6</v>
      </c>
      <c r="I4">
        <v>33.6</v>
      </c>
      <c r="J4">
        <v>164.55</v>
      </c>
      <c r="K4">
        <v>176.10000000000002</v>
      </c>
      <c r="L4">
        <v>187.64999999999998</v>
      </c>
      <c r="M4">
        <v>199.2</v>
      </c>
      <c r="N4">
        <v>210.75</v>
      </c>
      <c r="O4">
        <v>267.58000000000004</v>
      </c>
      <c r="P4">
        <v>330.07</v>
      </c>
      <c r="Q4">
        <v>398.21999999999997</v>
      </c>
      <c r="R4">
        <v>472.03</v>
      </c>
      <c r="S4">
        <v>551.5</v>
      </c>
      <c r="T4">
        <v>636.63</v>
      </c>
      <c r="U4">
        <v>727.42000000000007</v>
      </c>
      <c r="V4">
        <v>823.87</v>
      </c>
      <c r="W4">
        <v>925.98000000000013</v>
      </c>
      <c r="X4">
        <v>1033.75</v>
      </c>
      <c r="Y4">
        <v>1147.18</v>
      </c>
      <c r="Z4">
        <v>1220.7600000000002</v>
      </c>
      <c r="AA4">
        <v>1294.3400000000001</v>
      </c>
      <c r="AB4">
        <v>1367.92</v>
      </c>
      <c r="AC4">
        <v>1441.5</v>
      </c>
      <c r="AD4">
        <v>1456.3164940394763</v>
      </c>
      <c r="AE4">
        <v>1470.6543875135394</v>
      </c>
      <c r="AF4">
        <v>1485.1307592436256</v>
      </c>
      <c r="AG4">
        <v>1499.7532928196772</v>
      </c>
      <c r="AH4">
        <v>1514.5235281072942</v>
      </c>
      <c r="AI4">
        <v>1529.4429576842022</v>
      </c>
      <c r="AJ4">
        <v>1544.513088569902</v>
      </c>
      <c r="AK4">
        <v>1559.7354429999009</v>
      </c>
      <c r="AL4">
        <v>1575.1115585857588</v>
      </c>
      <c r="AM4">
        <v>1590.6429884704635</v>
      </c>
    </row>
    <row r="5" spans="1:41" x14ac:dyDescent="0.35">
      <c r="A5" s="22" t="s">
        <v>9</v>
      </c>
      <c r="B5" s="1" t="s">
        <v>6</v>
      </c>
      <c r="C5">
        <v>33.6</v>
      </c>
      <c r="D5">
        <v>33.6</v>
      </c>
      <c r="E5">
        <v>33.6</v>
      </c>
      <c r="F5">
        <v>33.6</v>
      </c>
      <c r="G5">
        <v>33.6</v>
      </c>
      <c r="H5">
        <v>33.6</v>
      </c>
      <c r="I5">
        <v>33.6</v>
      </c>
      <c r="J5">
        <v>287.1225</v>
      </c>
      <c r="K5">
        <v>347.48999999999995</v>
      </c>
      <c r="L5">
        <v>412.10250000000002</v>
      </c>
      <c r="M5">
        <v>480.96</v>
      </c>
      <c r="N5">
        <v>554.0625</v>
      </c>
      <c r="O5">
        <v>631.41000000000008</v>
      </c>
      <c r="P5">
        <v>713.00250000000005</v>
      </c>
      <c r="Q5">
        <v>798.84</v>
      </c>
      <c r="R5">
        <v>888.9224999999999</v>
      </c>
      <c r="S5">
        <v>983.25</v>
      </c>
      <c r="T5">
        <v>1081.8225</v>
      </c>
      <c r="U5">
        <v>1184.6400000000001</v>
      </c>
      <c r="V5">
        <v>1291.7025000000001</v>
      </c>
      <c r="W5">
        <v>1403.0100000000002</v>
      </c>
      <c r="X5">
        <v>1518.5625</v>
      </c>
      <c r="Y5">
        <v>1638.3600000000001</v>
      </c>
      <c r="Z5">
        <v>1714.7700000000002</v>
      </c>
      <c r="AA5">
        <v>1791.18</v>
      </c>
      <c r="AB5">
        <v>1867.5900000000004</v>
      </c>
      <c r="AC5">
        <v>1944</v>
      </c>
      <c r="AD5">
        <v>1964.2353621512216</v>
      </c>
      <c r="AE5">
        <v>1984.0821757207966</v>
      </c>
      <c r="AF5">
        <v>2004.1234709538771</v>
      </c>
      <c r="AG5">
        <v>2024.367142995178</v>
      </c>
      <c r="AH5">
        <v>2044.8152959609629</v>
      </c>
      <c r="AI5">
        <v>2065.4699959202271</v>
      </c>
      <c r="AJ5">
        <v>2086.3333292123516</v>
      </c>
      <c r="AK5">
        <v>2107.4074032447993</v>
      </c>
      <c r="AL5">
        <v>2128.6943467119186</v>
      </c>
      <c r="AM5">
        <v>2150.1963098100191</v>
      </c>
    </row>
    <row r="6" spans="1:41" x14ac:dyDescent="0.35">
      <c r="A6" s="23" t="s">
        <v>10</v>
      </c>
      <c r="B6" s="1" t="s">
        <v>6</v>
      </c>
      <c r="C6">
        <v>33.6</v>
      </c>
      <c r="D6">
        <v>33.6</v>
      </c>
      <c r="E6">
        <v>33.6</v>
      </c>
      <c r="F6">
        <v>33.6</v>
      </c>
      <c r="G6">
        <v>33.6</v>
      </c>
      <c r="H6">
        <v>33.6</v>
      </c>
      <c r="I6">
        <v>33.6</v>
      </c>
      <c r="J6">
        <v>546.9</v>
      </c>
      <c r="K6">
        <v>631.79999999999995</v>
      </c>
      <c r="L6">
        <v>716.7</v>
      </c>
      <c r="M6">
        <v>801.6</v>
      </c>
      <c r="N6">
        <v>886.5</v>
      </c>
      <c r="O6">
        <v>971.40000000000009</v>
      </c>
      <c r="P6">
        <v>1056.3000000000002</v>
      </c>
      <c r="Q6">
        <v>1141.2</v>
      </c>
      <c r="R6">
        <v>1226.0999999999999</v>
      </c>
      <c r="S6">
        <v>1311</v>
      </c>
      <c r="T6">
        <v>1395.9</v>
      </c>
      <c r="U6">
        <v>1480.8000000000002</v>
      </c>
      <c r="V6">
        <v>1565.7</v>
      </c>
      <c r="W6">
        <v>1650.6000000000001</v>
      </c>
      <c r="X6">
        <v>1735.5</v>
      </c>
      <c r="Y6">
        <v>1820.4</v>
      </c>
      <c r="Z6">
        <v>1905.3000000000002</v>
      </c>
      <c r="AA6">
        <v>1990.2</v>
      </c>
      <c r="AB6">
        <v>2075.1000000000004</v>
      </c>
      <c r="AC6">
        <v>2160</v>
      </c>
      <c r="AD6">
        <v>2182.4837357235797</v>
      </c>
      <c r="AE6">
        <v>2204.5357508008851</v>
      </c>
      <c r="AF6">
        <v>2226.8038566154191</v>
      </c>
      <c r="AG6">
        <v>2249.2968255501978</v>
      </c>
      <c r="AH6">
        <v>2272.016995512181</v>
      </c>
      <c r="AI6">
        <v>2294.9666621335859</v>
      </c>
      <c r="AJ6">
        <v>2318.1481435692795</v>
      </c>
      <c r="AK6">
        <v>2341.5637813831104</v>
      </c>
      <c r="AL6">
        <v>2365.2159407910208</v>
      </c>
      <c r="AM6">
        <v>2389.1070109000211</v>
      </c>
    </row>
    <row r="7" spans="1:41" x14ac:dyDescent="0.35">
      <c r="A7" s="65" t="s">
        <v>57</v>
      </c>
      <c r="B7" s="1" t="s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97.561153548241066</v>
      </c>
      <c r="K7">
        <v>106.43034932535394</v>
      </c>
      <c r="L7">
        <v>115.29954510246677</v>
      </c>
      <c r="M7">
        <v>124.16874087957959</v>
      </c>
      <c r="N7">
        <v>133.03793665669244</v>
      </c>
      <c r="O7">
        <v>190.04665693821829</v>
      </c>
      <c r="P7">
        <v>253.07281778279571</v>
      </c>
      <c r="Q7">
        <v>322.11641919042472</v>
      </c>
      <c r="R7">
        <v>397.17746116110544</v>
      </c>
      <c r="S7">
        <v>478.2559436948377</v>
      </c>
      <c r="T7">
        <v>565.35186679162166</v>
      </c>
      <c r="U7">
        <v>658.46523045145727</v>
      </c>
      <c r="V7">
        <v>757.59603467434442</v>
      </c>
      <c r="W7">
        <v>862.74427946028322</v>
      </c>
      <c r="X7">
        <v>973.90996480927356</v>
      </c>
      <c r="Y7">
        <v>1091.0930907213155</v>
      </c>
      <c r="Z7">
        <v>1169.3198180409868</v>
      </c>
      <c r="AA7">
        <v>1247.546545360658</v>
      </c>
      <c r="AB7">
        <v>1325.773272680329</v>
      </c>
      <c r="AC7">
        <v>1404</v>
      </c>
      <c r="AD7">
        <v>1418.868424644093</v>
      </c>
      <c r="AE7">
        <v>1433.2073677099906</v>
      </c>
      <c r="AF7">
        <v>1447.6842798970629</v>
      </c>
      <c r="AG7">
        <v>1462.3073541393462</v>
      </c>
      <c r="AH7">
        <v>1477.0781355014406</v>
      </c>
      <c r="AI7">
        <v>1491.9981166681939</v>
      </c>
      <c r="AJ7">
        <v>1507.0688047153481</v>
      </c>
      <c r="AK7" s="61">
        <v>1522.291721934695</v>
      </c>
      <c r="AL7">
        <v>1537.6684059946415</v>
      </c>
      <c r="AM7">
        <v>1553.2004100955976</v>
      </c>
    </row>
    <row r="8" spans="1:41" x14ac:dyDescent="0.35">
      <c r="A8" s="64" t="s">
        <v>58</v>
      </c>
      <c r="B8" s="1" t="s">
        <v>6</v>
      </c>
      <c r="C8">
        <v>0</v>
      </c>
      <c r="D8">
        <v>0</v>
      </c>
      <c r="E8">
        <v>30.768526361575976</v>
      </c>
      <c r="F8">
        <v>29.443565896244952</v>
      </c>
      <c r="G8">
        <v>28.175661144732022</v>
      </c>
      <c r="H8">
        <v>26.962355162422988</v>
      </c>
      <c r="I8">
        <v>25.801296806146407</v>
      </c>
      <c r="J8">
        <v>278.14339970642965</v>
      </c>
      <c r="K8">
        <v>347.93918118444014</v>
      </c>
      <c r="L8">
        <v>422.24804308473938</v>
      </c>
      <c r="M8">
        <v>501.06998540732741</v>
      </c>
      <c r="N8">
        <v>584.405008152204</v>
      </c>
      <c r="O8">
        <v>672.25311131936928</v>
      </c>
      <c r="P8">
        <v>764.61429490882347</v>
      </c>
      <c r="Q8">
        <v>861.48855892056633</v>
      </c>
      <c r="R8">
        <v>962.87590335459765</v>
      </c>
      <c r="S8">
        <v>1068.7763282109181</v>
      </c>
      <c r="T8">
        <v>1179.189833489527</v>
      </c>
      <c r="U8">
        <v>1294.1164191904247</v>
      </c>
      <c r="V8">
        <v>1413.556085313611</v>
      </c>
      <c r="W8">
        <v>1537.5088318590863</v>
      </c>
      <c r="X8">
        <v>1665.9746588268501</v>
      </c>
      <c r="Y8">
        <v>1798.9535662169026</v>
      </c>
      <c r="Z8">
        <v>1889.2151746626769</v>
      </c>
      <c r="AA8">
        <v>1979.4767831084512</v>
      </c>
      <c r="AB8">
        <v>2069.7383915542259</v>
      </c>
      <c r="AC8">
        <v>2160</v>
      </c>
      <c r="AD8">
        <v>2182.5419793102278</v>
      </c>
      <c r="AE8">
        <v>2204.5951714002808</v>
      </c>
      <c r="AF8">
        <v>2226.8638833693285</v>
      </c>
      <c r="AG8">
        <v>2249.3574586950199</v>
      </c>
      <c r="AH8">
        <v>2272.0782411136179</v>
      </c>
      <c r="AI8">
        <v>2295.0285263774681</v>
      </c>
      <c r="AJ8">
        <v>2318.210632704514</v>
      </c>
      <c r="AK8">
        <v>2341.6269017217314</v>
      </c>
      <c r="AL8">
        <v>2365.2796987088195</v>
      </c>
      <c r="AM8">
        <v>2389.1714128371914</v>
      </c>
    </row>
    <row r="9" spans="1:41" x14ac:dyDescent="0.35">
      <c r="A9" s="63" t="s">
        <v>59</v>
      </c>
      <c r="B9" s="1" t="s">
        <v>6</v>
      </c>
      <c r="C9">
        <v>0</v>
      </c>
      <c r="D9">
        <v>0</v>
      </c>
      <c r="E9">
        <v>30.768526361575976</v>
      </c>
      <c r="F9">
        <v>29.443565896244952</v>
      </c>
      <c r="G9">
        <v>28.175661144732022</v>
      </c>
      <c r="H9">
        <v>26.962355162422988</v>
      </c>
      <c r="I9">
        <v>25.801296806146407</v>
      </c>
      <c r="J9">
        <v>493.66783108451307</v>
      </c>
      <c r="K9">
        <v>632.56783108451305</v>
      </c>
      <c r="L9">
        <v>771.46783108451314</v>
      </c>
      <c r="M9">
        <v>910.36783108451311</v>
      </c>
      <c r="N9">
        <v>1049.2678310845131</v>
      </c>
      <c r="O9">
        <v>1188.1678310845132</v>
      </c>
      <c r="P9">
        <v>1327.0678310845133</v>
      </c>
      <c r="Q9">
        <v>1465.9678310845131</v>
      </c>
      <c r="R9">
        <v>1604.8678310845132</v>
      </c>
      <c r="S9">
        <v>1743.7678310845131</v>
      </c>
      <c r="T9">
        <v>1882.6678310845132</v>
      </c>
      <c r="U9">
        <v>2021.5678310845133</v>
      </c>
      <c r="V9">
        <v>2160.4678310845129</v>
      </c>
      <c r="W9">
        <v>2299.3678310845135</v>
      </c>
      <c r="X9">
        <v>2438.2678310845131</v>
      </c>
      <c r="Y9">
        <v>2577.1678310845132</v>
      </c>
      <c r="Z9">
        <v>2716.0678310845133</v>
      </c>
      <c r="AA9">
        <v>2854.9678310845134</v>
      </c>
      <c r="AB9">
        <v>2993.867831084513</v>
      </c>
      <c r="AC9">
        <v>3132.7678310845131</v>
      </c>
      <c r="AD9">
        <v>3165.5489518193012</v>
      </c>
      <c r="AE9">
        <v>3197.5356827443798</v>
      </c>
      <c r="AF9">
        <v>3229.834139024917</v>
      </c>
      <c r="AG9">
        <v>3262.4587274600253</v>
      </c>
      <c r="AH9">
        <v>3295.4128560320682</v>
      </c>
      <c r="AI9">
        <v>3328.6998545779661</v>
      </c>
      <c r="AJ9">
        <v>3362.3230854322901</v>
      </c>
      <c r="AK9">
        <v>3396.2859448811009</v>
      </c>
      <c r="AL9">
        <v>3430.5918635162634</v>
      </c>
      <c r="AM9">
        <v>3465.2443065820844</v>
      </c>
    </row>
    <row r="10" spans="1:41" x14ac:dyDescent="0.35">
      <c r="A10" s="65" t="s">
        <v>60</v>
      </c>
      <c r="B10" s="1" t="s">
        <v>6</v>
      </c>
      <c r="C10">
        <v>0</v>
      </c>
      <c r="D10">
        <v>33.6</v>
      </c>
      <c r="E10">
        <v>33.6</v>
      </c>
      <c r="F10">
        <v>33.6</v>
      </c>
      <c r="G10">
        <v>33.6</v>
      </c>
      <c r="H10">
        <v>33.6</v>
      </c>
      <c r="I10">
        <v>33.6</v>
      </c>
      <c r="J10">
        <v>33.6</v>
      </c>
      <c r="K10">
        <v>43.2</v>
      </c>
      <c r="L10">
        <v>64.8</v>
      </c>
      <c r="M10">
        <v>86.4</v>
      </c>
      <c r="N10">
        <v>108</v>
      </c>
      <c r="O10">
        <v>147.6</v>
      </c>
      <c r="P10">
        <v>187.2</v>
      </c>
      <c r="Q10">
        <v>226.8</v>
      </c>
      <c r="R10">
        <v>266.39999999999998</v>
      </c>
      <c r="S10">
        <v>306</v>
      </c>
      <c r="T10">
        <v>360</v>
      </c>
      <c r="U10">
        <v>414</v>
      </c>
      <c r="V10">
        <v>468</v>
      </c>
      <c r="W10">
        <v>522</v>
      </c>
      <c r="X10">
        <v>576</v>
      </c>
      <c r="Y10">
        <v>630</v>
      </c>
      <c r="Z10">
        <v>684</v>
      </c>
      <c r="AA10">
        <v>738</v>
      </c>
      <c r="AB10">
        <v>792</v>
      </c>
      <c r="AC10">
        <v>846</v>
      </c>
      <c r="AD10">
        <v>900</v>
      </c>
      <c r="AE10">
        <v>954</v>
      </c>
      <c r="AF10">
        <v>1008</v>
      </c>
      <c r="AG10">
        <v>1062</v>
      </c>
      <c r="AH10">
        <v>1116</v>
      </c>
      <c r="AI10">
        <v>1170</v>
      </c>
      <c r="AJ10">
        <v>1224</v>
      </c>
      <c r="AK10" s="62">
        <v>1278</v>
      </c>
      <c r="AL10">
        <v>1332</v>
      </c>
      <c r="AM10">
        <v>1386</v>
      </c>
    </row>
    <row r="11" spans="1:41" x14ac:dyDescent="0.35">
      <c r="A11" s="66" t="s">
        <v>63</v>
      </c>
      <c r="B11" s="1" t="s">
        <v>6</v>
      </c>
      <c r="C11">
        <f t="shared" ref="C11:AM11" si="5">0.5*C10+0.5*C12</f>
        <v>0</v>
      </c>
      <c r="D11">
        <f t="shared" si="5"/>
        <v>33.6</v>
      </c>
      <c r="E11">
        <f t="shared" si="5"/>
        <v>33.6</v>
      </c>
      <c r="F11">
        <f t="shared" si="5"/>
        <v>33.6</v>
      </c>
      <c r="G11">
        <f t="shared" si="5"/>
        <v>33.6</v>
      </c>
      <c r="H11">
        <f t="shared" si="5"/>
        <v>33.6</v>
      </c>
      <c r="I11">
        <f t="shared" si="5"/>
        <v>33.6</v>
      </c>
      <c r="J11">
        <f t="shared" si="5"/>
        <v>90.42</v>
      </c>
      <c r="K11">
        <f t="shared" si="5"/>
        <v>154.44</v>
      </c>
      <c r="L11">
        <f t="shared" si="5"/>
        <v>227.46</v>
      </c>
      <c r="M11">
        <f t="shared" si="5"/>
        <v>300.47999999999996</v>
      </c>
      <c r="N11">
        <f t="shared" si="5"/>
        <v>373.5</v>
      </c>
      <c r="O11">
        <f t="shared" si="5"/>
        <v>443.7</v>
      </c>
      <c r="P11">
        <f t="shared" si="5"/>
        <v>513.9</v>
      </c>
      <c r="Q11">
        <f t="shared" si="5"/>
        <v>584.1</v>
      </c>
      <c r="R11">
        <f t="shared" si="5"/>
        <v>654.29999999999995</v>
      </c>
      <c r="S11">
        <f t="shared" si="5"/>
        <v>724.5</v>
      </c>
      <c r="T11">
        <f t="shared" si="5"/>
        <v>787.5</v>
      </c>
      <c r="U11">
        <f t="shared" si="5"/>
        <v>850.5</v>
      </c>
      <c r="V11">
        <f t="shared" si="5"/>
        <v>913.5</v>
      </c>
      <c r="W11">
        <f t="shared" si="5"/>
        <v>976.5</v>
      </c>
      <c r="X11">
        <f t="shared" si="5"/>
        <v>1039.5</v>
      </c>
      <c r="Y11">
        <f t="shared" si="5"/>
        <v>1102.5</v>
      </c>
      <c r="Z11">
        <f t="shared" si="5"/>
        <v>1165.5</v>
      </c>
      <c r="AA11">
        <f t="shared" si="5"/>
        <v>1228.5</v>
      </c>
      <c r="AB11">
        <f t="shared" si="5"/>
        <v>1291.5</v>
      </c>
      <c r="AC11">
        <f t="shared" si="5"/>
        <v>1354.5</v>
      </c>
      <c r="AD11">
        <f t="shared" si="5"/>
        <v>1417.5</v>
      </c>
      <c r="AE11">
        <f t="shared" si="5"/>
        <v>1480.5</v>
      </c>
      <c r="AF11">
        <f t="shared" si="5"/>
        <v>1543.5</v>
      </c>
      <c r="AG11">
        <f t="shared" si="5"/>
        <v>1606.5</v>
      </c>
      <c r="AH11">
        <f t="shared" si="5"/>
        <v>1669.5</v>
      </c>
      <c r="AI11">
        <f t="shared" si="5"/>
        <v>1732.5</v>
      </c>
      <c r="AJ11">
        <f t="shared" si="5"/>
        <v>1795.5</v>
      </c>
      <c r="AK11">
        <f t="shared" si="5"/>
        <v>1858.5</v>
      </c>
      <c r="AL11">
        <f t="shared" si="5"/>
        <v>1921.5</v>
      </c>
      <c r="AM11">
        <f t="shared" si="5"/>
        <v>1984.5</v>
      </c>
    </row>
    <row r="12" spans="1:41" x14ac:dyDescent="0.35">
      <c r="A12" s="64" t="s">
        <v>61</v>
      </c>
      <c r="B12" s="1" t="s">
        <v>6</v>
      </c>
      <c r="C12">
        <v>0</v>
      </c>
      <c r="D12">
        <v>33.6</v>
      </c>
      <c r="E12">
        <v>33.6</v>
      </c>
      <c r="F12">
        <v>33.6</v>
      </c>
      <c r="G12">
        <v>33.6</v>
      </c>
      <c r="H12">
        <v>33.6</v>
      </c>
      <c r="I12">
        <v>33.6</v>
      </c>
      <c r="J12">
        <v>147.24</v>
      </c>
      <c r="K12">
        <v>265.68</v>
      </c>
      <c r="L12">
        <v>390.12</v>
      </c>
      <c r="M12">
        <v>514.55999999999995</v>
      </c>
      <c r="N12">
        <v>639</v>
      </c>
      <c r="O12">
        <v>739.8</v>
      </c>
      <c r="P12">
        <v>840.6</v>
      </c>
      <c r="Q12">
        <v>941.4</v>
      </c>
      <c r="R12">
        <v>1042.2</v>
      </c>
      <c r="S12">
        <v>1143</v>
      </c>
      <c r="T12">
        <v>1215</v>
      </c>
      <c r="U12">
        <v>1287</v>
      </c>
      <c r="V12">
        <v>1359</v>
      </c>
      <c r="W12">
        <v>1431</v>
      </c>
      <c r="X12">
        <v>1503</v>
      </c>
      <c r="Y12">
        <v>1575</v>
      </c>
      <c r="Z12">
        <v>1647</v>
      </c>
      <c r="AA12">
        <v>1719</v>
      </c>
      <c r="AB12">
        <v>1791</v>
      </c>
      <c r="AC12">
        <v>1863</v>
      </c>
      <c r="AD12">
        <v>1935</v>
      </c>
      <c r="AE12">
        <v>2007</v>
      </c>
      <c r="AF12">
        <v>2079</v>
      </c>
      <c r="AG12">
        <v>2151</v>
      </c>
      <c r="AH12">
        <v>2223</v>
      </c>
      <c r="AI12">
        <v>2295</v>
      </c>
      <c r="AJ12">
        <v>2367</v>
      </c>
      <c r="AK12">
        <v>2439</v>
      </c>
      <c r="AL12">
        <v>2511</v>
      </c>
      <c r="AM12">
        <v>2583</v>
      </c>
    </row>
    <row r="13" spans="1:41" x14ac:dyDescent="0.35">
      <c r="A13" s="67" t="s">
        <v>64</v>
      </c>
      <c r="B13" s="1" t="s">
        <v>6</v>
      </c>
      <c r="C13">
        <f t="shared" ref="C13:AM13" si="6">0.5*C14+0.5*C12</f>
        <v>0</v>
      </c>
      <c r="D13">
        <f t="shared" si="6"/>
        <v>33.6</v>
      </c>
      <c r="E13">
        <f t="shared" si="6"/>
        <v>33.6</v>
      </c>
      <c r="F13">
        <f t="shared" si="6"/>
        <v>33.6</v>
      </c>
      <c r="G13">
        <f t="shared" si="6"/>
        <v>33.6</v>
      </c>
      <c r="H13">
        <f t="shared" si="6"/>
        <v>33.6</v>
      </c>
      <c r="I13">
        <f t="shared" si="6"/>
        <v>33.6</v>
      </c>
      <c r="J13">
        <f t="shared" si="6"/>
        <v>204.06</v>
      </c>
      <c r="K13">
        <f t="shared" si="6"/>
        <v>376.92</v>
      </c>
      <c r="L13">
        <f t="shared" si="6"/>
        <v>552.78</v>
      </c>
      <c r="M13">
        <f t="shared" si="6"/>
        <v>728.64</v>
      </c>
      <c r="N13">
        <f t="shared" si="6"/>
        <v>904.5</v>
      </c>
      <c r="O13">
        <f t="shared" si="6"/>
        <v>1035.9000000000001</v>
      </c>
      <c r="P13">
        <f t="shared" si="6"/>
        <v>1167.3</v>
      </c>
      <c r="Q13">
        <f t="shared" si="6"/>
        <v>1298.7</v>
      </c>
      <c r="R13">
        <f t="shared" si="6"/>
        <v>1430.1</v>
      </c>
      <c r="S13">
        <f t="shared" si="6"/>
        <v>1561.5</v>
      </c>
      <c r="T13">
        <f t="shared" si="6"/>
        <v>1642.5</v>
      </c>
      <c r="U13">
        <f t="shared" si="6"/>
        <v>1723.5</v>
      </c>
      <c r="V13">
        <f t="shared" si="6"/>
        <v>1804.5</v>
      </c>
      <c r="W13">
        <f t="shared" si="6"/>
        <v>1885.5</v>
      </c>
      <c r="X13">
        <f t="shared" si="6"/>
        <v>1966.5</v>
      </c>
      <c r="Y13">
        <f t="shared" si="6"/>
        <v>2047.5</v>
      </c>
      <c r="Z13">
        <f t="shared" si="6"/>
        <v>2128.5</v>
      </c>
      <c r="AA13">
        <f t="shared" si="6"/>
        <v>2209.5</v>
      </c>
      <c r="AB13">
        <f t="shared" si="6"/>
        <v>2290.5</v>
      </c>
      <c r="AC13">
        <f t="shared" si="6"/>
        <v>2371.5</v>
      </c>
      <c r="AD13">
        <f t="shared" si="6"/>
        <v>2452.5</v>
      </c>
      <c r="AE13">
        <f t="shared" si="6"/>
        <v>2533.5</v>
      </c>
      <c r="AF13">
        <f t="shared" si="6"/>
        <v>2614.5</v>
      </c>
      <c r="AG13">
        <f t="shared" si="6"/>
        <v>2695.5</v>
      </c>
      <c r="AH13">
        <f t="shared" si="6"/>
        <v>2776.5</v>
      </c>
      <c r="AI13">
        <f t="shared" si="6"/>
        <v>2857.5</v>
      </c>
      <c r="AJ13">
        <f t="shared" si="6"/>
        <v>2938.5</v>
      </c>
      <c r="AK13">
        <f t="shared" si="6"/>
        <v>3019.5</v>
      </c>
      <c r="AL13">
        <f t="shared" si="6"/>
        <v>3100.5</v>
      </c>
      <c r="AM13">
        <f t="shared" si="6"/>
        <v>3181.5</v>
      </c>
    </row>
    <row r="14" spans="1:41" x14ac:dyDescent="0.35">
      <c r="A14" s="63" t="s">
        <v>62</v>
      </c>
      <c r="B14" s="1" t="s">
        <v>6</v>
      </c>
      <c r="C14">
        <v>0</v>
      </c>
      <c r="D14">
        <v>33.6</v>
      </c>
      <c r="E14">
        <v>33.6</v>
      </c>
      <c r="F14">
        <v>33.6</v>
      </c>
      <c r="G14">
        <v>33.6</v>
      </c>
      <c r="H14">
        <v>33.6</v>
      </c>
      <c r="I14">
        <v>33.6</v>
      </c>
      <c r="J14">
        <v>260.88</v>
      </c>
      <c r="K14">
        <v>488.16</v>
      </c>
      <c r="L14">
        <v>715.44</v>
      </c>
      <c r="M14">
        <v>942.72</v>
      </c>
      <c r="N14">
        <v>1170</v>
      </c>
      <c r="O14">
        <v>1332</v>
      </c>
      <c r="P14">
        <v>1494</v>
      </c>
      <c r="Q14">
        <v>1656</v>
      </c>
      <c r="R14">
        <v>1818</v>
      </c>
      <c r="S14">
        <v>1980</v>
      </c>
      <c r="T14">
        <v>2070</v>
      </c>
      <c r="U14">
        <v>2160</v>
      </c>
      <c r="V14">
        <v>2250</v>
      </c>
      <c r="W14">
        <v>2340</v>
      </c>
      <c r="X14">
        <v>2430</v>
      </c>
      <c r="Y14">
        <v>2520</v>
      </c>
      <c r="Z14">
        <v>2610</v>
      </c>
      <c r="AA14">
        <v>2700</v>
      </c>
      <c r="AB14">
        <v>2790</v>
      </c>
      <c r="AC14">
        <v>2880</v>
      </c>
      <c r="AD14">
        <v>2970</v>
      </c>
      <c r="AE14">
        <v>3060</v>
      </c>
      <c r="AF14">
        <v>3150</v>
      </c>
      <c r="AG14">
        <v>3240</v>
      </c>
      <c r="AH14">
        <v>3330</v>
      </c>
      <c r="AI14">
        <v>3420</v>
      </c>
      <c r="AJ14">
        <v>3510</v>
      </c>
      <c r="AK14">
        <v>3600</v>
      </c>
      <c r="AL14">
        <v>3690</v>
      </c>
      <c r="AM14">
        <v>3780</v>
      </c>
    </row>
  </sheetData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91"/>
  <sheetViews>
    <sheetView zoomScaleNormal="100" workbookViewId="0">
      <pane ySplit="1" topLeftCell="A56" activePane="bottomLeft" state="frozen"/>
      <selection pane="bottomLeft" activeCell="L81" sqref="L81"/>
    </sheetView>
  </sheetViews>
  <sheetFormatPr defaultColWidth="8.6328125" defaultRowHeight="14.5" x14ac:dyDescent="0.35"/>
  <cols>
    <col min="1" max="1" width="30.6328125" bestFit="1" customWidth="1"/>
    <col min="2" max="2" width="14.36328125" customWidth="1"/>
    <col min="3" max="3" width="9.453125" customWidth="1"/>
    <col min="4" max="45" width="5" customWidth="1"/>
  </cols>
  <sheetData>
    <row r="1" spans="1:45" ht="16.5" customHeight="1" x14ac:dyDescent="0.35">
      <c r="A1" s="2" t="s">
        <v>0</v>
      </c>
      <c r="B1" s="2" t="s">
        <v>11</v>
      </c>
      <c r="C1" s="3" t="s">
        <v>1</v>
      </c>
      <c r="D1" s="3">
        <v>2019</v>
      </c>
      <c r="E1" s="3">
        <v>2020</v>
      </c>
      <c r="F1" s="3">
        <f t="shared" ref="F1:AS1" si="0">E1+1</f>
        <v>2021</v>
      </c>
      <c r="G1" s="3">
        <f t="shared" si="0"/>
        <v>2022</v>
      </c>
      <c r="H1" s="3">
        <f t="shared" si="0"/>
        <v>2023</v>
      </c>
      <c r="I1" s="3">
        <f t="shared" si="0"/>
        <v>2024</v>
      </c>
      <c r="J1" s="3">
        <f t="shared" si="0"/>
        <v>2025</v>
      </c>
      <c r="K1" s="3">
        <f t="shared" si="0"/>
        <v>2026</v>
      </c>
      <c r="L1" s="3">
        <f t="shared" si="0"/>
        <v>2027</v>
      </c>
      <c r="M1" s="3">
        <f t="shared" si="0"/>
        <v>2028</v>
      </c>
      <c r="N1" s="3">
        <f t="shared" si="0"/>
        <v>2029</v>
      </c>
      <c r="O1" s="3">
        <f t="shared" si="0"/>
        <v>2030</v>
      </c>
      <c r="P1" s="3">
        <f t="shared" si="0"/>
        <v>2031</v>
      </c>
      <c r="Q1" s="3">
        <f t="shared" si="0"/>
        <v>2032</v>
      </c>
      <c r="R1" s="3">
        <f t="shared" si="0"/>
        <v>2033</v>
      </c>
      <c r="S1" s="3">
        <f t="shared" si="0"/>
        <v>2034</v>
      </c>
      <c r="T1" s="3">
        <f t="shared" si="0"/>
        <v>2035</v>
      </c>
      <c r="U1" s="3">
        <f t="shared" si="0"/>
        <v>2036</v>
      </c>
      <c r="V1" s="3">
        <f t="shared" si="0"/>
        <v>2037</v>
      </c>
      <c r="W1" s="3">
        <f t="shared" si="0"/>
        <v>2038</v>
      </c>
      <c r="X1" s="3">
        <f t="shared" si="0"/>
        <v>2039</v>
      </c>
      <c r="Y1" s="3">
        <f t="shared" si="0"/>
        <v>2040</v>
      </c>
      <c r="Z1" s="3">
        <f t="shared" si="0"/>
        <v>2041</v>
      </c>
      <c r="AA1" s="3">
        <f t="shared" si="0"/>
        <v>2042</v>
      </c>
      <c r="AB1" s="3">
        <f t="shared" si="0"/>
        <v>2043</v>
      </c>
      <c r="AC1" s="3">
        <f t="shared" si="0"/>
        <v>2044</v>
      </c>
      <c r="AD1" s="3">
        <f t="shared" si="0"/>
        <v>2045</v>
      </c>
      <c r="AE1" s="3">
        <f t="shared" si="0"/>
        <v>2046</v>
      </c>
      <c r="AF1" s="3">
        <f t="shared" si="0"/>
        <v>2047</v>
      </c>
      <c r="AG1" s="3">
        <f t="shared" si="0"/>
        <v>2048</v>
      </c>
      <c r="AH1" s="3">
        <f t="shared" si="0"/>
        <v>2049</v>
      </c>
      <c r="AI1" s="3">
        <f t="shared" si="0"/>
        <v>2050</v>
      </c>
      <c r="AJ1" s="3">
        <f t="shared" si="0"/>
        <v>2051</v>
      </c>
      <c r="AK1" s="3">
        <f t="shared" si="0"/>
        <v>2052</v>
      </c>
      <c r="AL1" s="3">
        <f t="shared" si="0"/>
        <v>2053</v>
      </c>
      <c r="AM1" s="3">
        <f t="shared" si="0"/>
        <v>2054</v>
      </c>
      <c r="AN1" s="3">
        <f t="shared" si="0"/>
        <v>2055</v>
      </c>
      <c r="AO1" s="3">
        <f t="shared" si="0"/>
        <v>2056</v>
      </c>
      <c r="AP1" s="3">
        <f t="shared" si="0"/>
        <v>2057</v>
      </c>
      <c r="AQ1" s="3">
        <f t="shared" si="0"/>
        <v>2058</v>
      </c>
      <c r="AR1" s="3">
        <f t="shared" si="0"/>
        <v>2059</v>
      </c>
      <c r="AS1" s="3">
        <f t="shared" si="0"/>
        <v>2060</v>
      </c>
    </row>
    <row r="2" spans="1:45" x14ac:dyDescent="0.35">
      <c r="A2" s="23" t="s">
        <v>9</v>
      </c>
      <c r="B2" s="24" t="s">
        <v>12</v>
      </c>
      <c r="C2" s="5" t="s">
        <v>13</v>
      </c>
      <c r="D2" s="7">
        <v>74</v>
      </c>
      <c r="E2" s="7">
        <v>74</v>
      </c>
      <c r="F2" s="7">
        <v>74</v>
      </c>
      <c r="G2" s="7">
        <v>74</v>
      </c>
      <c r="H2" s="7">
        <v>74</v>
      </c>
      <c r="I2" s="7">
        <v>74</v>
      </c>
      <c r="J2" s="7">
        <v>74</v>
      </c>
      <c r="K2" s="7">
        <v>74</v>
      </c>
      <c r="L2" s="7">
        <v>74</v>
      </c>
      <c r="M2" s="7">
        <v>74</v>
      </c>
      <c r="N2" s="7">
        <v>74</v>
      </c>
      <c r="O2" s="7">
        <v>74</v>
      </c>
      <c r="P2" s="7">
        <v>74</v>
      </c>
      <c r="Q2" s="7">
        <v>74</v>
      </c>
      <c r="R2" s="7">
        <v>74</v>
      </c>
      <c r="S2" s="7">
        <v>74</v>
      </c>
      <c r="T2" s="7">
        <v>74</v>
      </c>
      <c r="U2" s="7">
        <v>74</v>
      </c>
      <c r="V2" s="7">
        <v>74</v>
      </c>
      <c r="W2" s="7">
        <v>74</v>
      </c>
      <c r="X2" s="7">
        <v>74</v>
      </c>
      <c r="Y2" s="7">
        <v>74</v>
      </c>
      <c r="Z2" s="7">
        <v>74</v>
      </c>
      <c r="AA2" s="7">
        <v>74</v>
      </c>
      <c r="AB2" s="7">
        <v>74</v>
      </c>
      <c r="AC2" s="7">
        <v>74</v>
      </c>
      <c r="AD2" s="7">
        <v>74</v>
      </c>
      <c r="AE2" s="7">
        <v>74</v>
      </c>
      <c r="AF2" s="7">
        <v>74</v>
      </c>
      <c r="AG2" s="7">
        <v>74</v>
      </c>
      <c r="AH2" s="7">
        <v>74</v>
      </c>
      <c r="AI2" s="7">
        <v>74</v>
      </c>
      <c r="AJ2" s="7">
        <v>74</v>
      </c>
      <c r="AK2" s="7">
        <v>74</v>
      </c>
      <c r="AL2" s="7">
        <v>74</v>
      </c>
      <c r="AM2" s="7">
        <v>74</v>
      </c>
      <c r="AN2" s="7">
        <v>74</v>
      </c>
      <c r="AO2" s="7">
        <v>74</v>
      </c>
      <c r="AP2" s="7">
        <v>74</v>
      </c>
      <c r="AQ2" s="7">
        <v>74</v>
      </c>
      <c r="AR2" s="7">
        <v>74</v>
      </c>
      <c r="AS2" s="7">
        <v>74</v>
      </c>
    </row>
    <row r="3" spans="1:45" x14ac:dyDescent="0.35">
      <c r="A3" s="23" t="str">
        <f t="shared" ref="A3:A13" si="1">A2</f>
        <v>BASE</v>
      </c>
      <c r="B3" s="25" t="s">
        <v>14</v>
      </c>
      <c r="C3" s="10" t="str">
        <f t="shared" ref="C3:C13" si="2">C2</f>
        <v>kgCO2/GJ</v>
      </c>
      <c r="D3" s="12">
        <v>74</v>
      </c>
      <c r="E3" s="12">
        <v>74</v>
      </c>
      <c r="F3" s="12">
        <v>74</v>
      </c>
      <c r="G3" s="12">
        <v>74</v>
      </c>
      <c r="H3" s="12">
        <v>74</v>
      </c>
      <c r="I3" s="12">
        <v>74</v>
      </c>
      <c r="J3" s="12">
        <v>74</v>
      </c>
      <c r="K3" s="12">
        <v>74</v>
      </c>
      <c r="L3" s="12">
        <v>74</v>
      </c>
      <c r="M3" s="12">
        <v>74</v>
      </c>
      <c r="N3" s="12">
        <v>74</v>
      </c>
      <c r="O3" s="12">
        <v>74</v>
      </c>
      <c r="P3" s="12">
        <v>74</v>
      </c>
      <c r="Q3" s="12">
        <v>74</v>
      </c>
      <c r="R3" s="12">
        <v>74</v>
      </c>
      <c r="S3" s="12">
        <v>74</v>
      </c>
      <c r="T3" s="12">
        <v>74</v>
      </c>
      <c r="U3" s="12">
        <v>74</v>
      </c>
      <c r="V3" s="12">
        <v>74</v>
      </c>
      <c r="W3" s="12">
        <v>74</v>
      </c>
      <c r="X3" s="12">
        <v>74</v>
      </c>
      <c r="Y3" s="12">
        <v>74</v>
      </c>
      <c r="Z3" s="12">
        <v>74</v>
      </c>
      <c r="AA3" s="12">
        <v>74</v>
      </c>
      <c r="AB3" s="12">
        <v>74</v>
      </c>
      <c r="AC3" s="12">
        <v>74</v>
      </c>
      <c r="AD3" s="12">
        <v>74</v>
      </c>
      <c r="AE3" s="12">
        <v>74</v>
      </c>
      <c r="AF3" s="12">
        <v>74</v>
      </c>
      <c r="AG3" s="12">
        <v>74</v>
      </c>
      <c r="AH3" s="12">
        <v>74</v>
      </c>
      <c r="AI3" s="12">
        <v>74</v>
      </c>
      <c r="AJ3" s="12">
        <v>74</v>
      </c>
      <c r="AK3" s="12">
        <v>74</v>
      </c>
      <c r="AL3" s="12">
        <v>74</v>
      </c>
      <c r="AM3" s="12">
        <v>74</v>
      </c>
      <c r="AN3" s="12">
        <v>74</v>
      </c>
      <c r="AO3" s="12">
        <v>74</v>
      </c>
      <c r="AP3" s="12">
        <v>74</v>
      </c>
      <c r="AQ3" s="12">
        <v>74</v>
      </c>
      <c r="AR3" s="12">
        <v>74</v>
      </c>
      <c r="AS3" s="12">
        <v>74</v>
      </c>
    </row>
    <row r="4" spans="1:45" x14ac:dyDescent="0.35">
      <c r="A4" s="23" t="str">
        <f t="shared" si="1"/>
        <v>BASE</v>
      </c>
      <c r="B4" s="24" t="s">
        <v>15</v>
      </c>
      <c r="C4" s="5" t="str">
        <f t="shared" si="2"/>
        <v>kgCO2/GJ</v>
      </c>
      <c r="D4" s="7">
        <v>74</v>
      </c>
      <c r="E4" s="7">
        <v>74</v>
      </c>
      <c r="F4" s="7">
        <v>74</v>
      </c>
      <c r="G4" s="7">
        <v>74</v>
      </c>
      <c r="H4" s="7">
        <v>74</v>
      </c>
      <c r="I4" s="7">
        <v>74</v>
      </c>
      <c r="J4" s="7">
        <v>74</v>
      </c>
      <c r="K4" s="7">
        <v>74</v>
      </c>
      <c r="L4" s="7">
        <v>74</v>
      </c>
      <c r="M4" s="7">
        <v>74</v>
      </c>
      <c r="N4" s="7">
        <v>74</v>
      </c>
      <c r="O4" s="7">
        <v>74</v>
      </c>
      <c r="P4" s="7">
        <v>74</v>
      </c>
      <c r="Q4" s="7">
        <v>74</v>
      </c>
      <c r="R4" s="7">
        <v>74</v>
      </c>
      <c r="S4" s="7">
        <v>74</v>
      </c>
      <c r="T4" s="7">
        <v>74</v>
      </c>
      <c r="U4" s="7">
        <v>74</v>
      </c>
      <c r="V4" s="7">
        <v>74</v>
      </c>
      <c r="W4" s="7">
        <v>74</v>
      </c>
      <c r="X4" s="7">
        <v>74</v>
      </c>
      <c r="Y4" s="7">
        <v>74</v>
      </c>
      <c r="Z4" s="7">
        <v>74</v>
      </c>
      <c r="AA4" s="7">
        <v>74</v>
      </c>
      <c r="AB4" s="7">
        <v>74</v>
      </c>
      <c r="AC4" s="7">
        <v>74</v>
      </c>
      <c r="AD4" s="7">
        <v>74</v>
      </c>
      <c r="AE4" s="7">
        <v>74</v>
      </c>
      <c r="AF4" s="7">
        <v>74</v>
      </c>
      <c r="AG4" s="7">
        <v>74</v>
      </c>
      <c r="AH4" s="7">
        <v>74</v>
      </c>
      <c r="AI4" s="7">
        <v>74</v>
      </c>
      <c r="AJ4" s="7">
        <v>74</v>
      </c>
      <c r="AK4" s="7">
        <v>74</v>
      </c>
      <c r="AL4" s="7">
        <v>74</v>
      </c>
      <c r="AM4" s="7">
        <v>74</v>
      </c>
      <c r="AN4" s="7">
        <v>74</v>
      </c>
      <c r="AO4" s="7">
        <v>74</v>
      </c>
      <c r="AP4" s="7">
        <v>74</v>
      </c>
      <c r="AQ4" s="7">
        <v>74</v>
      </c>
      <c r="AR4" s="7">
        <v>74</v>
      </c>
      <c r="AS4" s="7">
        <v>74</v>
      </c>
    </row>
    <row r="5" spans="1:45" x14ac:dyDescent="0.35">
      <c r="A5" s="23" t="str">
        <f t="shared" si="1"/>
        <v>BASE</v>
      </c>
      <c r="B5" s="25" t="s">
        <v>16</v>
      </c>
      <c r="C5" s="10" t="str">
        <f t="shared" si="2"/>
        <v>kgCO2/GJ</v>
      </c>
      <c r="D5" s="12">
        <v>74</v>
      </c>
      <c r="E5" s="12">
        <v>74</v>
      </c>
      <c r="F5" s="12">
        <v>74</v>
      </c>
      <c r="G5" s="12">
        <v>74</v>
      </c>
      <c r="H5" s="12">
        <v>74</v>
      </c>
      <c r="I5" s="12">
        <v>74</v>
      </c>
      <c r="J5" s="12">
        <v>74</v>
      </c>
      <c r="K5" s="12">
        <v>74</v>
      </c>
      <c r="L5" s="12">
        <v>74</v>
      </c>
      <c r="M5" s="12">
        <v>74</v>
      </c>
      <c r="N5" s="12">
        <v>74</v>
      </c>
      <c r="O5" s="12">
        <v>74</v>
      </c>
      <c r="P5" s="12">
        <v>74</v>
      </c>
      <c r="Q5" s="12">
        <v>74</v>
      </c>
      <c r="R5" s="12">
        <v>74</v>
      </c>
      <c r="S5" s="12">
        <v>74</v>
      </c>
      <c r="T5" s="12">
        <v>74</v>
      </c>
      <c r="U5" s="12">
        <v>74</v>
      </c>
      <c r="V5" s="12">
        <v>74</v>
      </c>
      <c r="W5" s="12">
        <v>74</v>
      </c>
      <c r="X5" s="12">
        <v>74</v>
      </c>
      <c r="Y5" s="12">
        <v>74</v>
      </c>
      <c r="Z5" s="12">
        <v>74</v>
      </c>
      <c r="AA5" s="12">
        <v>74</v>
      </c>
      <c r="AB5" s="12">
        <v>74</v>
      </c>
      <c r="AC5" s="12">
        <v>74</v>
      </c>
      <c r="AD5" s="12">
        <v>74</v>
      </c>
      <c r="AE5" s="12">
        <v>74</v>
      </c>
      <c r="AF5" s="12">
        <v>74</v>
      </c>
      <c r="AG5" s="12">
        <v>74</v>
      </c>
      <c r="AH5" s="12">
        <v>74</v>
      </c>
      <c r="AI5" s="12">
        <v>74</v>
      </c>
      <c r="AJ5" s="12">
        <v>74</v>
      </c>
      <c r="AK5" s="12">
        <v>74</v>
      </c>
      <c r="AL5" s="12">
        <v>74</v>
      </c>
      <c r="AM5" s="12">
        <v>74</v>
      </c>
      <c r="AN5" s="12">
        <v>74</v>
      </c>
      <c r="AO5" s="12">
        <v>74</v>
      </c>
      <c r="AP5" s="12">
        <v>74</v>
      </c>
      <c r="AQ5" s="12">
        <v>74</v>
      </c>
      <c r="AR5" s="12">
        <v>74</v>
      </c>
      <c r="AS5" s="12">
        <v>74</v>
      </c>
    </row>
    <row r="6" spans="1:45" x14ac:dyDescent="0.35">
      <c r="A6" s="23" t="str">
        <f t="shared" si="1"/>
        <v>BASE</v>
      </c>
      <c r="B6" s="24" t="s">
        <v>17</v>
      </c>
      <c r="C6" s="5" t="str">
        <f t="shared" si="2"/>
        <v>kgCO2/GJ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>
        <f t="shared" ref="AJ6:AS6" si="3">AI6</f>
        <v>0</v>
      </c>
      <c r="AK6">
        <f t="shared" si="3"/>
        <v>0</v>
      </c>
      <c r="AL6">
        <f t="shared" si="3"/>
        <v>0</v>
      </c>
      <c r="AM6">
        <f t="shared" si="3"/>
        <v>0</v>
      </c>
      <c r="AN6">
        <f t="shared" si="3"/>
        <v>0</v>
      </c>
      <c r="AO6">
        <f t="shared" si="3"/>
        <v>0</v>
      </c>
      <c r="AP6">
        <f t="shared" si="3"/>
        <v>0</v>
      </c>
      <c r="AQ6">
        <f t="shared" si="3"/>
        <v>0</v>
      </c>
      <c r="AR6">
        <f t="shared" si="3"/>
        <v>0</v>
      </c>
      <c r="AS6">
        <f t="shared" si="3"/>
        <v>0</v>
      </c>
    </row>
    <row r="7" spans="1:45" x14ac:dyDescent="0.35">
      <c r="A7" s="23" t="str">
        <f t="shared" si="1"/>
        <v>BASE</v>
      </c>
      <c r="B7" s="25" t="s">
        <v>18</v>
      </c>
      <c r="C7" s="10" t="str">
        <f t="shared" si="2"/>
        <v>kgCO2/GJ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>
        <f t="shared" ref="AJ7:AS7" si="4">AI7</f>
        <v>0</v>
      </c>
      <c r="AK7">
        <f t="shared" si="4"/>
        <v>0</v>
      </c>
      <c r="AL7">
        <f t="shared" si="4"/>
        <v>0</v>
      </c>
      <c r="AM7">
        <f t="shared" si="4"/>
        <v>0</v>
      </c>
      <c r="AN7">
        <f t="shared" si="4"/>
        <v>0</v>
      </c>
      <c r="AO7">
        <f t="shared" si="4"/>
        <v>0</v>
      </c>
      <c r="AP7">
        <f t="shared" si="4"/>
        <v>0</v>
      </c>
      <c r="AQ7">
        <f t="shared" si="4"/>
        <v>0</v>
      </c>
      <c r="AR7">
        <f t="shared" si="4"/>
        <v>0</v>
      </c>
      <c r="AS7">
        <f t="shared" si="4"/>
        <v>0</v>
      </c>
    </row>
    <row r="8" spans="1:45" x14ac:dyDescent="0.35">
      <c r="A8" s="23" t="str">
        <f t="shared" si="1"/>
        <v>BASE</v>
      </c>
      <c r="B8" s="24" t="s">
        <v>19</v>
      </c>
      <c r="C8" s="5" t="str">
        <f t="shared" si="2"/>
        <v>kgCO2/GJ</v>
      </c>
      <c r="D8" s="7">
        <v>74</v>
      </c>
      <c r="E8" s="7">
        <v>74</v>
      </c>
      <c r="F8" s="7">
        <v>74</v>
      </c>
      <c r="G8" s="7">
        <v>74</v>
      </c>
      <c r="H8" s="7">
        <v>74</v>
      </c>
      <c r="I8" s="7">
        <v>74</v>
      </c>
      <c r="J8" s="7">
        <v>74</v>
      </c>
      <c r="K8" s="7">
        <v>74</v>
      </c>
      <c r="L8" s="7">
        <v>74</v>
      </c>
      <c r="M8" s="7">
        <v>74</v>
      </c>
      <c r="N8" s="7">
        <v>74</v>
      </c>
      <c r="O8" s="7">
        <v>74</v>
      </c>
      <c r="P8" s="7">
        <v>74</v>
      </c>
      <c r="Q8" s="7">
        <v>74</v>
      </c>
      <c r="R8" s="7">
        <v>74</v>
      </c>
      <c r="S8" s="7">
        <v>74</v>
      </c>
      <c r="T8" s="7">
        <v>74</v>
      </c>
      <c r="U8" s="7">
        <v>74</v>
      </c>
      <c r="V8" s="7">
        <v>74</v>
      </c>
      <c r="W8" s="7">
        <v>74</v>
      </c>
      <c r="X8" s="7">
        <v>74</v>
      </c>
      <c r="Y8" s="7">
        <v>74</v>
      </c>
      <c r="Z8" s="7">
        <v>74</v>
      </c>
      <c r="AA8" s="7">
        <v>74</v>
      </c>
      <c r="AB8" s="7">
        <v>74</v>
      </c>
      <c r="AC8" s="7">
        <v>74</v>
      </c>
      <c r="AD8" s="7">
        <v>74</v>
      </c>
      <c r="AE8" s="7">
        <v>74</v>
      </c>
      <c r="AF8" s="7">
        <v>74</v>
      </c>
      <c r="AG8" s="7">
        <v>74</v>
      </c>
      <c r="AH8" s="7">
        <v>74</v>
      </c>
      <c r="AI8" s="7">
        <v>74</v>
      </c>
      <c r="AJ8">
        <f t="shared" ref="AJ8:AS8" si="5">AI8</f>
        <v>74</v>
      </c>
      <c r="AK8">
        <f t="shared" si="5"/>
        <v>74</v>
      </c>
      <c r="AL8">
        <f t="shared" si="5"/>
        <v>74</v>
      </c>
      <c r="AM8">
        <f t="shared" si="5"/>
        <v>74</v>
      </c>
      <c r="AN8">
        <f t="shared" si="5"/>
        <v>74</v>
      </c>
      <c r="AO8">
        <f t="shared" si="5"/>
        <v>74</v>
      </c>
      <c r="AP8">
        <f t="shared" si="5"/>
        <v>74</v>
      </c>
      <c r="AQ8">
        <f t="shared" si="5"/>
        <v>74</v>
      </c>
      <c r="AR8">
        <f t="shared" si="5"/>
        <v>74</v>
      </c>
      <c r="AS8">
        <f t="shared" si="5"/>
        <v>74</v>
      </c>
    </row>
    <row r="9" spans="1:45" x14ac:dyDescent="0.35">
      <c r="A9" s="23" t="str">
        <f t="shared" si="1"/>
        <v>BASE</v>
      </c>
      <c r="B9" s="25" t="s">
        <v>20</v>
      </c>
      <c r="C9" s="10" t="str">
        <f t="shared" si="2"/>
        <v>kgCO2/GJ</v>
      </c>
      <c r="D9" s="12">
        <v>74</v>
      </c>
      <c r="E9" s="12">
        <v>74</v>
      </c>
      <c r="F9" s="12">
        <v>74</v>
      </c>
      <c r="G9" s="12">
        <v>74</v>
      </c>
      <c r="H9" s="12">
        <v>74</v>
      </c>
      <c r="I9" s="12">
        <v>74</v>
      </c>
      <c r="J9" s="12">
        <v>74</v>
      </c>
      <c r="K9" s="12">
        <v>74</v>
      </c>
      <c r="L9" s="12">
        <v>74</v>
      </c>
      <c r="M9" s="12">
        <v>74</v>
      </c>
      <c r="N9" s="12">
        <v>74</v>
      </c>
      <c r="O9" s="12">
        <v>74</v>
      </c>
      <c r="P9" s="12">
        <v>74</v>
      </c>
      <c r="Q9" s="12">
        <v>74</v>
      </c>
      <c r="R9" s="12">
        <v>74</v>
      </c>
      <c r="S9" s="12">
        <v>74</v>
      </c>
      <c r="T9" s="12">
        <v>74</v>
      </c>
      <c r="U9" s="12">
        <v>74</v>
      </c>
      <c r="V9" s="12">
        <v>74</v>
      </c>
      <c r="W9" s="12">
        <v>74</v>
      </c>
      <c r="X9" s="12">
        <v>74</v>
      </c>
      <c r="Y9" s="12">
        <v>74</v>
      </c>
      <c r="Z9" s="12">
        <v>74</v>
      </c>
      <c r="AA9" s="12">
        <v>74</v>
      </c>
      <c r="AB9" s="12">
        <v>74</v>
      </c>
      <c r="AC9" s="12">
        <v>74</v>
      </c>
      <c r="AD9" s="12">
        <v>74</v>
      </c>
      <c r="AE9" s="12">
        <v>74</v>
      </c>
      <c r="AF9" s="12">
        <v>74</v>
      </c>
      <c r="AG9" s="12">
        <v>74</v>
      </c>
      <c r="AH9" s="12">
        <v>74</v>
      </c>
      <c r="AI9" s="12">
        <v>74</v>
      </c>
      <c r="AJ9">
        <f t="shared" ref="AJ9:AS9" si="6">AI9</f>
        <v>74</v>
      </c>
      <c r="AK9">
        <f t="shared" si="6"/>
        <v>74</v>
      </c>
      <c r="AL9">
        <f t="shared" si="6"/>
        <v>74</v>
      </c>
      <c r="AM9">
        <f t="shared" si="6"/>
        <v>74</v>
      </c>
      <c r="AN9">
        <f t="shared" si="6"/>
        <v>74</v>
      </c>
      <c r="AO9">
        <f t="shared" si="6"/>
        <v>74</v>
      </c>
      <c r="AP9">
        <f t="shared" si="6"/>
        <v>74</v>
      </c>
      <c r="AQ9">
        <f t="shared" si="6"/>
        <v>74</v>
      </c>
      <c r="AR9">
        <f t="shared" si="6"/>
        <v>74</v>
      </c>
      <c r="AS9">
        <f t="shared" si="6"/>
        <v>74</v>
      </c>
    </row>
    <row r="10" spans="1:45" x14ac:dyDescent="0.35">
      <c r="A10" s="23" t="str">
        <f t="shared" si="1"/>
        <v>BASE</v>
      </c>
      <c r="B10" s="24" t="s">
        <v>21</v>
      </c>
      <c r="C10" s="5" t="str">
        <f t="shared" si="2"/>
        <v>kgCO2/GJ</v>
      </c>
      <c r="D10" s="7">
        <v>96</v>
      </c>
      <c r="E10" s="7">
        <v>96</v>
      </c>
      <c r="F10" s="7">
        <v>96</v>
      </c>
      <c r="G10" s="7">
        <v>96</v>
      </c>
      <c r="H10" s="7">
        <v>96</v>
      </c>
      <c r="I10" s="7">
        <v>96</v>
      </c>
      <c r="J10" s="7">
        <v>96</v>
      </c>
      <c r="K10" s="7">
        <v>96</v>
      </c>
      <c r="L10" s="7">
        <v>96</v>
      </c>
      <c r="M10" s="7">
        <v>96</v>
      </c>
      <c r="N10" s="7">
        <v>96</v>
      </c>
      <c r="O10" s="7">
        <v>96</v>
      </c>
      <c r="P10" s="7">
        <v>96</v>
      </c>
      <c r="Q10" s="7">
        <v>96</v>
      </c>
      <c r="R10" s="7">
        <v>96</v>
      </c>
      <c r="S10" s="7">
        <v>96</v>
      </c>
      <c r="T10" s="7">
        <v>96</v>
      </c>
      <c r="U10" s="7">
        <v>96</v>
      </c>
      <c r="V10" s="7">
        <v>96</v>
      </c>
      <c r="W10" s="7">
        <v>96</v>
      </c>
      <c r="X10" s="7">
        <v>96</v>
      </c>
      <c r="Y10" s="7">
        <v>96</v>
      </c>
      <c r="Z10" s="7">
        <v>96</v>
      </c>
      <c r="AA10" s="7">
        <v>96</v>
      </c>
      <c r="AB10" s="7">
        <v>96</v>
      </c>
      <c r="AC10" s="7">
        <v>96</v>
      </c>
      <c r="AD10" s="7">
        <v>96</v>
      </c>
      <c r="AE10" s="7">
        <v>96</v>
      </c>
      <c r="AF10" s="7">
        <v>96</v>
      </c>
      <c r="AG10" s="7">
        <v>96</v>
      </c>
      <c r="AH10" s="7">
        <v>96</v>
      </c>
      <c r="AI10" s="7">
        <v>96</v>
      </c>
      <c r="AJ10">
        <f t="shared" ref="AJ10:AS10" si="7">AI10</f>
        <v>96</v>
      </c>
      <c r="AK10">
        <f t="shared" si="7"/>
        <v>96</v>
      </c>
      <c r="AL10">
        <f t="shared" si="7"/>
        <v>96</v>
      </c>
      <c r="AM10">
        <f t="shared" si="7"/>
        <v>96</v>
      </c>
      <c r="AN10">
        <f t="shared" si="7"/>
        <v>96</v>
      </c>
      <c r="AO10">
        <f t="shared" si="7"/>
        <v>96</v>
      </c>
      <c r="AP10">
        <f t="shared" si="7"/>
        <v>96</v>
      </c>
      <c r="AQ10">
        <f t="shared" si="7"/>
        <v>96</v>
      </c>
      <c r="AR10">
        <f t="shared" si="7"/>
        <v>96</v>
      </c>
      <c r="AS10">
        <f t="shared" si="7"/>
        <v>96</v>
      </c>
    </row>
    <row r="11" spans="1:45" x14ac:dyDescent="0.35">
      <c r="A11" s="23" t="str">
        <f t="shared" si="1"/>
        <v>BASE</v>
      </c>
      <c r="B11" s="25" t="s">
        <v>22</v>
      </c>
      <c r="C11" s="10" t="str">
        <f t="shared" si="2"/>
        <v>kgCO2/GJ</v>
      </c>
      <c r="D11" s="12">
        <v>96</v>
      </c>
      <c r="E11" s="12">
        <v>96</v>
      </c>
      <c r="F11" s="12">
        <v>96</v>
      </c>
      <c r="G11" s="12">
        <v>96</v>
      </c>
      <c r="H11" s="12">
        <v>96</v>
      </c>
      <c r="I11" s="12">
        <v>96</v>
      </c>
      <c r="J11" s="12">
        <v>96</v>
      </c>
      <c r="K11" s="12">
        <v>96</v>
      </c>
      <c r="L11" s="12">
        <v>96</v>
      </c>
      <c r="M11" s="12">
        <v>96</v>
      </c>
      <c r="N11" s="12">
        <v>96</v>
      </c>
      <c r="O11" s="12">
        <v>96</v>
      </c>
      <c r="P11" s="12">
        <v>96</v>
      </c>
      <c r="Q11" s="12">
        <v>96</v>
      </c>
      <c r="R11" s="12">
        <v>96</v>
      </c>
      <c r="S11" s="12">
        <v>96</v>
      </c>
      <c r="T11" s="12">
        <v>96</v>
      </c>
      <c r="U11" s="12">
        <v>96</v>
      </c>
      <c r="V11" s="12">
        <v>96</v>
      </c>
      <c r="W11" s="12">
        <v>96</v>
      </c>
      <c r="X11" s="12">
        <v>96</v>
      </c>
      <c r="Y11" s="12">
        <v>96</v>
      </c>
      <c r="Z11" s="12">
        <v>96</v>
      </c>
      <c r="AA11" s="12">
        <v>96</v>
      </c>
      <c r="AB11" s="12">
        <v>96</v>
      </c>
      <c r="AC11" s="12">
        <v>96</v>
      </c>
      <c r="AD11" s="12">
        <v>96</v>
      </c>
      <c r="AE11" s="12">
        <v>96</v>
      </c>
      <c r="AF11" s="12">
        <v>96</v>
      </c>
      <c r="AG11" s="12">
        <v>96</v>
      </c>
      <c r="AH11" s="12">
        <v>96</v>
      </c>
      <c r="AI11" s="12">
        <v>96</v>
      </c>
      <c r="AJ11">
        <f t="shared" ref="AJ11:AS11" si="8">AI11</f>
        <v>96</v>
      </c>
      <c r="AK11">
        <f t="shared" si="8"/>
        <v>96</v>
      </c>
      <c r="AL11">
        <f t="shared" si="8"/>
        <v>96</v>
      </c>
      <c r="AM11">
        <f t="shared" si="8"/>
        <v>96</v>
      </c>
      <c r="AN11">
        <f t="shared" si="8"/>
        <v>96</v>
      </c>
      <c r="AO11">
        <f t="shared" si="8"/>
        <v>96</v>
      </c>
      <c r="AP11">
        <f t="shared" si="8"/>
        <v>96</v>
      </c>
      <c r="AQ11">
        <f t="shared" si="8"/>
        <v>96</v>
      </c>
      <c r="AR11">
        <f t="shared" si="8"/>
        <v>96</v>
      </c>
      <c r="AS11">
        <f t="shared" si="8"/>
        <v>96</v>
      </c>
    </row>
    <row r="12" spans="1:45" x14ac:dyDescent="0.35">
      <c r="A12" s="23" t="str">
        <f t="shared" si="1"/>
        <v>BASE</v>
      </c>
      <c r="B12" s="24" t="s">
        <v>23</v>
      </c>
      <c r="C12" s="5" t="str">
        <f t="shared" si="2"/>
        <v>kgCO2/GJ</v>
      </c>
      <c r="D12" s="7">
        <v>69</v>
      </c>
      <c r="E12" s="7">
        <v>69</v>
      </c>
      <c r="F12" s="7">
        <v>69</v>
      </c>
      <c r="G12" s="7">
        <v>69</v>
      </c>
      <c r="H12" s="7">
        <v>69</v>
      </c>
      <c r="I12" s="7">
        <v>69</v>
      </c>
      <c r="J12" s="7">
        <v>69</v>
      </c>
      <c r="K12" s="7">
        <v>69</v>
      </c>
      <c r="L12" s="7">
        <v>69</v>
      </c>
      <c r="M12" s="7">
        <v>69</v>
      </c>
      <c r="N12" s="7">
        <v>69</v>
      </c>
      <c r="O12" s="7">
        <v>69</v>
      </c>
      <c r="P12" s="7">
        <v>69</v>
      </c>
      <c r="Q12" s="7">
        <v>69</v>
      </c>
      <c r="R12" s="7">
        <v>69</v>
      </c>
      <c r="S12" s="7">
        <v>69</v>
      </c>
      <c r="T12" s="7">
        <v>69</v>
      </c>
      <c r="U12" s="7">
        <v>69</v>
      </c>
      <c r="V12" s="7">
        <v>69</v>
      </c>
      <c r="W12" s="7">
        <v>69</v>
      </c>
      <c r="X12" s="7">
        <v>69</v>
      </c>
      <c r="Y12" s="7">
        <v>69</v>
      </c>
      <c r="Z12" s="7">
        <v>69</v>
      </c>
      <c r="AA12" s="7">
        <v>69</v>
      </c>
      <c r="AB12" s="7">
        <v>69</v>
      </c>
      <c r="AC12" s="7">
        <v>69</v>
      </c>
      <c r="AD12" s="7">
        <v>69</v>
      </c>
      <c r="AE12" s="7">
        <v>69</v>
      </c>
      <c r="AF12" s="7">
        <v>69</v>
      </c>
      <c r="AG12" s="7">
        <v>69</v>
      </c>
      <c r="AH12" s="7">
        <v>69</v>
      </c>
      <c r="AI12" s="7">
        <v>69</v>
      </c>
      <c r="AJ12">
        <f t="shared" ref="AJ12:AS12" si="9">AI12</f>
        <v>69</v>
      </c>
      <c r="AK12">
        <f t="shared" si="9"/>
        <v>69</v>
      </c>
      <c r="AL12">
        <f t="shared" si="9"/>
        <v>69</v>
      </c>
      <c r="AM12">
        <f t="shared" si="9"/>
        <v>69</v>
      </c>
      <c r="AN12">
        <f t="shared" si="9"/>
        <v>69</v>
      </c>
      <c r="AO12">
        <f t="shared" si="9"/>
        <v>69</v>
      </c>
      <c r="AP12">
        <f t="shared" si="9"/>
        <v>69</v>
      </c>
      <c r="AQ12">
        <f t="shared" si="9"/>
        <v>69</v>
      </c>
      <c r="AR12">
        <f t="shared" si="9"/>
        <v>69</v>
      </c>
      <c r="AS12">
        <f t="shared" si="9"/>
        <v>69</v>
      </c>
    </row>
    <row r="13" spans="1:45" x14ac:dyDescent="0.35">
      <c r="A13" s="23" t="str">
        <f t="shared" si="1"/>
        <v>BASE</v>
      </c>
      <c r="B13" s="26" t="s">
        <v>24</v>
      </c>
      <c r="C13" s="27" t="str">
        <f t="shared" si="2"/>
        <v>kgCO2/GJ</v>
      </c>
      <c r="D13" s="28">
        <v>69</v>
      </c>
      <c r="E13" s="28">
        <v>69</v>
      </c>
      <c r="F13" s="28">
        <v>69</v>
      </c>
      <c r="G13" s="28">
        <v>69</v>
      </c>
      <c r="H13" s="28">
        <v>69</v>
      </c>
      <c r="I13" s="28">
        <v>69</v>
      </c>
      <c r="J13" s="28">
        <v>69</v>
      </c>
      <c r="K13" s="28">
        <v>69</v>
      </c>
      <c r="L13" s="28">
        <v>69</v>
      </c>
      <c r="M13" s="28">
        <v>69</v>
      </c>
      <c r="N13" s="28">
        <v>69</v>
      </c>
      <c r="O13" s="28">
        <v>69</v>
      </c>
      <c r="P13" s="28">
        <v>69</v>
      </c>
      <c r="Q13" s="28">
        <v>69</v>
      </c>
      <c r="R13" s="28">
        <v>69</v>
      </c>
      <c r="S13" s="28">
        <v>69</v>
      </c>
      <c r="T13" s="28">
        <v>69</v>
      </c>
      <c r="U13" s="28">
        <v>69</v>
      </c>
      <c r="V13" s="28">
        <v>69</v>
      </c>
      <c r="W13" s="28">
        <v>69</v>
      </c>
      <c r="X13" s="28">
        <v>69</v>
      </c>
      <c r="Y13" s="28">
        <v>69</v>
      </c>
      <c r="Z13" s="28">
        <v>69</v>
      </c>
      <c r="AA13" s="28">
        <v>69</v>
      </c>
      <c r="AB13" s="28">
        <v>69</v>
      </c>
      <c r="AC13" s="28">
        <v>69</v>
      </c>
      <c r="AD13" s="28">
        <v>69</v>
      </c>
      <c r="AE13" s="28">
        <v>69</v>
      </c>
      <c r="AF13" s="28">
        <v>69</v>
      </c>
      <c r="AG13" s="28">
        <v>69</v>
      </c>
      <c r="AH13" s="28">
        <v>69</v>
      </c>
      <c r="AI13" s="28">
        <v>69</v>
      </c>
      <c r="AJ13" s="29">
        <f t="shared" ref="AJ13:AS13" si="10">AI13</f>
        <v>69</v>
      </c>
      <c r="AK13" s="29">
        <f t="shared" si="10"/>
        <v>69</v>
      </c>
      <c r="AL13" s="29">
        <f t="shared" si="10"/>
        <v>69</v>
      </c>
      <c r="AM13" s="29">
        <f t="shared" si="10"/>
        <v>69</v>
      </c>
      <c r="AN13" s="29">
        <f t="shared" si="10"/>
        <v>69</v>
      </c>
      <c r="AO13" s="29">
        <f t="shared" si="10"/>
        <v>69</v>
      </c>
      <c r="AP13" s="29">
        <f t="shared" si="10"/>
        <v>69</v>
      </c>
      <c r="AQ13" s="29">
        <f t="shared" si="10"/>
        <v>69</v>
      </c>
      <c r="AR13" s="29">
        <f t="shared" si="10"/>
        <v>69</v>
      </c>
      <c r="AS13" s="29">
        <f t="shared" si="10"/>
        <v>69</v>
      </c>
    </row>
    <row r="14" spans="1:45" x14ac:dyDescent="0.35">
      <c r="A14" s="38" t="s">
        <v>51</v>
      </c>
      <c r="B14" s="24" t="s">
        <v>12</v>
      </c>
      <c r="C14" s="5" t="s">
        <v>13</v>
      </c>
      <c r="D14" s="7">
        <v>74</v>
      </c>
      <c r="E14" s="7">
        <v>74</v>
      </c>
      <c r="F14" s="7">
        <v>74</v>
      </c>
      <c r="G14" s="7">
        <v>74</v>
      </c>
      <c r="H14" s="7">
        <v>74</v>
      </c>
      <c r="I14" s="7">
        <v>74</v>
      </c>
      <c r="J14" s="7">
        <v>74</v>
      </c>
      <c r="K14" s="7">
        <v>74</v>
      </c>
      <c r="L14" s="7">
        <v>74</v>
      </c>
      <c r="M14" s="7">
        <v>74</v>
      </c>
      <c r="N14" s="7">
        <v>74</v>
      </c>
      <c r="O14" s="7">
        <v>74</v>
      </c>
      <c r="P14" s="7">
        <v>74</v>
      </c>
      <c r="Q14" s="7">
        <v>74</v>
      </c>
      <c r="R14" s="7">
        <v>74</v>
      </c>
      <c r="S14" s="7">
        <v>74</v>
      </c>
      <c r="T14" s="7">
        <v>74</v>
      </c>
      <c r="U14" s="7">
        <v>74</v>
      </c>
      <c r="V14" s="7">
        <v>74</v>
      </c>
      <c r="W14" s="7">
        <v>74</v>
      </c>
      <c r="X14" s="7">
        <v>74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>
        <f t="shared" ref="AJ14:AS14" si="11">AI14</f>
        <v>0</v>
      </c>
      <c r="AK14">
        <f t="shared" si="11"/>
        <v>0</v>
      </c>
      <c r="AL14">
        <f t="shared" si="11"/>
        <v>0</v>
      </c>
      <c r="AM14">
        <f t="shared" si="11"/>
        <v>0</v>
      </c>
      <c r="AN14">
        <f t="shared" si="11"/>
        <v>0</v>
      </c>
      <c r="AO14">
        <f t="shared" si="11"/>
        <v>0</v>
      </c>
      <c r="AP14">
        <f t="shared" si="11"/>
        <v>0</v>
      </c>
      <c r="AQ14">
        <f t="shared" si="11"/>
        <v>0</v>
      </c>
      <c r="AR14">
        <f t="shared" si="11"/>
        <v>0</v>
      </c>
      <c r="AS14">
        <f t="shared" si="11"/>
        <v>0</v>
      </c>
    </row>
    <row r="15" spans="1:45" x14ac:dyDescent="0.35">
      <c r="A15" s="38" t="str">
        <f t="shared" ref="A15:A25" si="12">A14</f>
        <v>NO_GAS_LKG</v>
      </c>
      <c r="B15" s="25" t="s">
        <v>14</v>
      </c>
      <c r="C15" s="10" t="str">
        <f t="shared" ref="C15:C25" si="13">C14</f>
        <v>kgCO2/GJ</v>
      </c>
      <c r="D15" s="12">
        <v>74</v>
      </c>
      <c r="E15" s="12">
        <v>74</v>
      </c>
      <c r="F15" s="12">
        <v>74</v>
      </c>
      <c r="G15" s="12">
        <v>74</v>
      </c>
      <c r="H15" s="12">
        <v>74</v>
      </c>
      <c r="I15" s="12">
        <v>74</v>
      </c>
      <c r="J15" s="12">
        <v>74</v>
      </c>
      <c r="K15" s="12">
        <v>74</v>
      </c>
      <c r="L15" s="12">
        <v>74</v>
      </c>
      <c r="M15" s="12">
        <v>74</v>
      </c>
      <c r="N15" s="12">
        <v>74</v>
      </c>
      <c r="O15" s="12">
        <v>74</v>
      </c>
      <c r="P15" s="12">
        <v>74</v>
      </c>
      <c r="Q15" s="12">
        <v>74</v>
      </c>
      <c r="R15" s="12">
        <v>74</v>
      </c>
      <c r="S15" s="12">
        <v>74</v>
      </c>
      <c r="T15" s="12">
        <v>74</v>
      </c>
      <c r="U15" s="12">
        <v>74</v>
      </c>
      <c r="V15" s="12">
        <v>74</v>
      </c>
      <c r="W15" s="12">
        <v>74</v>
      </c>
      <c r="X15" s="12">
        <v>74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>
        <f t="shared" ref="AJ15:AS15" si="14">AI15</f>
        <v>0</v>
      </c>
      <c r="AK15">
        <f t="shared" si="14"/>
        <v>0</v>
      </c>
      <c r="AL15">
        <f t="shared" si="14"/>
        <v>0</v>
      </c>
      <c r="AM15">
        <f t="shared" si="14"/>
        <v>0</v>
      </c>
      <c r="AN15">
        <f t="shared" si="14"/>
        <v>0</v>
      </c>
      <c r="AO15">
        <f t="shared" si="14"/>
        <v>0</v>
      </c>
      <c r="AP15">
        <f t="shared" si="14"/>
        <v>0</v>
      </c>
      <c r="AQ15">
        <f t="shared" si="14"/>
        <v>0</v>
      </c>
      <c r="AR15">
        <f t="shared" si="14"/>
        <v>0</v>
      </c>
      <c r="AS15">
        <f t="shared" si="14"/>
        <v>0</v>
      </c>
    </row>
    <row r="16" spans="1:45" x14ac:dyDescent="0.35">
      <c r="A16" s="38" t="str">
        <f t="shared" si="12"/>
        <v>NO_GAS_LKG</v>
      </c>
      <c r="B16" s="24" t="s">
        <v>15</v>
      </c>
      <c r="C16" s="5" t="str">
        <f t="shared" si="13"/>
        <v>kgCO2/GJ</v>
      </c>
      <c r="D16" s="7">
        <v>74</v>
      </c>
      <c r="E16" s="7">
        <v>74</v>
      </c>
      <c r="F16" s="7">
        <v>74</v>
      </c>
      <c r="G16" s="7">
        <v>74</v>
      </c>
      <c r="H16" s="7">
        <v>74</v>
      </c>
      <c r="I16" s="7">
        <v>74</v>
      </c>
      <c r="J16" s="7">
        <v>74</v>
      </c>
      <c r="K16" s="7">
        <v>74</v>
      </c>
      <c r="L16" s="7">
        <v>74</v>
      </c>
      <c r="M16" s="7">
        <v>74</v>
      </c>
      <c r="N16" s="7">
        <v>74</v>
      </c>
      <c r="O16" s="7">
        <v>74</v>
      </c>
      <c r="P16" s="7">
        <v>74</v>
      </c>
      <c r="Q16" s="7">
        <v>74</v>
      </c>
      <c r="R16" s="7">
        <v>74</v>
      </c>
      <c r="S16" s="7">
        <v>74</v>
      </c>
      <c r="T16" s="7">
        <v>74</v>
      </c>
      <c r="U16" s="7">
        <v>74</v>
      </c>
      <c r="V16" s="7">
        <v>74</v>
      </c>
      <c r="W16" s="7">
        <v>74</v>
      </c>
      <c r="X16" s="7">
        <v>74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>
        <f t="shared" ref="AJ16:AS16" si="15">AI16</f>
        <v>0</v>
      </c>
      <c r="AK16">
        <f t="shared" si="15"/>
        <v>0</v>
      </c>
      <c r="AL16">
        <f t="shared" si="15"/>
        <v>0</v>
      </c>
      <c r="AM16">
        <f t="shared" si="15"/>
        <v>0</v>
      </c>
      <c r="AN16">
        <f t="shared" si="15"/>
        <v>0</v>
      </c>
      <c r="AO16">
        <f t="shared" si="15"/>
        <v>0</v>
      </c>
      <c r="AP16">
        <f t="shared" si="15"/>
        <v>0</v>
      </c>
      <c r="AQ16">
        <f t="shared" si="15"/>
        <v>0</v>
      </c>
      <c r="AR16">
        <f t="shared" si="15"/>
        <v>0</v>
      </c>
      <c r="AS16">
        <f t="shared" si="15"/>
        <v>0</v>
      </c>
    </row>
    <row r="17" spans="1:45" x14ac:dyDescent="0.35">
      <c r="A17" s="38" t="str">
        <f t="shared" si="12"/>
        <v>NO_GAS_LKG</v>
      </c>
      <c r="B17" s="25" t="s">
        <v>16</v>
      </c>
      <c r="C17" s="10" t="str">
        <f t="shared" si="13"/>
        <v>kgCO2/GJ</v>
      </c>
      <c r="D17" s="12">
        <v>74</v>
      </c>
      <c r="E17" s="12">
        <v>74</v>
      </c>
      <c r="F17" s="12">
        <v>74</v>
      </c>
      <c r="G17" s="12">
        <v>74</v>
      </c>
      <c r="H17" s="12">
        <v>74</v>
      </c>
      <c r="I17" s="12">
        <v>74</v>
      </c>
      <c r="J17" s="12">
        <v>74</v>
      </c>
      <c r="K17" s="12">
        <v>74</v>
      </c>
      <c r="L17" s="12">
        <v>74</v>
      </c>
      <c r="M17" s="12">
        <v>74</v>
      </c>
      <c r="N17" s="12">
        <v>74</v>
      </c>
      <c r="O17" s="12">
        <v>74</v>
      </c>
      <c r="P17" s="12">
        <v>74</v>
      </c>
      <c r="Q17" s="12">
        <v>74</v>
      </c>
      <c r="R17" s="12">
        <v>74</v>
      </c>
      <c r="S17" s="12">
        <v>74</v>
      </c>
      <c r="T17" s="12">
        <v>74</v>
      </c>
      <c r="U17" s="12">
        <v>74</v>
      </c>
      <c r="V17" s="12">
        <v>74</v>
      </c>
      <c r="W17" s="12">
        <v>74</v>
      </c>
      <c r="X17" s="12">
        <v>74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>
        <f t="shared" ref="AJ17:AS17" si="16">AI17</f>
        <v>0</v>
      </c>
      <c r="AK17">
        <f t="shared" si="16"/>
        <v>0</v>
      </c>
      <c r="AL17">
        <f t="shared" si="16"/>
        <v>0</v>
      </c>
      <c r="AM17">
        <f t="shared" si="16"/>
        <v>0</v>
      </c>
      <c r="AN17">
        <f t="shared" si="16"/>
        <v>0</v>
      </c>
      <c r="AO17">
        <f t="shared" si="16"/>
        <v>0</v>
      </c>
      <c r="AP17">
        <f t="shared" si="16"/>
        <v>0</v>
      </c>
      <c r="AQ17">
        <f t="shared" si="16"/>
        <v>0</v>
      </c>
      <c r="AR17">
        <f t="shared" si="16"/>
        <v>0</v>
      </c>
      <c r="AS17">
        <f t="shared" si="16"/>
        <v>0</v>
      </c>
    </row>
    <row r="18" spans="1:45" x14ac:dyDescent="0.35">
      <c r="A18" s="38" t="str">
        <f t="shared" si="12"/>
        <v>NO_GAS_LKG</v>
      </c>
      <c r="B18" s="24" t="s">
        <v>17</v>
      </c>
      <c r="C18" s="5" t="str">
        <f t="shared" si="13"/>
        <v>kgCO2/GJ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>
        <f t="shared" ref="AJ18:AS18" si="17">AI18</f>
        <v>0</v>
      </c>
      <c r="AK18">
        <f t="shared" si="17"/>
        <v>0</v>
      </c>
      <c r="AL18">
        <f t="shared" si="17"/>
        <v>0</v>
      </c>
      <c r="AM18">
        <f t="shared" si="17"/>
        <v>0</v>
      </c>
      <c r="AN18">
        <f t="shared" si="17"/>
        <v>0</v>
      </c>
      <c r="AO18">
        <f t="shared" si="17"/>
        <v>0</v>
      </c>
      <c r="AP18">
        <f t="shared" si="17"/>
        <v>0</v>
      </c>
      <c r="AQ18">
        <f t="shared" si="17"/>
        <v>0</v>
      </c>
      <c r="AR18">
        <f t="shared" si="17"/>
        <v>0</v>
      </c>
      <c r="AS18">
        <f t="shared" si="17"/>
        <v>0</v>
      </c>
    </row>
    <row r="19" spans="1:45" x14ac:dyDescent="0.35">
      <c r="A19" s="38" t="str">
        <f t="shared" si="12"/>
        <v>NO_GAS_LKG</v>
      </c>
      <c r="B19" s="25" t="s">
        <v>18</v>
      </c>
      <c r="C19" s="10" t="str">
        <f t="shared" si="13"/>
        <v>kgCO2/GJ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>
        <f t="shared" ref="AJ19:AS19" si="18">AI19</f>
        <v>0</v>
      </c>
      <c r="AK19">
        <f t="shared" si="18"/>
        <v>0</v>
      </c>
      <c r="AL19">
        <f t="shared" si="18"/>
        <v>0</v>
      </c>
      <c r="AM19">
        <f t="shared" si="18"/>
        <v>0</v>
      </c>
      <c r="AN19">
        <f t="shared" si="18"/>
        <v>0</v>
      </c>
      <c r="AO19">
        <f t="shared" si="18"/>
        <v>0</v>
      </c>
      <c r="AP19">
        <f t="shared" si="18"/>
        <v>0</v>
      </c>
      <c r="AQ19">
        <f t="shared" si="18"/>
        <v>0</v>
      </c>
      <c r="AR19">
        <f t="shared" si="18"/>
        <v>0</v>
      </c>
      <c r="AS19">
        <f t="shared" si="18"/>
        <v>0</v>
      </c>
    </row>
    <row r="20" spans="1:45" x14ac:dyDescent="0.35">
      <c r="A20" s="38" t="str">
        <f t="shared" si="12"/>
        <v>NO_GAS_LKG</v>
      </c>
      <c r="B20" s="24" t="s">
        <v>19</v>
      </c>
      <c r="C20" s="5" t="str">
        <f t="shared" si="13"/>
        <v>kgCO2/GJ</v>
      </c>
      <c r="D20" s="7">
        <v>74</v>
      </c>
      <c r="E20" s="7">
        <v>74</v>
      </c>
      <c r="F20" s="7">
        <v>74</v>
      </c>
      <c r="G20" s="7">
        <v>74</v>
      </c>
      <c r="H20" s="7">
        <v>74</v>
      </c>
      <c r="I20" s="7">
        <v>74</v>
      </c>
      <c r="J20" s="7">
        <v>74</v>
      </c>
      <c r="K20" s="7">
        <v>74</v>
      </c>
      <c r="L20" s="7">
        <v>74</v>
      </c>
      <c r="M20" s="7">
        <v>74</v>
      </c>
      <c r="N20" s="7">
        <v>74</v>
      </c>
      <c r="O20" s="7">
        <v>74</v>
      </c>
      <c r="P20" s="7">
        <v>74</v>
      </c>
      <c r="Q20" s="7">
        <v>74</v>
      </c>
      <c r="R20" s="7">
        <v>74</v>
      </c>
      <c r="S20" s="7">
        <v>74</v>
      </c>
      <c r="T20" s="7">
        <v>74</v>
      </c>
      <c r="U20" s="7">
        <v>74</v>
      </c>
      <c r="V20" s="7">
        <v>74</v>
      </c>
      <c r="W20" s="7">
        <v>74</v>
      </c>
      <c r="X20" s="7">
        <v>74</v>
      </c>
      <c r="Y20" s="7">
        <v>74</v>
      </c>
      <c r="Z20" s="7">
        <v>74</v>
      </c>
      <c r="AA20" s="7">
        <v>74</v>
      </c>
      <c r="AB20" s="7">
        <v>74</v>
      </c>
      <c r="AC20" s="7">
        <v>74</v>
      </c>
      <c r="AD20" s="7">
        <v>74</v>
      </c>
      <c r="AE20" s="7">
        <v>74</v>
      </c>
      <c r="AF20" s="7">
        <v>74</v>
      </c>
      <c r="AG20" s="7">
        <v>74</v>
      </c>
      <c r="AH20" s="7">
        <v>74</v>
      </c>
      <c r="AI20" s="7">
        <v>74</v>
      </c>
      <c r="AJ20">
        <f t="shared" ref="AJ20:AS20" si="19">AI20</f>
        <v>74</v>
      </c>
      <c r="AK20">
        <f t="shared" si="19"/>
        <v>74</v>
      </c>
      <c r="AL20">
        <f t="shared" si="19"/>
        <v>74</v>
      </c>
      <c r="AM20">
        <f t="shared" si="19"/>
        <v>74</v>
      </c>
      <c r="AN20">
        <f t="shared" si="19"/>
        <v>74</v>
      </c>
      <c r="AO20">
        <f t="shared" si="19"/>
        <v>74</v>
      </c>
      <c r="AP20">
        <f t="shared" si="19"/>
        <v>74</v>
      </c>
      <c r="AQ20">
        <f t="shared" si="19"/>
        <v>74</v>
      </c>
      <c r="AR20">
        <f t="shared" si="19"/>
        <v>74</v>
      </c>
      <c r="AS20">
        <f t="shared" si="19"/>
        <v>74</v>
      </c>
    </row>
    <row r="21" spans="1:45" x14ac:dyDescent="0.35">
      <c r="A21" s="38" t="str">
        <f t="shared" si="12"/>
        <v>NO_GAS_LKG</v>
      </c>
      <c r="B21" s="25" t="s">
        <v>20</v>
      </c>
      <c r="C21" s="10" t="str">
        <f t="shared" si="13"/>
        <v>kgCO2/GJ</v>
      </c>
      <c r="D21" s="12">
        <v>74</v>
      </c>
      <c r="E21" s="12">
        <v>74</v>
      </c>
      <c r="F21" s="12">
        <v>74</v>
      </c>
      <c r="G21" s="12">
        <v>74</v>
      </c>
      <c r="H21" s="12">
        <v>74</v>
      </c>
      <c r="I21" s="12">
        <v>74</v>
      </c>
      <c r="J21" s="12">
        <v>74</v>
      </c>
      <c r="K21" s="12">
        <v>74</v>
      </c>
      <c r="L21" s="12">
        <v>74</v>
      </c>
      <c r="M21" s="12">
        <v>74</v>
      </c>
      <c r="N21" s="12">
        <v>74</v>
      </c>
      <c r="O21" s="12">
        <v>74</v>
      </c>
      <c r="P21" s="12">
        <v>74</v>
      </c>
      <c r="Q21" s="12">
        <v>74</v>
      </c>
      <c r="R21" s="12">
        <v>74</v>
      </c>
      <c r="S21" s="12">
        <v>74</v>
      </c>
      <c r="T21" s="12">
        <v>74</v>
      </c>
      <c r="U21" s="12">
        <v>74</v>
      </c>
      <c r="V21" s="12">
        <v>74</v>
      </c>
      <c r="W21" s="12">
        <v>74</v>
      </c>
      <c r="X21" s="12">
        <v>74</v>
      </c>
      <c r="Y21" s="12">
        <v>74</v>
      </c>
      <c r="Z21" s="12">
        <v>74</v>
      </c>
      <c r="AA21" s="12">
        <v>74</v>
      </c>
      <c r="AB21" s="12">
        <v>74</v>
      </c>
      <c r="AC21" s="12">
        <v>74</v>
      </c>
      <c r="AD21" s="12">
        <v>74</v>
      </c>
      <c r="AE21" s="12">
        <v>74</v>
      </c>
      <c r="AF21" s="12">
        <v>74</v>
      </c>
      <c r="AG21" s="12">
        <v>74</v>
      </c>
      <c r="AH21" s="12">
        <v>74</v>
      </c>
      <c r="AI21" s="12">
        <v>74</v>
      </c>
      <c r="AJ21">
        <f t="shared" ref="AJ21:AS21" si="20">AI21</f>
        <v>74</v>
      </c>
      <c r="AK21">
        <f t="shared" si="20"/>
        <v>74</v>
      </c>
      <c r="AL21">
        <f t="shared" si="20"/>
        <v>74</v>
      </c>
      <c r="AM21">
        <f t="shared" si="20"/>
        <v>74</v>
      </c>
      <c r="AN21">
        <f t="shared" si="20"/>
        <v>74</v>
      </c>
      <c r="AO21">
        <f t="shared" si="20"/>
        <v>74</v>
      </c>
      <c r="AP21">
        <f t="shared" si="20"/>
        <v>74</v>
      </c>
      <c r="AQ21">
        <f t="shared" si="20"/>
        <v>74</v>
      </c>
      <c r="AR21">
        <f t="shared" si="20"/>
        <v>74</v>
      </c>
      <c r="AS21">
        <f t="shared" si="20"/>
        <v>74</v>
      </c>
    </row>
    <row r="22" spans="1:45" x14ac:dyDescent="0.35">
      <c r="A22" s="38" t="str">
        <f t="shared" si="12"/>
        <v>NO_GAS_LKG</v>
      </c>
      <c r="B22" s="24" t="s">
        <v>21</v>
      </c>
      <c r="C22" s="5" t="str">
        <f t="shared" si="13"/>
        <v>kgCO2/GJ</v>
      </c>
      <c r="D22" s="7">
        <v>96</v>
      </c>
      <c r="E22" s="7">
        <v>96</v>
      </c>
      <c r="F22" s="7">
        <v>96</v>
      </c>
      <c r="G22" s="7">
        <v>96</v>
      </c>
      <c r="H22" s="7">
        <v>96</v>
      </c>
      <c r="I22" s="7">
        <v>96</v>
      </c>
      <c r="J22" s="7">
        <v>96</v>
      </c>
      <c r="K22" s="7">
        <v>96</v>
      </c>
      <c r="L22" s="7">
        <v>96</v>
      </c>
      <c r="M22" s="7">
        <v>96</v>
      </c>
      <c r="N22" s="7">
        <v>96</v>
      </c>
      <c r="O22" s="7">
        <v>96</v>
      </c>
      <c r="P22" s="7">
        <v>96</v>
      </c>
      <c r="Q22" s="7">
        <v>96</v>
      </c>
      <c r="R22" s="7">
        <v>96</v>
      </c>
      <c r="S22" s="7">
        <v>96</v>
      </c>
      <c r="T22" s="7">
        <v>96</v>
      </c>
      <c r="U22" s="7">
        <v>96</v>
      </c>
      <c r="V22" s="7">
        <v>96</v>
      </c>
      <c r="W22" s="7">
        <v>96</v>
      </c>
      <c r="X22" s="7">
        <v>96</v>
      </c>
      <c r="Y22" s="7">
        <v>96</v>
      </c>
      <c r="Z22" s="7">
        <v>96</v>
      </c>
      <c r="AA22" s="7">
        <v>96</v>
      </c>
      <c r="AB22" s="7">
        <v>96</v>
      </c>
      <c r="AC22" s="7">
        <v>96</v>
      </c>
      <c r="AD22" s="7">
        <v>96</v>
      </c>
      <c r="AE22" s="7">
        <v>96</v>
      </c>
      <c r="AF22" s="7">
        <v>96</v>
      </c>
      <c r="AG22" s="7">
        <v>96</v>
      </c>
      <c r="AH22" s="7">
        <v>96</v>
      </c>
      <c r="AI22" s="7">
        <v>96</v>
      </c>
      <c r="AJ22">
        <f t="shared" ref="AJ22:AS22" si="21">AI22</f>
        <v>96</v>
      </c>
      <c r="AK22">
        <f t="shared" si="21"/>
        <v>96</v>
      </c>
      <c r="AL22">
        <f t="shared" si="21"/>
        <v>96</v>
      </c>
      <c r="AM22">
        <f t="shared" si="21"/>
        <v>96</v>
      </c>
      <c r="AN22">
        <f t="shared" si="21"/>
        <v>96</v>
      </c>
      <c r="AO22">
        <f t="shared" si="21"/>
        <v>96</v>
      </c>
      <c r="AP22">
        <f t="shared" si="21"/>
        <v>96</v>
      </c>
      <c r="AQ22">
        <f t="shared" si="21"/>
        <v>96</v>
      </c>
      <c r="AR22">
        <f t="shared" si="21"/>
        <v>96</v>
      </c>
      <c r="AS22">
        <f t="shared" si="21"/>
        <v>96</v>
      </c>
    </row>
    <row r="23" spans="1:45" x14ac:dyDescent="0.35">
      <c r="A23" s="38" t="str">
        <f t="shared" si="12"/>
        <v>NO_GAS_LKG</v>
      </c>
      <c r="B23" s="25" t="s">
        <v>22</v>
      </c>
      <c r="C23" s="10" t="str">
        <f t="shared" si="13"/>
        <v>kgCO2/GJ</v>
      </c>
      <c r="D23" s="12">
        <v>96</v>
      </c>
      <c r="E23" s="12">
        <v>96</v>
      </c>
      <c r="F23" s="12">
        <v>96</v>
      </c>
      <c r="G23" s="12">
        <v>96</v>
      </c>
      <c r="H23" s="12">
        <v>96</v>
      </c>
      <c r="I23" s="12">
        <v>96</v>
      </c>
      <c r="J23" s="12">
        <v>96</v>
      </c>
      <c r="K23" s="12">
        <v>96</v>
      </c>
      <c r="L23" s="12">
        <v>96</v>
      </c>
      <c r="M23" s="12">
        <v>96</v>
      </c>
      <c r="N23" s="12">
        <v>96</v>
      </c>
      <c r="O23" s="12">
        <v>96</v>
      </c>
      <c r="P23" s="12">
        <v>96</v>
      </c>
      <c r="Q23" s="12">
        <v>96</v>
      </c>
      <c r="R23" s="12">
        <v>96</v>
      </c>
      <c r="S23" s="12">
        <v>96</v>
      </c>
      <c r="T23" s="12">
        <v>96</v>
      </c>
      <c r="U23" s="12">
        <v>96</v>
      </c>
      <c r="V23" s="12">
        <v>96</v>
      </c>
      <c r="W23" s="12">
        <v>96</v>
      </c>
      <c r="X23" s="12">
        <v>96</v>
      </c>
      <c r="Y23" s="12">
        <v>96</v>
      </c>
      <c r="Z23" s="12">
        <v>96</v>
      </c>
      <c r="AA23" s="12">
        <v>96</v>
      </c>
      <c r="AB23" s="12">
        <v>96</v>
      </c>
      <c r="AC23" s="12">
        <v>96</v>
      </c>
      <c r="AD23" s="12">
        <v>96</v>
      </c>
      <c r="AE23" s="12">
        <v>96</v>
      </c>
      <c r="AF23" s="12">
        <v>96</v>
      </c>
      <c r="AG23" s="12">
        <v>96</v>
      </c>
      <c r="AH23" s="12">
        <v>96</v>
      </c>
      <c r="AI23" s="12">
        <v>96</v>
      </c>
      <c r="AJ23">
        <f t="shared" ref="AJ23:AS23" si="22">AI23</f>
        <v>96</v>
      </c>
      <c r="AK23">
        <f t="shared" si="22"/>
        <v>96</v>
      </c>
      <c r="AL23">
        <f t="shared" si="22"/>
        <v>96</v>
      </c>
      <c r="AM23">
        <f t="shared" si="22"/>
        <v>96</v>
      </c>
      <c r="AN23">
        <f t="shared" si="22"/>
        <v>96</v>
      </c>
      <c r="AO23">
        <f t="shared" si="22"/>
        <v>96</v>
      </c>
      <c r="AP23">
        <f t="shared" si="22"/>
        <v>96</v>
      </c>
      <c r="AQ23">
        <f t="shared" si="22"/>
        <v>96</v>
      </c>
      <c r="AR23">
        <f t="shared" si="22"/>
        <v>96</v>
      </c>
      <c r="AS23">
        <f t="shared" si="22"/>
        <v>96</v>
      </c>
    </row>
    <row r="24" spans="1:45" x14ac:dyDescent="0.35">
      <c r="A24" s="38" t="str">
        <f t="shared" si="12"/>
        <v>NO_GAS_LKG</v>
      </c>
      <c r="B24" s="24" t="s">
        <v>23</v>
      </c>
      <c r="C24" s="5" t="str">
        <f t="shared" si="13"/>
        <v>kgCO2/GJ</v>
      </c>
      <c r="D24" s="7">
        <v>56.12</v>
      </c>
      <c r="E24" s="7">
        <v>56.12</v>
      </c>
      <c r="F24" s="7">
        <v>56.12</v>
      </c>
      <c r="G24" s="7">
        <v>56.12</v>
      </c>
      <c r="H24" s="7">
        <v>56.12</v>
      </c>
      <c r="I24" s="7">
        <v>56.12</v>
      </c>
      <c r="J24" s="7">
        <v>56.12</v>
      </c>
      <c r="K24" s="7">
        <v>56.12</v>
      </c>
      <c r="L24" s="7">
        <v>56.12</v>
      </c>
      <c r="M24" s="7">
        <v>56.12</v>
      </c>
      <c r="N24" s="7">
        <v>56.12</v>
      </c>
      <c r="O24" s="7">
        <v>56.12</v>
      </c>
      <c r="P24" s="7">
        <v>56.12</v>
      </c>
      <c r="Q24" s="7">
        <v>56.12</v>
      </c>
      <c r="R24" s="7">
        <v>56.12</v>
      </c>
      <c r="S24" s="7">
        <v>56.12</v>
      </c>
      <c r="T24" s="7">
        <v>56.12</v>
      </c>
      <c r="U24" s="7">
        <v>56.12</v>
      </c>
      <c r="V24" s="7">
        <v>56.12</v>
      </c>
      <c r="W24" s="7">
        <v>56.12</v>
      </c>
      <c r="X24" s="7">
        <v>56.12</v>
      </c>
      <c r="Y24" s="7">
        <v>56.12</v>
      </c>
      <c r="Z24" s="7">
        <v>56.12</v>
      </c>
      <c r="AA24" s="7">
        <v>56.12</v>
      </c>
      <c r="AB24" s="7">
        <v>56.12</v>
      </c>
      <c r="AC24" s="7">
        <v>56.12</v>
      </c>
      <c r="AD24" s="7">
        <v>56.12</v>
      </c>
      <c r="AE24" s="7">
        <v>56.12</v>
      </c>
      <c r="AF24" s="7">
        <v>56.12</v>
      </c>
      <c r="AG24" s="7">
        <v>56.12</v>
      </c>
      <c r="AH24" s="7">
        <v>56.12</v>
      </c>
      <c r="AI24" s="7">
        <v>56.12</v>
      </c>
      <c r="AJ24" s="7">
        <v>56.12</v>
      </c>
      <c r="AK24" s="7">
        <v>56.12</v>
      </c>
      <c r="AL24" s="7">
        <v>56.12</v>
      </c>
      <c r="AM24" s="7">
        <v>56.12</v>
      </c>
      <c r="AN24" s="7">
        <v>56.12</v>
      </c>
      <c r="AO24" s="7">
        <v>56.12</v>
      </c>
      <c r="AP24" s="7">
        <v>56.12</v>
      </c>
      <c r="AQ24" s="7">
        <v>56.12</v>
      </c>
      <c r="AR24" s="7">
        <v>56.12</v>
      </c>
      <c r="AS24" s="7">
        <v>56.12</v>
      </c>
    </row>
    <row r="25" spans="1:45" x14ac:dyDescent="0.35">
      <c r="A25" s="38" t="str">
        <f t="shared" si="12"/>
        <v>NO_GAS_LKG</v>
      </c>
      <c r="B25" s="26" t="s">
        <v>24</v>
      </c>
      <c r="C25" s="27" t="str">
        <f t="shared" si="13"/>
        <v>kgCO2/GJ</v>
      </c>
      <c r="D25" s="28">
        <v>56.12</v>
      </c>
      <c r="E25" s="28">
        <v>56.12</v>
      </c>
      <c r="F25" s="28">
        <v>56.12</v>
      </c>
      <c r="G25" s="28">
        <v>56.12</v>
      </c>
      <c r="H25" s="28">
        <v>56.12</v>
      </c>
      <c r="I25" s="28">
        <v>56.12</v>
      </c>
      <c r="J25" s="28">
        <v>56.12</v>
      </c>
      <c r="K25" s="28">
        <v>56.12</v>
      </c>
      <c r="L25" s="28">
        <v>56.12</v>
      </c>
      <c r="M25" s="28">
        <v>56.12</v>
      </c>
      <c r="N25" s="28">
        <v>56.12</v>
      </c>
      <c r="O25" s="28">
        <v>56.12</v>
      </c>
      <c r="P25" s="28">
        <v>56.12</v>
      </c>
      <c r="Q25" s="28">
        <v>56.12</v>
      </c>
      <c r="R25" s="28">
        <v>56.12</v>
      </c>
      <c r="S25" s="28">
        <v>56.12</v>
      </c>
      <c r="T25" s="28">
        <v>56.12</v>
      </c>
      <c r="U25" s="28">
        <v>56.12</v>
      </c>
      <c r="V25" s="28">
        <v>56.12</v>
      </c>
      <c r="W25" s="28">
        <v>56.12</v>
      </c>
      <c r="X25" s="28">
        <v>56.12</v>
      </c>
      <c r="Y25" s="28">
        <v>56.12</v>
      </c>
      <c r="Z25" s="28">
        <v>56.12</v>
      </c>
      <c r="AA25" s="28">
        <v>56.12</v>
      </c>
      <c r="AB25" s="28">
        <v>56.12</v>
      </c>
      <c r="AC25" s="28">
        <v>56.12</v>
      </c>
      <c r="AD25" s="28">
        <v>56.12</v>
      </c>
      <c r="AE25" s="28">
        <v>56.12</v>
      </c>
      <c r="AF25" s="28">
        <v>56.12</v>
      </c>
      <c r="AG25" s="28">
        <v>56.12</v>
      </c>
      <c r="AH25" s="28">
        <v>56.12</v>
      </c>
      <c r="AI25" s="28">
        <v>56.12</v>
      </c>
      <c r="AJ25" s="28">
        <v>56.12</v>
      </c>
      <c r="AK25" s="28">
        <v>56.12</v>
      </c>
      <c r="AL25" s="28">
        <v>56.12</v>
      </c>
      <c r="AM25" s="28">
        <v>56.12</v>
      </c>
      <c r="AN25" s="28">
        <v>56.12</v>
      </c>
      <c r="AO25" s="28">
        <v>56.12</v>
      </c>
      <c r="AP25" s="28">
        <v>56.12</v>
      </c>
      <c r="AQ25" s="28">
        <v>56.12</v>
      </c>
      <c r="AR25" s="28">
        <v>56.12</v>
      </c>
      <c r="AS25" s="28">
        <v>56.12</v>
      </c>
    </row>
    <row r="26" spans="1:45" x14ac:dyDescent="0.35">
      <c r="A26" s="37" t="s">
        <v>49</v>
      </c>
      <c r="B26" s="24" t="s">
        <v>12</v>
      </c>
      <c r="C26" s="5" t="s">
        <v>13</v>
      </c>
      <c r="D26" s="7">
        <v>74</v>
      </c>
      <c r="E26" s="7">
        <v>74</v>
      </c>
      <c r="F26" s="7">
        <v>74</v>
      </c>
      <c r="G26" s="7">
        <v>74</v>
      </c>
      <c r="H26" s="7">
        <v>74</v>
      </c>
      <c r="I26" s="7">
        <v>74</v>
      </c>
      <c r="J26" s="7">
        <v>74</v>
      </c>
      <c r="K26" s="7">
        <v>74</v>
      </c>
      <c r="L26" s="7">
        <v>74</v>
      </c>
      <c r="M26" s="7">
        <v>74</v>
      </c>
      <c r="N26" s="7">
        <v>74</v>
      </c>
      <c r="O26" s="7">
        <v>74</v>
      </c>
      <c r="P26" s="7">
        <v>74</v>
      </c>
      <c r="Q26" s="7">
        <v>74</v>
      </c>
      <c r="R26" s="7">
        <v>74</v>
      </c>
      <c r="S26" s="7">
        <v>74</v>
      </c>
      <c r="T26" s="7">
        <v>74</v>
      </c>
      <c r="U26" s="7">
        <v>74</v>
      </c>
      <c r="V26" s="7">
        <v>74</v>
      </c>
      <c r="W26" s="7">
        <v>74</v>
      </c>
      <c r="X26" s="7">
        <v>74</v>
      </c>
      <c r="Y26" s="7">
        <v>74</v>
      </c>
      <c r="Z26" s="7">
        <v>74</v>
      </c>
      <c r="AA26" s="7">
        <v>74</v>
      </c>
      <c r="AB26" s="7">
        <v>74</v>
      </c>
      <c r="AC26" s="7">
        <v>74</v>
      </c>
      <c r="AD26" s="7">
        <v>74</v>
      </c>
      <c r="AE26" s="7">
        <v>74</v>
      </c>
      <c r="AF26" s="7">
        <v>74</v>
      </c>
      <c r="AG26" s="7">
        <v>74</v>
      </c>
      <c r="AH26" s="7">
        <v>74</v>
      </c>
      <c r="AI26" s="7">
        <v>74</v>
      </c>
      <c r="AJ26" s="7">
        <v>74</v>
      </c>
      <c r="AK26" s="7">
        <v>74</v>
      </c>
      <c r="AL26" s="7">
        <v>74</v>
      </c>
      <c r="AM26" s="7">
        <v>74</v>
      </c>
      <c r="AN26" s="7">
        <v>74</v>
      </c>
      <c r="AO26" s="7">
        <v>74</v>
      </c>
      <c r="AP26" s="7">
        <v>74</v>
      </c>
      <c r="AQ26" s="7">
        <v>74</v>
      </c>
      <c r="AR26" s="7">
        <v>74</v>
      </c>
      <c r="AS26" s="7">
        <v>74</v>
      </c>
    </row>
    <row r="27" spans="1:45" x14ac:dyDescent="0.35">
      <c r="A27" s="37" t="str">
        <f t="shared" ref="A27:A37" si="23">A26</f>
        <v>NO_CLEAN_DIESEL</v>
      </c>
      <c r="B27" s="25" t="s">
        <v>14</v>
      </c>
      <c r="C27" s="10" t="str">
        <f t="shared" ref="C27:C37" si="24">C26</f>
        <v>kgCO2/GJ</v>
      </c>
      <c r="D27" s="12">
        <v>74</v>
      </c>
      <c r="E27" s="12">
        <v>74</v>
      </c>
      <c r="F27" s="12">
        <v>74</v>
      </c>
      <c r="G27" s="12">
        <v>74</v>
      </c>
      <c r="H27" s="12">
        <v>74</v>
      </c>
      <c r="I27" s="12">
        <v>74</v>
      </c>
      <c r="J27" s="12">
        <v>74</v>
      </c>
      <c r="K27" s="12">
        <v>74</v>
      </c>
      <c r="L27" s="12">
        <v>74</v>
      </c>
      <c r="M27" s="12">
        <v>74</v>
      </c>
      <c r="N27" s="12">
        <v>74</v>
      </c>
      <c r="O27" s="12">
        <v>74</v>
      </c>
      <c r="P27" s="12">
        <v>74</v>
      </c>
      <c r="Q27" s="12">
        <v>74</v>
      </c>
      <c r="R27" s="12">
        <v>74</v>
      </c>
      <c r="S27" s="12">
        <v>74</v>
      </c>
      <c r="T27" s="12">
        <v>74</v>
      </c>
      <c r="U27" s="12">
        <v>74</v>
      </c>
      <c r="V27" s="12">
        <v>74</v>
      </c>
      <c r="W27" s="12">
        <v>74</v>
      </c>
      <c r="X27" s="12">
        <v>74</v>
      </c>
      <c r="Y27" s="12">
        <v>74</v>
      </c>
      <c r="Z27" s="12">
        <v>74</v>
      </c>
      <c r="AA27" s="12">
        <v>74</v>
      </c>
      <c r="AB27" s="12">
        <v>74</v>
      </c>
      <c r="AC27" s="12">
        <v>74</v>
      </c>
      <c r="AD27" s="12">
        <v>74</v>
      </c>
      <c r="AE27" s="12">
        <v>74</v>
      </c>
      <c r="AF27" s="12">
        <v>74</v>
      </c>
      <c r="AG27" s="12">
        <v>74</v>
      </c>
      <c r="AH27" s="12">
        <v>74</v>
      </c>
      <c r="AI27" s="12">
        <v>74</v>
      </c>
      <c r="AJ27" s="12">
        <v>74</v>
      </c>
      <c r="AK27" s="12">
        <v>74</v>
      </c>
      <c r="AL27" s="12">
        <v>74</v>
      </c>
      <c r="AM27" s="12">
        <v>74</v>
      </c>
      <c r="AN27" s="12">
        <v>74</v>
      </c>
      <c r="AO27" s="12">
        <v>74</v>
      </c>
      <c r="AP27" s="12">
        <v>74</v>
      </c>
      <c r="AQ27" s="12">
        <v>74</v>
      </c>
      <c r="AR27" s="12">
        <v>74</v>
      </c>
      <c r="AS27" s="12">
        <v>74</v>
      </c>
    </row>
    <row r="28" spans="1:45" x14ac:dyDescent="0.35">
      <c r="A28" s="37" t="str">
        <f t="shared" si="23"/>
        <v>NO_CLEAN_DIESEL</v>
      </c>
      <c r="B28" s="24" t="s">
        <v>15</v>
      </c>
      <c r="C28" s="5" t="str">
        <f t="shared" si="24"/>
        <v>kgCO2/GJ</v>
      </c>
      <c r="D28" s="7">
        <v>74</v>
      </c>
      <c r="E28" s="7">
        <v>74</v>
      </c>
      <c r="F28" s="7">
        <v>74</v>
      </c>
      <c r="G28" s="7">
        <v>74</v>
      </c>
      <c r="H28" s="7">
        <v>74</v>
      </c>
      <c r="I28" s="7">
        <v>74</v>
      </c>
      <c r="J28" s="7">
        <v>74</v>
      </c>
      <c r="K28" s="7">
        <v>74</v>
      </c>
      <c r="L28" s="7">
        <v>74</v>
      </c>
      <c r="M28" s="7">
        <v>74</v>
      </c>
      <c r="N28" s="7">
        <v>74</v>
      </c>
      <c r="O28" s="7">
        <v>74</v>
      </c>
      <c r="P28" s="7">
        <v>74</v>
      </c>
      <c r="Q28" s="7">
        <v>74</v>
      </c>
      <c r="R28" s="7">
        <v>74</v>
      </c>
      <c r="S28" s="7">
        <v>74</v>
      </c>
      <c r="T28" s="7">
        <v>74</v>
      </c>
      <c r="U28" s="7">
        <v>74</v>
      </c>
      <c r="V28" s="7">
        <v>74</v>
      </c>
      <c r="W28" s="7">
        <v>74</v>
      </c>
      <c r="X28" s="7">
        <v>74</v>
      </c>
      <c r="Y28" s="7">
        <v>74</v>
      </c>
      <c r="Z28" s="7">
        <v>74</v>
      </c>
      <c r="AA28" s="7">
        <v>74</v>
      </c>
      <c r="AB28" s="7">
        <v>74</v>
      </c>
      <c r="AC28" s="7">
        <v>74</v>
      </c>
      <c r="AD28" s="7">
        <v>74</v>
      </c>
      <c r="AE28" s="7">
        <v>74</v>
      </c>
      <c r="AF28" s="7">
        <v>74</v>
      </c>
      <c r="AG28" s="7">
        <v>74</v>
      </c>
      <c r="AH28" s="7">
        <v>74</v>
      </c>
      <c r="AI28" s="7">
        <v>74</v>
      </c>
      <c r="AJ28" s="7">
        <v>74</v>
      </c>
      <c r="AK28" s="7">
        <v>74</v>
      </c>
      <c r="AL28" s="7">
        <v>74</v>
      </c>
      <c r="AM28" s="7">
        <v>74</v>
      </c>
      <c r="AN28" s="7">
        <v>74</v>
      </c>
      <c r="AO28" s="7">
        <v>74</v>
      </c>
      <c r="AP28" s="7">
        <v>74</v>
      </c>
      <c r="AQ28" s="7">
        <v>74</v>
      </c>
      <c r="AR28" s="7">
        <v>74</v>
      </c>
      <c r="AS28" s="7">
        <v>74</v>
      </c>
    </row>
    <row r="29" spans="1:45" x14ac:dyDescent="0.35">
      <c r="A29" s="37" t="str">
        <f t="shared" si="23"/>
        <v>NO_CLEAN_DIESEL</v>
      </c>
      <c r="B29" s="25" t="s">
        <v>16</v>
      </c>
      <c r="C29" s="10" t="str">
        <f t="shared" si="24"/>
        <v>kgCO2/GJ</v>
      </c>
      <c r="D29" s="12">
        <v>74</v>
      </c>
      <c r="E29" s="12">
        <v>74</v>
      </c>
      <c r="F29" s="12">
        <v>74</v>
      </c>
      <c r="G29" s="12">
        <v>74</v>
      </c>
      <c r="H29" s="12">
        <v>74</v>
      </c>
      <c r="I29" s="12">
        <v>74</v>
      </c>
      <c r="J29" s="12">
        <v>74</v>
      </c>
      <c r="K29" s="12">
        <v>74</v>
      </c>
      <c r="L29" s="12">
        <v>74</v>
      </c>
      <c r="M29" s="12">
        <v>74</v>
      </c>
      <c r="N29" s="12">
        <v>74</v>
      </c>
      <c r="O29" s="12">
        <v>74</v>
      </c>
      <c r="P29" s="12">
        <v>74</v>
      </c>
      <c r="Q29" s="12">
        <v>74</v>
      </c>
      <c r="R29" s="12">
        <v>74</v>
      </c>
      <c r="S29" s="12">
        <v>74</v>
      </c>
      <c r="T29" s="12">
        <v>74</v>
      </c>
      <c r="U29" s="12">
        <v>74</v>
      </c>
      <c r="V29" s="12">
        <v>74</v>
      </c>
      <c r="W29" s="12">
        <v>74</v>
      </c>
      <c r="X29" s="12">
        <v>74</v>
      </c>
      <c r="Y29" s="12">
        <v>74</v>
      </c>
      <c r="Z29" s="12">
        <v>74</v>
      </c>
      <c r="AA29" s="12">
        <v>74</v>
      </c>
      <c r="AB29" s="12">
        <v>74</v>
      </c>
      <c r="AC29" s="12">
        <v>74</v>
      </c>
      <c r="AD29" s="12">
        <v>74</v>
      </c>
      <c r="AE29" s="12">
        <v>74</v>
      </c>
      <c r="AF29" s="12">
        <v>74</v>
      </c>
      <c r="AG29" s="12">
        <v>74</v>
      </c>
      <c r="AH29" s="12">
        <v>74</v>
      </c>
      <c r="AI29" s="12">
        <v>74</v>
      </c>
      <c r="AJ29" s="12">
        <v>74</v>
      </c>
      <c r="AK29" s="12">
        <v>74</v>
      </c>
      <c r="AL29" s="12">
        <v>74</v>
      </c>
      <c r="AM29" s="12">
        <v>74</v>
      </c>
      <c r="AN29" s="12">
        <v>74</v>
      </c>
      <c r="AO29" s="12">
        <v>74</v>
      </c>
      <c r="AP29" s="12">
        <v>74</v>
      </c>
      <c r="AQ29" s="12">
        <v>74</v>
      </c>
      <c r="AR29" s="12">
        <v>74</v>
      </c>
      <c r="AS29" s="12">
        <v>74</v>
      </c>
    </row>
    <row r="30" spans="1:45" x14ac:dyDescent="0.35">
      <c r="A30" s="37" t="str">
        <f t="shared" si="23"/>
        <v>NO_CLEAN_DIESEL</v>
      </c>
      <c r="B30" s="24" t="s">
        <v>17</v>
      </c>
      <c r="C30" s="5" t="str">
        <f t="shared" si="24"/>
        <v>kgCO2/GJ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>
        <f t="shared" ref="AJ30:AS30" si="25">AI30</f>
        <v>0</v>
      </c>
      <c r="AK30">
        <f t="shared" si="25"/>
        <v>0</v>
      </c>
      <c r="AL30">
        <f t="shared" si="25"/>
        <v>0</v>
      </c>
      <c r="AM30">
        <f t="shared" si="25"/>
        <v>0</v>
      </c>
      <c r="AN30">
        <f t="shared" si="25"/>
        <v>0</v>
      </c>
      <c r="AO30">
        <f t="shared" si="25"/>
        <v>0</v>
      </c>
      <c r="AP30">
        <f t="shared" si="25"/>
        <v>0</v>
      </c>
      <c r="AQ30">
        <f t="shared" si="25"/>
        <v>0</v>
      </c>
      <c r="AR30">
        <f t="shared" si="25"/>
        <v>0</v>
      </c>
      <c r="AS30">
        <f t="shared" si="25"/>
        <v>0</v>
      </c>
    </row>
    <row r="31" spans="1:45" x14ac:dyDescent="0.35">
      <c r="A31" s="37" t="str">
        <f t="shared" si="23"/>
        <v>NO_CLEAN_DIESEL</v>
      </c>
      <c r="B31" s="25" t="s">
        <v>18</v>
      </c>
      <c r="C31" s="10" t="str">
        <f t="shared" si="24"/>
        <v>kgCO2/GJ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>
        <f t="shared" ref="AJ31:AS31" si="26">AI31</f>
        <v>0</v>
      </c>
      <c r="AK31">
        <f t="shared" si="26"/>
        <v>0</v>
      </c>
      <c r="AL31">
        <f t="shared" si="26"/>
        <v>0</v>
      </c>
      <c r="AM31">
        <f t="shared" si="26"/>
        <v>0</v>
      </c>
      <c r="AN31">
        <f t="shared" si="26"/>
        <v>0</v>
      </c>
      <c r="AO31">
        <f t="shared" si="26"/>
        <v>0</v>
      </c>
      <c r="AP31">
        <f t="shared" si="26"/>
        <v>0</v>
      </c>
      <c r="AQ31">
        <f t="shared" si="26"/>
        <v>0</v>
      </c>
      <c r="AR31">
        <f t="shared" si="26"/>
        <v>0</v>
      </c>
      <c r="AS31">
        <f t="shared" si="26"/>
        <v>0</v>
      </c>
    </row>
    <row r="32" spans="1:45" x14ac:dyDescent="0.35">
      <c r="A32" s="37" t="str">
        <f t="shared" si="23"/>
        <v>NO_CLEAN_DIESEL</v>
      </c>
      <c r="B32" s="24" t="s">
        <v>19</v>
      </c>
      <c r="C32" s="5" t="str">
        <f t="shared" si="24"/>
        <v>kgCO2/GJ</v>
      </c>
      <c r="D32" s="7">
        <v>74</v>
      </c>
      <c r="E32" s="7">
        <v>74</v>
      </c>
      <c r="F32" s="7">
        <v>74</v>
      </c>
      <c r="G32" s="7">
        <v>74</v>
      </c>
      <c r="H32" s="7">
        <v>74</v>
      </c>
      <c r="I32" s="7">
        <v>74</v>
      </c>
      <c r="J32" s="7">
        <v>74</v>
      </c>
      <c r="K32" s="7">
        <v>74</v>
      </c>
      <c r="L32" s="7">
        <v>74</v>
      </c>
      <c r="M32" s="7">
        <v>74</v>
      </c>
      <c r="N32" s="7">
        <v>74</v>
      </c>
      <c r="O32" s="7">
        <v>74</v>
      </c>
      <c r="P32" s="7">
        <v>74</v>
      </c>
      <c r="Q32" s="7">
        <v>74</v>
      </c>
      <c r="R32" s="7">
        <v>74</v>
      </c>
      <c r="S32" s="7">
        <v>74</v>
      </c>
      <c r="T32" s="7">
        <v>74</v>
      </c>
      <c r="U32" s="7">
        <v>74</v>
      </c>
      <c r="V32" s="7">
        <v>74</v>
      </c>
      <c r="W32" s="7">
        <v>74</v>
      </c>
      <c r="X32" s="7">
        <v>74</v>
      </c>
      <c r="Y32" s="7">
        <v>74</v>
      </c>
      <c r="Z32" s="7">
        <v>74</v>
      </c>
      <c r="AA32" s="7">
        <v>74</v>
      </c>
      <c r="AB32" s="7">
        <v>74</v>
      </c>
      <c r="AC32" s="7">
        <v>74</v>
      </c>
      <c r="AD32" s="7">
        <v>74</v>
      </c>
      <c r="AE32" s="7">
        <v>74</v>
      </c>
      <c r="AF32" s="7">
        <v>74</v>
      </c>
      <c r="AG32" s="7">
        <v>74</v>
      </c>
      <c r="AH32" s="7">
        <v>74</v>
      </c>
      <c r="AI32" s="7">
        <v>74</v>
      </c>
      <c r="AJ32">
        <f t="shared" ref="AJ32:AS32" si="27">AI32</f>
        <v>74</v>
      </c>
      <c r="AK32">
        <f t="shared" si="27"/>
        <v>74</v>
      </c>
      <c r="AL32">
        <f t="shared" si="27"/>
        <v>74</v>
      </c>
      <c r="AM32">
        <f t="shared" si="27"/>
        <v>74</v>
      </c>
      <c r="AN32">
        <f t="shared" si="27"/>
        <v>74</v>
      </c>
      <c r="AO32">
        <f t="shared" si="27"/>
        <v>74</v>
      </c>
      <c r="AP32">
        <f t="shared" si="27"/>
        <v>74</v>
      </c>
      <c r="AQ32">
        <f t="shared" si="27"/>
        <v>74</v>
      </c>
      <c r="AR32">
        <f t="shared" si="27"/>
        <v>74</v>
      </c>
      <c r="AS32">
        <f t="shared" si="27"/>
        <v>74</v>
      </c>
    </row>
    <row r="33" spans="1:45" x14ac:dyDescent="0.35">
      <c r="A33" s="37" t="str">
        <f t="shared" si="23"/>
        <v>NO_CLEAN_DIESEL</v>
      </c>
      <c r="B33" s="25" t="s">
        <v>20</v>
      </c>
      <c r="C33" s="10" t="str">
        <f t="shared" si="24"/>
        <v>kgCO2/GJ</v>
      </c>
      <c r="D33" s="12">
        <v>74</v>
      </c>
      <c r="E33" s="12">
        <v>74</v>
      </c>
      <c r="F33" s="12">
        <v>74</v>
      </c>
      <c r="G33" s="12">
        <v>74</v>
      </c>
      <c r="H33" s="12">
        <v>74</v>
      </c>
      <c r="I33" s="12">
        <v>74</v>
      </c>
      <c r="J33" s="12">
        <v>74</v>
      </c>
      <c r="K33" s="12">
        <v>74</v>
      </c>
      <c r="L33" s="12">
        <v>74</v>
      </c>
      <c r="M33" s="12">
        <v>74</v>
      </c>
      <c r="N33" s="12">
        <v>74</v>
      </c>
      <c r="O33" s="12">
        <v>74</v>
      </c>
      <c r="P33" s="12">
        <v>74</v>
      </c>
      <c r="Q33" s="12">
        <v>74</v>
      </c>
      <c r="R33" s="12">
        <v>74</v>
      </c>
      <c r="S33" s="12">
        <v>74</v>
      </c>
      <c r="T33" s="12">
        <v>74</v>
      </c>
      <c r="U33" s="12">
        <v>74</v>
      </c>
      <c r="V33" s="12">
        <v>74</v>
      </c>
      <c r="W33" s="12">
        <v>74</v>
      </c>
      <c r="X33" s="12">
        <v>74</v>
      </c>
      <c r="Y33" s="12">
        <v>74</v>
      </c>
      <c r="Z33" s="12">
        <v>74</v>
      </c>
      <c r="AA33" s="12">
        <v>74</v>
      </c>
      <c r="AB33" s="12">
        <v>74</v>
      </c>
      <c r="AC33" s="12">
        <v>74</v>
      </c>
      <c r="AD33" s="12">
        <v>74</v>
      </c>
      <c r="AE33" s="12">
        <v>74</v>
      </c>
      <c r="AF33" s="12">
        <v>74</v>
      </c>
      <c r="AG33" s="12">
        <v>74</v>
      </c>
      <c r="AH33" s="12">
        <v>74</v>
      </c>
      <c r="AI33" s="12">
        <v>74</v>
      </c>
      <c r="AJ33">
        <f t="shared" ref="AJ33:AS33" si="28">AI33</f>
        <v>74</v>
      </c>
      <c r="AK33">
        <f t="shared" si="28"/>
        <v>74</v>
      </c>
      <c r="AL33">
        <f t="shared" si="28"/>
        <v>74</v>
      </c>
      <c r="AM33">
        <f t="shared" si="28"/>
        <v>74</v>
      </c>
      <c r="AN33">
        <f t="shared" si="28"/>
        <v>74</v>
      </c>
      <c r="AO33">
        <f t="shared" si="28"/>
        <v>74</v>
      </c>
      <c r="AP33">
        <f t="shared" si="28"/>
        <v>74</v>
      </c>
      <c r="AQ33">
        <f t="shared" si="28"/>
        <v>74</v>
      </c>
      <c r="AR33">
        <f t="shared" si="28"/>
        <v>74</v>
      </c>
      <c r="AS33">
        <f t="shared" si="28"/>
        <v>74</v>
      </c>
    </row>
    <row r="34" spans="1:45" x14ac:dyDescent="0.35">
      <c r="A34" s="37" t="str">
        <f t="shared" si="23"/>
        <v>NO_CLEAN_DIESEL</v>
      </c>
      <c r="B34" s="24" t="s">
        <v>21</v>
      </c>
      <c r="C34" s="5" t="str">
        <f t="shared" si="24"/>
        <v>kgCO2/GJ</v>
      </c>
      <c r="D34" s="7">
        <v>96</v>
      </c>
      <c r="E34" s="7">
        <v>96</v>
      </c>
      <c r="F34" s="7">
        <v>96</v>
      </c>
      <c r="G34" s="7">
        <v>96</v>
      </c>
      <c r="H34" s="7">
        <v>96</v>
      </c>
      <c r="I34" s="7">
        <v>96</v>
      </c>
      <c r="J34" s="7">
        <v>96</v>
      </c>
      <c r="K34" s="7">
        <v>96</v>
      </c>
      <c r="L34" s="7">
        <v>96</v>
      </c>
      <c r="M34" s="7">
        <v>96</v>
      </c>
      <c r="N34" s="7">
        <v>96</v>
      </c>
      <c r="O34" s="7">
        <v>96</v>
      </c>
      <c r="P34" s="7">
        <v>96</v>
      </c>
      <c r="Q34" s="7">
        <v>96</v>
      </c>
      <c r="R34" s="7">
        <v>96</v>
      </c>
      <c r="S34" s="7">
        <v>96</v>
      </c>
      <c r="T34" s="7">
        <v>96</v>
      </c>
      <c r="U34" s="7">
        <v>96</v>
      </c>
      <c r="V34" s="7">
        <v>96</v>
      </c>
      <c r="W34" s="7">
        <v>96</v>
      </c>
      <c r="X34" s="7">
        <v>96</v>
      </c>
      <c r="Y34" s="7">
        <v>96</v>
      </c>
      <c r="Z34" s="7">
        <v>96</v>
      </c>
      <c r="AA34" s="7">
        <v>96</v>
      </c>
      <c r="AB34" s="7">
        <v>96</v>
      </c>
      <c r="AC34" s="7">
        <v>96</v>
      </c>
      <c r="AD34" s="7">
        <v>96</v>
      </c>
      <c r="AE34" s="7">
        <v>96</v>
      </c>
      <c r="AF34" s="7">
        <v>96</v>
      </c>
      <c r="AG34" s="7">
        <v>96</v>
      </c>
      <c r="AH34" s="7">
        <v>96</v>
      </c>
      <c r="AI34" s="7">
        <v>96</v>
      </c>
      <c r="AJ34">
        <f t="shared" ref="AJ34:AS34" si="29">AI34</f>
        <v>96</v>
      </c>
      <c r="AK34">
        <f t="shared" si="29"/>
        <v>96</v>
      </c>
      <c r="AL34">
        <f t="shared" si="29"/>
        <v>96</v>
      </c>
      <c r="AM34">
        <f t="shared" si="29"/>
        <v>96</v>
      </c>
      <c r="AN34">
        <f t="shared" si="29"/>
        <v>96</v>
      </c>
      <c r="AO34">
        <f t="shared" si="29"/>
        <v>96</v>
      </c>
      <c r="AP34">
        <f t="shared" si="29"/>
        <v>96</v>
      </c>
      <c r="AQ34">
        <f t="shared" si="29"/>
        <v>96</v>
      </c>
      <c r="AR34">
        <f t="shared" si="29"/>
        <v>96</v>
      </c>
      <c r="AS34">
        <f t="shared" si="29"/>
        <v>96</v>
      </c>
    </row>
    <row r="35" spans="1:45" x14ac:dyDescent="0.35">
      <c r="A35" s="37" t="str">
        <f t="shared" si="23"/>
        <v>NO_CLEAN_DIESEL</v>
      </c>
      <c r="B35" s="25" t="s">
        <v>22</v>
      </c>
      <c r="C35" s="10" t="str">
        <f t="shared" si="24"/>
        <v>kgCO2/GJ</v>
      </c>
      <c r="D35" s="12">
        <v>96</v>
      </c>
      <c r="E35" s="12">
        <v>96</v>
      </c>
      <c r="F35" s="12">
        <v>96</v>
      </c>
      <c r="G35" s="12">
        <v>96</v>
      </c>
      <c r="H35" s="12">
        <v>96</v>
      </c>
      <c r="I35" s="12">
        <v>96</v>
      </c>
      <c r="J35" s="12">
        <v>96</v>
      </c>
      <c r="K35" s="12">
        <v>96</v>
      </c>
      <c r="L35" s="12">
        <v>96</v>
      </c>
      <c r="M35" s="12">
        <v>96</v>
      </c>
      <c r="N35" s="12">
        <v>96</v>
      </c>
      <c r="O35" s="12">
        <v>96</v>
      </c>
      <c r="P35" s="12">
        <v>96</v>
      </c>
      <c r="Q35" s="12">
        <v>96</v>
      </c>
      <c r="R35" s="12">
        <v>96</v>
      </c>
      <c r="S35" s="12">
        <v>96</v>
      </c>
      <c r="T35" s="12">
        <v>96</v>
      </c>
      <c r="U35" s="12">
        <v>96</v>
      </c>
      <c r="V35" s="12">
        <v>96</v>
      </c>
      <c r="W35" s="12">
        <v>96</v>
      </c>
      <c r="X35" s="12">
        <v>96</v>
      </c>
      <c r="Y35" s="12">
        <v>96</v>
      </c>
      <c r="Z35" s="12">
        <v>96</v>
      </c>
      <c r="AA35" s="12">
        <v>96</v>
      </c>
      <c r="AB35" s="12">
        <v>96</v>
      </c>
      <c r="AC35" s="12">
        <v>96</v>
      </c>
      <c r="AD35" s="12">
        <v>96</v>
      </c>
      <c r="AE35" s="12">
        <v>96</v>
      </c>
      <c r="AF35" s="12">
        <v>96</v>
      </c>
      <c r="AG35" s="12">
        <v>96</v>
      </c>
      <c r="AH35" s="12">
        <v>96</v>
      </c>
      <c r="AI35" s="12">
        <v>96</v>
      </c>
      <c r="AJ35">
        <f t="shared" ref="AJ35:AS35" si="30">AI35</f>
        <v>96</v>
      </c>
      <c r="AK35">
        <f t="shared" si="30"/>
        <v>96</v>
      </c>
      <c r="AL35">
        <f t="shared" si="30"/>
        <v>96</v>
      </c>
      <c r="AM35">
        <f t="shared" si="30"/>
        <v>96</v>
      </c>
      <c r="AN35">
        <f t="shared" si="30"/>
        <v>96</v>
      </c>
      <c r="AO35">
        <f t="shared" si="30"/>
        <v>96</v>
      </c>
      <c r="AP35">
        <f t="shared" si="30"/>
        <v>96</v>
      </c>
      <c r="AQ35">
        <f t="shared" si="30"/>
        <v>96</v>
      </c>
      <c r="AR35">
        <f t="shared" si="30"/>
        <v>96</v>
      </c>
      <c r="AS35">
        <f t="shared" si="30"/>
        <v>96</v>
      </c>
    </row>
    <row r="36" spans="1:45" x14ac:dyDescent="0.35">
      <c r="A36" s="37" t="str">
        <f t="shared" si="23"/>
        <v>NO_CLEAN_DIESEL</v>
      </c>
      <c r="B36" s="24" t="s">
        <v>23</v>
      </c>
      <c r="C36" s="5" t="str">
        <f t="shared" si="24"/>
        <v>kgCO2/GJ</v>
      </c>
      <c r="D36" s="7">
        <v>69</v>
      </c>
      <c r="E36" s="7">
        <v>69</v>
      </c>
      <c r="F36" s="7">
        <v>69</v>
      </c>
      <c r="G36" s="7">
        <v>69</v>
      </c>
      <c r="H36" s="7">
        <v>69</v>
      </c>
      <c r="I36" s="7">
        <v>69</v>
      </c>
      <c r="J36" s="7">
        <v>69</v>
      </c>
      <c r="K36" s="7">
        <v>69</v>
      </c>
      <c r="L36" s="7">
        <v>69</v>
      </c>
      <c r="M36" s="7">
        <v>69</v>
      </c>
      <c r="N36" s="7">
        <v>69</v>
      </c>
      <c r="O36" s="7">
        <v>69</v>
      </c>
      <c r="P36" s="7">
        <v>69</v>
      </c>
      <c r="Q36" s="7">
        <v>69</v>
      </c>
      <c r="R36" s="7">
        <v>69</v>
      </c>
      <c r="S36" s="7">
        <v>69</v>
      </c>
      <c r="T36" s="7">
        <v>69</v>
      </c>
      <c r="U36" s="7">
        <v>69</v>
      </c>
      <c r="V36" s="7">
        <v>69</v>
      </c>
      <c r="W36" s="7">
        <v>69</v>
      </c>
      <c r="X36" s="7">
        <v>69</v>
      </c>
      <c r="Y36" s="7">
        <v>69</v>
      </c>
      <c r="Z36" s="7">
        <v>69</v>
      </c>
      <c r="AA36" s="7">
        <v>69</v>
      </c>
      <c r="AB36" s="7">
        <v>69</v>
      </c>
      <c r="AC36" s="7">
        <v>69</v>
      </c>
      <c r="AD36" s="7">
        <v>69</v>
      </c>
      <c r="AE36" s="7">
        <v>69</v>
      </c>
      <c r="AF36" s="7">
        <v>69</v>
      </c>
      <c r="AG36" s="7">
        <v>69</v>
      </c>
      <c r="AH36" s="7">
        <v>69</v>
      </c>
      <c r="AI36" s="7">
        <v>69</v>
      </c>
      <c r="AJ36">
        <f t="shared" ref="AJ36:AS36" si="31">AI36</f>
        <v>69</v>
      </c>
      <c r="AK36">
        <f t="shared" si="31"/>
        <v>69</v>
      </c>
      <c r="AL36">
        <f t="shared" si="31"/>
        <v>69</v>
      </c>
      <c r="AM36">
        <f t="shared" si="31"/>
        <v>69</v>
      </c>
      <c r="AN36">
        <f t="shared" si="31"/>
        <v>69</v>
      </c>
      <c r="AO36">
        <f t="shared" si="31"/>
        <v>69</v>
      </c>
      <c r="AP36">
        <f t="shared" si="31"/>
        <v>69</v>
      </c>
      <c r="AQ36">
        <f t="shared" si="31"/>
        <v>69</v>
      </c>
      <c r="AR36">
        <f t="shared" si="31"/>
        <v>69</v>
      </c>
      <c r="AS36">
        <f t="shared" si="31"/>
        <v>69</v>
      </c>
    </row>
    <row r="37" spans="1:45" x14ac:dyDescent="0.35">
      <c r="A37" s="37" t="str">
        <f t="shared" si="23"/>
        <v>NO_CLEAN_DIESEL</v>
      </c>
      <c r="B37" s="26" t="s">
        <v>24</v>
      </c>
      <c r="C37" s="27" t="str">
        <f t="shared" si="24"/>
        <v>kgCO2/GJ</v>
      </c>
      <c r="D37" s="28">
        <v>69</v>
      </c>
      <c r="E37" s="28">
        <v>69</v>
      </c>
      <c r="F37" s="28">
        <v>69</v>
      </c>
      <c r="G37" s="28">
        <v>69</v>
      </c>
      <c r="H37" s="28">
        <v>69</v>
      </c>
      <c r="I37" s="28">
        <v>69</v>
      </c>
      <c r="J37" s="28">
        <v>69</v>
      </c>
      <c r="K37" s="28">
        <v>69</v>
      </c>
      <c r="L37" s="28">
        <v>69</v>
      </c>
      <c r="M37" s="28">
        <v>69</v>
      </c>
      <c r="N37" s="28">
        <v>69</v>
      </c>
      <c r="O37" s="28">
        <v>69</v>
      </c>
      <c r="P37" s="28">
        <v>69</v>
      </c>
      <c r="Q37" s="28">
        <v>69</v>
      </c>
      <c r="R37" s="28">
        <v>69</v>
      </c>
      <c r="S37" s="28">
        <v>69</v>
      </c>
      <c r="T37" s="28">
        <v>69</v>
      </c>
      <c r="U37" s="28">
        <v>69</v>
      </c>
      <c r="V37" s="28">
        <v>69</v>
      </c>
      <c r="W37" s="28">
        <v>69</v>
      </c>
      <c r="X37" s="28">
        <v>69</v>
      </c>
      <c r="Y37" s="28">
        <v>69</v>
      </c>
      <c r="Z37" s="28">
        <v>69</v>
      </c>
      <c r="AA37" s="28">
        <v>69</v>
      </c>
      <c r="AB37" s="28">
        <v>69</v>
      </c>
      <c r="AC37" s="28">
        <v>69</v>
      </c>
      <c r="AD37" s="28">
        <v>69</v>
      </c>
      <c r="AE37" s="28">
        <v>69</v>
      </c>
      <c r="AF37" s="28">
        <v>69</v>
      </c>
      <c r="AG37" s="28">
        <v>69</v>
      </c>
      <c r="AH37" s="28">
        <v>69</v>
      </c>
      <c r="AI37" s="28">
        <v>69</v>
      </c>
      <c r="AJ37" s="29">
        <f t="shared" ref="AJ37:AS37" si="32">AI37</f>
        <v>69</v>
      </c>
      <c r="AK37" s="29">
        <f t="shared" si="32"/>
        <v>69</v>
      </c>
      <c r="AL37" s="29">
        <f t="shared" si="32"/>
        <v>69</v>
      </c>
      <c r="AM37" s="29">
        <f t="shared" si="32"/>
        <v>69</v>
      </c>
      <c r="AN37" s="29">
        <f t="shared" si="32"/>
        <v>69</v>
      </c>
      <c r="AO37" s="29">
        <f t="shared" si="32"/>
        <v>69</v>
      </c>
      <c r="AP37" s="29">
        <f t="shared" si="32"/>
        <v>69</v>
      </c>
      <c r="AQ37" s="29">
        <f t="shared" si="32"/>
        <v>69</v>
      </c>
      <c r="AR37" s="29">
        <f t="shared" si="32"/>
        <v>69</v>
      </c>
      <c r="AS37" s="29">
        <f t="shared" si="32"/>
        <v>69</v>
      </c>
    </row>
    <row r="38" spans="1:45" x14ac:dyDescent="0.35">
      <c r="A38" s="38" t="s">
        <v>50</v>
      </c>
      <c r="B38" s="24" t="s">
        <v>12</v>
      </c>
      <c r="C38" s="5" t="s">
        <v>13</v>
      </c>
      <c r="D38" s="7">
        <v>74</v>
      </c>
      <c r="E38" s="7">
        <v>74</v>
      </c>
      <c r="F38" s="7">
        <v>74</v>
      </c>
      <c r="G38" s="7">
        <v>74</v>
      </c>
      <c r="H38" s="7">
        <v>74</v>
      </c>
      <c r="I38" s="7">
        <v>74</v>
      </c>
      <c r="J38" s="7">
        <v>74</v>
      </c>
      <c r="K38" s="7">
        <v>74</v>
      </c>
      <c r="L38" s="7">
        <v>74</v>
      </c>
      <c r="M38" s="7">
        <v>74</v>
      </c>
      <c r="N38" s="7">
        <v>74</v>
      </c>
      <c r="O38" s="7">
        <v>74</v>
      </c>
      <c r="P38" s="7">
        <v>74</v>
      </c>
      <c r="Q38" s="7">
        <v>74</v>
      </c>
      <c r="R38" s="7">
        <v>74</v>
      </c>
      <c r="S38" s="7">
        <v>74</v>
      </c>
      <c r="T38" s="7">
        <v>74</v>
      </c>
      <c r="U38" s="7">
        <v>74</v>
      </c>
      <c r="V38" s="7">
        <v>74</v>
      </c>
      <c r="W38" s="7">
        <v>74</v>
      </c>
      <c r="X38" s="7">
        <v>74</v>
      </c>
      <c r="Y38" s="7">
        <v>74</v>
      </c>
      <c r="Z38" s="7">
        <v>74</v>
      </c>
      <c r="AA38" s="7">
        <v>74</v>
      </c>
      <c r="AB38" s="7">
        <v>74</v>
      </c>
      <c r="AC38" s="7">
        <v>74</v>
      </c>
      <c r="AD38" s="7">
        <v>74</v>
      </c>
      <c r="AE38" s="7">
        <v>74</v>
      </c>
      <c r="AF38" s="7">
        <v>74</v>
      </c>
      <c r="AG38" s="7">
        <v>74</v>
      </c>
      <c r="AH38" s="7">
        <v>74</v>
      </c>
      <c r="AI38" s="7">
        <v>74</v>
      </c>
      <c r="AJ38" s="7">
        <v>74</v>
      </c>
      <c r="AK38" s="7">
        <v>74</v>
      </c>
      <c r="AL38" s="7">
        <v>74</v>
      </c>
      <c r="AM38" s="7">
        <v>74</v>
      </c>
      <c r="AN38" s="7">
        <v>74</v>
      </c>
      <c r="AO38" s="7">
        <v>74</v>
      </c>
      <c r="AP38" s="7">
        <v>74</v>
      </c>
      <c r="AQ38" s="7">
        <v>74</v>
      </c>
      <c r="AR38" s="7">
        <v>74</v>
      </c>
      <c r="AS38" s="7">
        <v>74</v>
      </c>
    </row>
    <row r="39" spans="1:45" x14ac:dyDescent="0.35">
      <c r="A39" s="38" t="str">
        <f t="shared" ref="A39:A49" si="33">A38</f>
        <v>NO_CLEAN_DIESEL_NO_GAS_LKG</v>
      </c>
      <c r="B39" s="25" t="s">
        <v>14</v>
      </c>
      <c r="C39" s="10" t="str">
        <f t="shared" ref="C39:C49" si="34">C38</f>
        <v>kgCO2/GJ</v>
      </c>
      <c r="D39" s="12">
        <v>74</v>
      </c>
      <c r="E39" s="12">
        <v>74</v>
      </c>
      <c r="F39" s="12">
        <v>74</v>
      </c>
      <c r="G39" s="12">
        <v>74</v>
      </c>
      <c r="H39" s="12">
        <v>74</v>
      </c>
      <c r="I39" s="12">
        <v>74</v>
      </c>
      <c r="J39" s="12">
        <v>74</v>
      </c>
      <c r="K39" s="12">
        <v>74</v>
      </c>
      <c r="L39" s="12">
        <v>74</v>
      </c>
      <c r="M39" s="12">
        <v>74</v>
      </c>
      <c r="N39" s="12">
        <v>74</v>
      </c>
      <c r="O39" s="12">
        <v>74</v>
      </c>
      <c r="P39" s="12">
        <v>74</v>
      </c>
      <c r="Q39" s="12">
        <v>74</v>
      </c>
      <c r="R39" s="12">
        <v>74</v>
      </c>
      <c r="S39" s="12">
        <v>74</v>
      </c>
      <c r="T39" s="12">
        <v>74</v>
      </c>
      <c r="U39" s="12">
        <v>74</v>
      </c>
      <c r="V39" s="12">
        <v>74</v>
      </c>
      <c r="W39" s="12">
        <v>74</v>
      </c>
      <c r="X39" s="12">
        <v>74</v>
      </c>
      <c r="Y39" s="12">
        <v>74</v>
      </c>
      <c r="Z39" s="12">
        <v>74</v>
      </c>
      <c r="AA39" s="12">
        <v>74</v>
      </c>
      <c r="AB39" s="12">
        <v>74</v>
      </c>
      <c r="AC39" s="12">
        <v>74</v>
      </c>
      <c r="AD39" s="12">
        <v>74</v>
      </c>
      <c r="AE39" s="12">
        <v>74</v>
      </c>
      <c r="AF39" s="12">
        <v>74</v>
      </c>
      <c r="AG39" s="12">
        <v>74</v>
      </c>
      <c r="AH39" s="12">
        <v>74</v>
      </c>
      <c r="AI39" s="12">
        <v>74</v>
      </c>
      <c r="AJ39" s="12">
        <v>74</v>
      </c>
      <c r="AK39" s="12">
        <v>74</v>
      </c>
      <c r="AL39" s="12">
        <v>74</v>
      </c>
      <c r="AM39" s="12">
        <v>74</v>
      </c>
      <c r="AN39" s="12">
        <v>74</v>
      </c>
      <c r="AO39" s="12">
        <v>74</v>
      </c>
      <c r="AP39" s="12">
        <v>74</v>
      </c>
      <c r="AQ39" s="12">
        <v>74</v>
      </c>
      <c r="AR39" s="12">
        <v>74</v>
      </c>
      <c r="AS39" s="12">
        <v>74</v>
      </c>
    </row>
    <row r="40" spans="1:45" x14ac:dyDescent="0.35">
      <c r="A40" s="38" t="str">
        <f t="shared" si="33"/>
        <v>NO_CLEAN_DIESEL_NO_GAS_LKG</v>
      </c>
      <c r="B40" s="24" t="s">
        <v>15</v>
      </c>
      <c r="C40" s="5" t="str">
        <f t="shared" si="34"/>
        <v>kgCO2/GJ</v>
      </c>
      <c r="D40" s="7">
        <v>74</v>
      </c>
      <c r="E40" s="7">
        <v>74</v>
      </c>
      <c r="F40" s="7">
        <v>74</v>
      </c>
      <c r="G40" s="7">
        <v>74</v>
      </c>
      <c r="H40" s="7">
        <v>74</v>
      </c>
      <c r="I40" s="7">
        <v>74</v>
      </c>
      <c r="J40" s="7">
        <v>74</v>
      </c>
      <c r="K40" s="7">
        <v>74</v>
      </c>
      <c r="L40" s="7">
        <v>74</v>
      </c>
      <c r="M40" s="7">
        <v>74</v>
      </c>
      <c r="N40" s="7">
        <v>74</v>
      </c>
      <c r="O40" s="7">
        <v>74</v>
      </c>
      <c r="P40" s="7">
        <v>74</v>
      </c>
      <c r="Q40" s="7">
        <v>74</v>
      </c>
      <c r="R40" s="7">
        <v>74</v>
      </c>
      <c r="S40" s="7">
        <v>74</v>
      </c>
      <c r="T40" s="7">
        <v>74</v>
      </c>
      <c r="U40" s="7">
        <v>74</v>
      </c>
      <c r="V40" s="7">
        <v>74</v>
      </c>
      <c r="W40" s="7">
        <v>74</v>
      </c>
      <c r="X40" s="7">
        <v>74</v>
      </c>
      <c r="Y40" s="7">
        <v>74</v>
      </c>
      <c r="Z40" s="7">
        <v>74</v>
      </c>
      <c r="AA40" s="7">
        <v>74</v>
      </c>
      <c r="AB40" s="7">
        <v>74</v>
      </c>
      <c r="AC40" s="7">
        <v>74</v>
      </c>
      <c r="AD40" s="7">
        <v>74</v>
      </c>
      <c r="AE40" s="7">
        <v>74</v>
      </c>
      <c r="AF40" s="7">
        <v>74</v>
      </c>
      <c r="AG40" s="7">
        <v>74</v>
      </c>
      <c r="AH40" s="7">
        <v>74</v>
      </c>
      <c r="AI40" s="7">
        <v>74</v>
      </c>
      <c r="AJ40" s="7">
        <v>74</v>
      </c>
      <c r="AK40" s="7">
        <v>74</v>
      </c>
      <c r="AL40" s="7">
        <v>74</v>
      </c>
      <c r="AM40" s="7">
        <v>74</v>
      </c>
      <c r="AN40" s="7">
        <v>74</v>
      </c>
      <c r="AO40" s="7">
        <v>74</v>
      </c>
      <c r="AP40" s="7">
        <v>74</v>
      </c>
      <c r="AQ40" s="7">
        <v>74</v>
      </c>
      <c r="AR40" s="7">
        <v>74</v>
      </c>
      <c r="AS40" s="7">
        <v>74</v>
      </c>
    </row>
    <row r="41" spans="1:45" x14ac:dyDescent="0.35">
      <c r="A41" s="38" t="str">
        <f t="shared" si="33"/>
        <v>NO_CLEAN_DIESEL_NO_GAS_LKG</v>
      </c>
      <c r="B41" s="25" t="s">
        <v>16</v>
      </c>
      <c r="C41" s="10" t="str">
        <f t="shared" si="34"/>
        <v>kgCO2/GJ</v>
      </c>
      <c r="D41" s="12">
        <v>74</v>
      </c>
      <c r="E41" s="12">
        <v>74</v>
      </c>
      <c r="F41" s="12">
        <v>74</v>
      </c>
      <c r="G41" s="12">
        <v>74</v>
      </c>
      <c r="H41" s="12">
        <v>74</v>
      </c>
      <c r="I41" s="12">
        <v>74</v>
      </c>
      <c r="J41" s="12">
        <v>74</v>
      </c>
      <c r="K41" s="12">
        <v>74</v>
      </c>
      <c r="L41" s="12">
        <v>74</v>
      </c>
      <c r="M41" s="12">
        <v>74</v>
      </c>
      <c r="N41" s="12">
        <v>74</v>
      </c>
      <c r="O41" s="12">
        <v>74</v>
      </c>
      <c r="P41" s="12">
        <v>74</v>
      </c>
      <c r="Q41" s="12">
        <v>74</v>
      </c>
      <c r="R41" s="12">
        <v>74</v>
      </c>
      <c r="S41" s="12">
        <v>74</v>
      </c>
      <c r="T41" s="12">
        <v>74</v>
      </c>
      <c r="U41" s="12">
        <v>74</v>
      </c>
      <c r="V41" s="12">
        <v>74</v>
      </c>
      <c r="W41" s="12">
        <v>74</v>
      </c>
      <c r="X41" s="12">
        <v>74</v>
      </c>
      <c r="Y41" s="12">
        <v>74</v>
      </c>
      <c r="Z41" s="12">
        <v>74</v>
      </c>
      <c r="AA41" s="12">
        <v>74</v>
      </c>
      <c r="AB41" s="12">
        <v>74</v>
      </c>
      <c r="AC41" s="12">
        <v>74</v>
      </c>
      <c r="AD41" s="12">
        <v>74</v>
      </c>
      <c r="AE41" s="12">
        <v>74</v>
      </c>
      <c r="AF41" s="12">
        <v>74</v>
      </c>
      <c r="AG41" s="12">
        <v>74</v>
      </c>
      <c r="AH41" s="12">
        <v>74</v>
      </c>
      <c r="AI41" s="12">
        <v>74</v>
      </c>
      <c r="AJ41" s="12">
        <v>74</v>
      </c>
      <c r="AK41" s="12">
        <v>74</v>
      </c>
      <c r="AL41" s="12">
        <v>74</v>
      </c>
      <c r="AM41" s="12">
        <v>74</v>
      </c>
      <c r="AN41" s="12">
        <v>74</v>
      </c>
      <c r="AO41" s="12">
        <v>74</v>
      </c>
      <c r="AP41" s="12">
        <v>74</v>
      </c>
      <c r="AQ41" s="12">
        <v>74</v>
      </c>
      <c r="AR41" s="12">
        <v>74</v>
      </c>
      <c r="AS41" s="12">
        <v>74</v>
      </c>
    </row>
    <row r="42" spans="1:45" x14ac:dyDescent="0.35">
      <c r="A42" s="38" t="str">
        <f t="shared" si="33"/>
        <v>NO_CLEAN_DIESEL_NO_GAS_LKG</v>
      </c>
      <c r="B42" s="24" t="s">
        <v>17</v>
      </c>
      <c r="C42" s="5" t="str">
        <f t="shared" si="34"/>
        <v>kgCO2/GJ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>
        <f t="shared" ref="AJ42:AS42" si="35">AI42</f>
        <v>0</v>
      </c>
      <c r="AK42">
        <f t="shared" si="35"/>
        <v>0</v>
      </c>
      <c r="AL42">
        <f t="shared" si="35"/>
        <v>0</v>
      </c>
      <c r="AM42">
        <f t="shared" si="35"/>
        <v>0</v>
      </c>
      <c r="AN42">
        <f t="shared" si="35"/>
        <v>0</v>
      </c>
      <c r="AO42">
        <f t="shared" si="35"/>
        <v>0</v>
      </c>
      <c r="AP42">
        <f t="shared" si="35"/>
        <v>0</v>
      </c>
      <c r="AQ42">
        <f t="shared" si="35"/>
        <v>0</v>
      </c>
      <c r="AR42">
        <f t="shared" si="35"/>
        <v>0</v>
      </c>
      <c r="AS42">
        <f t="shared" si="35"/>
        <v>0</v>
      </c>
    </row>
    <row r="43" spans="1:45" x14ac:dyDescent="0.35">
      <c r="A43" s="38" t="str">
        <f t="shared" si="33"/>
        <v>NO_CLEAN_DIESEL_NO_GAS_LKG</v>
      </c>
      <c r="B43" s="25" t="s">
        <v>18</v>
      </c>
      <c r="C43" s="10" t="str">
        <f t="shared" si="34"/>
        <v>kgCO2/GJ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>
        <f t="shared" ref="AJ43:AS43" si="36">AI43</f>
        <v>0</v>
      </c>
      <c r="AK43">
        <f t="shared" si="36"/>
        <v>0</v>
      </c>
      <c r="AL43">
        <f t="shared" si="36"/>
        <v>0</v>
      </c>
      <c r="AM43">
        <f t="shared" si="36"/>
        <v>0</v>
      </c>
      <c r="AN43">
        <f t="shared" si="36"/>
        <v>0</v>
      </c>
      <c r="AO43">
        <f t="shared" si="36"/>
        <v>0</v>
      </c>
      <c r="AP43">
        <f t="shared" si="36"/>
        <v>0</v>
      </c>
      <c r="AQ43">
        <f t="shared" si="36"/>
        <v>0</v>
      </c>
      <c r="AR43">
        <f t="shared" si="36"/>
        <v>0</v>
      </c>
      <c r="AS43">
        <f t="shared" si="36"/>
        <v>0</v>
      </c>
    </row>
    <row r="44" spans="1:45" x14ac:dyDescent="0.35">
      <c r="A44" s="38" t="str">
        <f t="shared" si="33"/>
        <v>NO_CLEAN_DIESEL_NO_GAS_LKG</v>
      </c>
      <c r="B44" s="24" t="s">
        <v>19</v>
      </c>
      <c r="C44" s="5" t="str">
        <f t="shared" si="34"/>
        <v>kgCO2/GJ</v>
      </c>
      <c r="D44" s="7">
        <v>74</v>
      </c>
      <c r="E44" s="7">
        <v>74</v>
      </c>
      <c r="F44" s="7">
        <v>74</v>
      </c>
      <c r="G44" s="7">
        <v>74</v>
      </c>
      <c r="H44" s="7">
        <v>74</v>
      </c>
      <c r="I44" s="7">
        <v>74</v>
      </c>
      <c r="J44" s="7">
        <v>74</v>
      </c>
      <c r="K44" s="7">
        <v>74</v>
      </c>
      <c r="L44" s="7">
        <v>74</v>
      </c>
      <c r="M44" s="7">
        <v>74</v>
      </c>
      <c r="N44" s="7">
        <v>74</v>
      </c>
      <c r="O44" s="7">
        <v>74</v>
      </c>
      <c r="P44" s="7">
        <v>74</v>
      </c>
      <c r="Q44" s="7">
        <v>74</v>
      </c>
      <c r="R44" s="7">
        <v>74</v>
      </c>
      <c r="S44" s="7">
        <v>74</v>
      </c>
      <c r="T44" s="7">
        <v>74</v>
      </c>
      <c r="U44" s="7">
        <v>74</v>
      </c>
      <c r="V44" s="7">
        <v>74</v>
      </c>
      <c r="W44" s="7">
        <v>74</v>
      </c>
      <c r="X44" s="7">
        <v>74</v>
      </c>
      <c r="Y44" s="7">
        <v>74</v>
      </c>
      <c r="Z44" s="7">
        <v>74</v>
      </c>
      <c r="AA44" s="7">
        <v>74</v>
      </c>
      <c r="AB44" s="7">
        <v>74</v>
      </c>
      <c r="AC44" s="7">
        <v>74</v>
      </c>
      <c r="AD44" s="7">
        <v>74</v>
      </c>
      <c r="AE44" s="7">
        <v>74</v>
      </c>
      <c r="AF44" s="7">
        <v>74</v>
      </c>
      <c r="AG44" s="7">
        <v>74</v>
      </c>
      <c r="AH44" s="7">
        <v>74</v>
      </c>
      <c r="AI44" s="7">
        <v>74</v>
      </c>
      <c r="AJ44">
        <f t="shared" ref="AJ44:AS44" si="37">AI44</f>
        <v>74</v>
      </c>
      <c r="AK44">
        <f t="shared" si="37"/>
        <v>74</v>
      </c>
      <c r="AL44">
        <f t="shared" si="37"/>
        <v>74</v>
      </c>
      <c r="AM44">
        <f t="shared" si="37"/>
        <v>74</v>
      </c>
      <c r="AN44">
        <f t="shared" si="37"/>
        <v>74</v>
      </c>
      <c r="AO44">
        <f t="shared" si="37"/>
        <v>74</v>
      </c>
      <c r="AP44">
        <f t="shared" si="37"/>
        <v>74</v>
      </c>
      <c r="AQ44">
        <f t="shared" si="37"/>
        <v>74</v>
      </c>
      <c r="AR44">
        <f t="shared" si="37"/>
        <v>74</v>
      </c>
      <c r="AS44">
        <f t="shared" si="37"/>
        <v>74</v>
      </c>
    </row>
    <row r="45" spans="1:45" x14ac:dyDescent="0.35">
      <c r="A45" s="38" t="str">
        <f t="shared" si="33"/>
        <v>NO_CLEAN_DIESEL_NO_GAS_LKG</v>
      </c>
      <c r="B45" s="25" t="s">
        <v>20</v>
      </c>
      <c r="C45" s="10" t="str">
        <f t="shared" si="34"/>
        <v>kgCO2/GJ</v>
      </c>
      <c r="D45" s="12">
        <v>74</v>
      </c>
      <c r="E45" s="12">
        <v>74</v>
      </c>
      <c r="F45" s="12">
        <v>74</v>
      </c>
      <c r="G45" s="12">
        <v>74</v>
      </c>
      <c r="H45" s="12">
        <v>74</v>
      </c>
      <c r="I45" s="12">
        <v>74</v>
      </c>
      <c r="J45" s="12">
        <v>74</v>
      </c>
      <c r="K45" s="12">
        <v>74</v>
      </c>
      <c r="L45" s="12">
        <v>74</v>
      </c>
      <c r="M45" s="12">
        <v>74</v>
      </c>
      <c r="N45" s="12">
        <v>74</v>
      </c>
      <c r="O45" s="12">
        <v>74</v>
      </c>
      <c r="P45" s="12">
        <v>74</v>
      </c>
      <c r="Q45" s="12">
        <v>74</v>
      </c>
      <c r="R45" s="12">
        <v>74</v>
      </c>
      <c r="S45" s="12">
        <v>74</v>
      </c>
      <c r="T45" s="12">
        <v>74</v>
      </c>
      <c r="U45" s="12">
        <v>74</v>
      </c>
      <c r="V45" s="12">
        <v>74</v>
      </c>
      <c r="W45" s="12">
        <v>74</v>
      </c>
      <c r="X45" s="12">
        <v>74</v>
      </c>
      <c r="Y45" s="12">
        <v>74</v>
      </c>
      <c r="Z45" s="12">
        <v>74</v>
      </c>
      <c r="AA45" s="12">
        <v>74</v>
      </c>
      <c r="AB45" s="12">
        <v>74</v>
      </c>
      <c r="AC45" s="12">
        <v>74</v>
      </c>
      <c r="AD45" s="12">
        <v>74</v>
      </c>
      <c r="AE45" s="12">
        <v>74</v>
      </c>
      <c r="AF45" s="12">
        <v>74</v>
      </c>
      <c r="AG45" s="12">
        <v>74</v>
      </c>
      <c r="AH45" s="12">
        <v>74</v>
      </c>
      <c r="AI45" s="12">
        <v>74</v>
      </c>
      <c r="AJ45">
        <f t="shared" ref="AJ45:AS45" si="38">AI45</f>
        <v>74</v>
      </c>
      <c r="AK45">
        <f t="shared" si="38"/>
        <v>74</v>
      </c>
      <c r="AL45">
        <f t="shared" si="38"/>
        <v>74</v>
      </c>
      <c r="AM45">
        <f t="shared" si="38"/>
        <v>74</v>
      </c>
      <c r="AN45">
        <f t="shared" si="38"/>
        <v>74</v>
      </c>
      <c r="AO45">
        <f t="shared" si="38"/>
        <v>74</v>
      </c>
      <c r="AP45">
        <f t="shared" si="38"/>
        <v>74</v>
      </c>
      <c r="AQ45">
        <f t="shared" si="38"/>
        <v>74</v>
      </c>
      <c r="AR45">
        <f t="shared" si="38"/>
        <v>74</v>
      </c>
      <c r="AS45">
        <f t="shared" si="38"/>
        <v>74</v>
      </c>
    </row>
    <row r="46" spans="1:45" x14ac:dyDescent="0.35">
      <c r="A46" s="38" t="str">
        <f t="shared" si="33"/>
        <v>NO_CLEAN_DIESEL_NO_GAS_LKG</v>
      </c>
      <c r="B46" s="24" t="s">
        <v>21</v>
      </c>
      <c r="C46" s="5" t="str">
        <f t="shared" si="34"/>
        <v>kgCO2/GJ</v>
      </c>
      <c r="D46" s="7">
        <v>96</v>
      </c>
      <c r="E46" s="7">
        <v>96</v>
      </c>
      <c r="F46" s="7">
        <v>96</v>
      </c>
      <c r="G46" s="7">
        <v>96</v>
      </c>
      <c r="H46" s="7">
        <v>96</v>
      </c>
      <c r="I46" s="7">
        <v>96</v>
      </c>
      <c r="J46" s="7">
        <v>96</v>
      </c>
      <c r="K46" s="7">
        <v>96</v>
      </c>
      <c r="L46" s="7">
        <v>96</v>
      </c>
      <c r="M46" s="7">
        <v>96</v>
      </c>
      <c r="N46" s="7">
        <v>96</v>
      </c>
      <c r="O46" s="7">
        <v>96</v>
      </c>
      <c r="P46" s="7">
        <v>96</v>
      </c>
      <c r="Q46" s="7">
        <v>96</v>
      </c>
      <c r="R46" s="7">
        <v>96</v>
      </c>
      <c r="S46" s="7">
        <v>96</v>
      </c>
      <c r="T46" s="7">
        <v>96</v>
      </c>
      <c r="U46" s="7">
        <v>96</v>
      </c>
      <c r="V46" s="7">
        <v>96</v>
      </c>
      <c r="W46" s="7">
        <v>96</v>
      </c>
      <c r="X46" s="7">
        <v>96</v>
      </c>
      <c r="Y46" s="7">
        <v>96</v>
      </c>
      <c r="Z46" s="7">
        <v>96</v>
      </c>
      <c r="AA46" s="7">
        <v>96</v>
      </c>
      <c r="AB46" s="7">
        <v>96</v>
      </c>
      <c r="AC46" s="7">
        <v>96</v>
      </c>
      <c r="AD46" s="7">
        <v>96</v>
      </c>
      <c r="AE46" s="7">
        <v>96</v>
      </c>
      <c r="AF46" s="7">
        <v>96</v>
      </c>
      <c r="AG46" s="7">
        <v>96</v>
      </c>
      <c r="AH46" s="7">
        <v>96</v>
      </c>
      <c r="AI46" s="7">
        <v>96</v>
      </c>
      <c r="AJ46">
        <f t="shared" ref="AJ46:AS46" si="39">AI46</f>
        <v>96</v>
      </c>
      <c r="AK46">
        <f t="shared" si="39"/>
        <v>96</v>
      </c>
      <c r="AL46">
        <f t="shared" si="39"/>
        <v>96</v>
      </c>
      <c r="AM46">
        <f t="shared" si="39"/>
        <v>96</v>
      </c>
      <c r="AN46">
        <f t="shared" si="39"/>
        <v>96</v>
      </c>
      <c r="AO46">
        <f t="shared" si="39"/>
        <v>96</v>
      </c>
      <c r="AP46">
        <f t="shared" si="39"/>
        <v>96</v>
      </c>
      <c r="AQ46">
        <f t="shared" si="39"/>
        <v>96</v>
      </c>
      <c r="AR46">
        <f t="shared" si="39"/>
        <v>96</v>
      </c>
      <c r="AS46">
        <f t="shared" si="39"/>
        <v>96</v>
      </c>
    </row>
    <row r="47" spans="1:45" x14ac:dyDescent="0.35">
      <c r="A47" s="38" t="str">
        <f t="shared" si="33"/>
        <v>NO_CLEAN_DIESEL_NO_GAS_LKG</v>
      </c>
      <c r="B47" s="25" t="s">
        <v>22</v>
      </c>
      <c r="C47" s="10" t="str">
        <f t="shared" si="34"/>
        <v>kgCO2/GJ</v>
      </c>
      <c r="D47" s="12">
        <v>96</v>
      </c>
      <c r="E47" s="12">
        <v>96</v>
      </c>
      <c r="F47" s="12">
        <v>96</v>
      </c>
      <c r="G47" s="12">
        <v>96</v>
      </c>
      <c r="H47" s="12">
        <v>96</v>
      </c>
      <c r="I47" s="12">
        <v>96</v>
      </c>
      <c r="J47" s="12">
        <v>96</v>
      </c>
      <c r="K47" s="12">
        <v>96</v>
      </c>
      <c r="L47" s="12">
        <v>96</v>
      </c>
      <c r="M47" s="12">
        <v>96</v>
      </c>
      <c r="N47" s="12">
        <v>96</v>
      </c>
      <c r="O47" s="12">
        <v>96</v>
      </c>
      <c r="P47" s="12">
        <v>96</v>
      </c>
      <c r="Q47" s="12">
        <v>96</v>
      </c>
      <c r="R47" s="12">
        <v>96</v>
      </c>
      <c r="S47" s="12">
        <v>96</v>
      </c>
      <c r="T47" s="12">
        <v>96</v>
      </c>
      <c r="U47" s="12">
        <v>96</v>
      </c>
      <c r="V47" s="12">
        <v>96</v>
      </c>
      <c r="W47" s="12">
        <v>96</v>
      </c>
      <c r="X47" s="12">
        <v>96</v>
      </c>
      <c r="Y47" s="12">
        <v>96</v>
      </c>
      <c r="Z47" s="12">
        <v>96</v>
      </c>
      <c r="AA47" s="12">
        <v>96</v>
      </c>
      <c r="AB47" s="12">
        <v>96</v>
      </c>
      <c r="AC47" s="12">
        <v>96</v>
      </c>
      <c r="AD47" s="12">
        <v>96</v>
      </c>
      <c r="AE47" s="12">
        <v>96</v>
      </c>
      <c r="AF47" s="12">
        <v>96</v>
      </c>
      <c r="AG47" s="12">
        <v>96</v>
      </c>
      <c r="AH47" s="12">
        <v>96</v>
      </c>
      <c r="AI47" s="12">
        <v>96</v>
      </c>
      <c r="AJ47">
        <f t="shared" ref="AJ47:AS47" si="40">AI47</f>
        <v>96</v>
      </c>
      <c r="AK47">
        <f t="shared" si="40"/>
        <v>96</v>
      </c>
      <c r="AL47">
        <f t="shared" si="40"/>
        <v>96</v>
      </c>
      <c r="AM47">
        <f t="shared" si="40"/>
        <v>96</v>
      </c>
      <c r="AN47">
        <f t="shared" si="40"/>
        <v>96</v>
      </c>
      <c r="AO47">
        <f t="shared" si="40"/>
        <v>96</v>
      </c>
      <c r="AP47">
        <f t="shared" si="40"/>
        <v>96</v>
      </c>
      <c r="AQ47">
        <f t="shared" si="40"/>
        <v>96</v>
      </c>
      <c r="AR47">
        <f t="shared" si="40"/>
        <v>96</v>
      </c>
      <c r="AS47">
        <f t="shared" si="40"/>
        <v>96</v>
      </c>
    </row>
    <row r="48" spans="1:45" x14ac:dyDescent="0.35">
      <c r="A48" s="38" t="str">
        <f t="shared" si="33"/>
        <v>NO_CLEAN_DIESEL_NO_GAS_LKG</v>
      </c>
      <c r="B48" s="24" t="s">
        <v>23</v>
      </c>
      <c r="C48" s="5" t="str">
        <f t="shared" si="34"/>
        <v>kgCO2/GJ</v>
      </c>
      <c r="D48" s="39">
        <v>56.16</v>
      </c>
      <c r="E48" s="39">
        <v>56.16</v>
      </c>
      <c r="F48" s="39">
        <v>56.16</v>
      </c>
      <c r="G48" s="39">
        <v>56.16</v>
      </c>
      <c r="H48" s="39">
        <v>56.16</v>
      </c>
      <c r="I48" s="39">
        <v>56.16</v>
      </c>
      <c r="J48" s="39">
        <v>56.16</v>
      </c>
      <c r="K48" s="39">
        <v>56.16</v>
      </c>
      <c r="L48" s="39">
        <v>56.16</v>
      </c>
      <c r="M48" s="39">
        <v>56.16</v>
      </c>
      <c r="N48" s="39">
        <v>56.16</v>
      </c>
      <c r="O48" s="39">
        <v>56.16</v>
      </c>
      <c r="P48" s="39">
        <v>56.16</v>
      </c>
      <c r="Q48" s="39">
        <v>56.16</v>
      </c>
      <c r="R48" s="39">
        <v>56.16</v>
      </c>
      <c r="S48" s="39">
        <v>56.16</v>
      </c>
      <c r="T48" s="39">
        <v>56.16</v>
      </c>
      <c r="U48" s="39">
        <v>56.16</v>
      </c>
      <c r="V48" s="39">
        <v>56.16</v>
      </c>
      <c r="W48" s="39">
        <v>56.16</v>
      </c>
      <c r="X48" s="39">
        <v>56.16</v>
      </c>
      <c r="Y48" s="39">
        <v>56.16</v>
      </c>
      <c r="Z48" s="39">
        <v>56.16</v>
      </c>
      <c r="AA48" s="39">
        <v>56.16</v>
      </c>
      <c r="AB48" s="39">
        <v>56.16</v>
      </c>
      <c r="AC48" s="39">
        <v>56.16</v>
      </c>
      <c r="AD48" s="39">
        <v>56.16</v>
      </c>
      <c r="AE48" s="39">
        <v>56.16</v>
      </c>
      <c r="AF48" s="39">
        <v>56.16</v>
      </c>
      <c r="AG48" s="39">
        <v>56.16</v>
      </c>
      <c r="AH48" s="39">
        <v>56.16</v>
      </c>
      <c r="AI48" s="39">
        <v>56.16</v>
      </c>
      <c r="AJ48" s="39">
        <v>56.16</v>
      </c>
      <c r="AK48" s="39">
        <v>56.16</v>
      </c>
      <c r="AL48" s="39">
        <v>56.16</v>
      </c>
      <c r="AM48" s="39">
        <v>56.16</v>
      </c>
      <c r="AN48" s="39">
        <v>56.16</v>
      </c>
      <c r="AO48" s="39">
        <v>56.16</v>
      </c>
      <c r="AP48" s="39">
        <v>56.16</v>
      </c>
      <c r="AQ48" s="39">
        <v>56.16</v>
      </c>
      <c r="AR48" s="39">
        <v>56.16</v>
      </c>
      <c r="AS48" s="39">
        <v>56.16</v>
      </c>
    </row>
    <row r="49" spans="1:45" x14ac:dyDescent="0.35">
      <c r="A49" s="48" t="str">
        <f t="shared" si="33"/>
        <v>NO_CLEAN_DIESEL_NO_GAS_LKG</v>
      </c>
      <c r="B49" s="26" t="s">
        <v>24</v>
      </c>
      <c r="C49" s="27" t="str">
        <f t="shared" si="34"/>
        <v>kgCO2/GJ</v>
      </c>
      <c r="D49" s="40">
        <v>56.16</v>
      </c>
      <c r="E49" s="40">
        <v>56.16</v>
      </c>
      <c r="F49" s="40">
        <v>56.16</v>
      </c>
      <c r="G49" s="40">
        <v>56.16</v>
      </c>
      <c r="H49" s="40">
        <v>56.16</v>
      </c>
      <c r="I49" s="40">
        <v>56.16</v>
      </c>
      <c r="J49" s="40">
        <v>56.16</v>
      </c>
      <c r="K49" s="40">
        <v>56.16</v>
      </c>
      <c r="L49" s="40">
        <v>56.16</v>
      </c>
      <c r="M49" s="40">
        <v>56.16</v>
      </c>
      <c r="N49" s="40">
        <v>56.16</v>
      </c>
      <c r="O49" s="40">
        <v>56.16</v>
      </c>
      <c r="P49" s="40">
        <v>56.16</v>
      </c>
      <c r="Q49" s="40">
        <v>56.16</v>
      </c>
      <c r="R49" s="40">
        <v>56.16</v>
      </c>
      <c r="S49" s="40">
        <v>56.16</v>
      </c>
      <c r="T49" s="40">
        <v>56.16</v>
      </c>
      <c r="U49" s="40">
        <v>56.16</v>
      </c>
      <c r="V49" s="40">
        <v>56.16</v>
      </c>
      <c r="W49" s="40">
        <v>56.16</v>
      </c>
      <c r="X49" s="40">
        <v>56.16</v>
      </c>
      <c r="Y49" s="40">
        <v>56.16</v>
      </c>
      <c r="Z49" s="40">
        <v>56.16</v>
      </c>
      <c r="AA49" s="40">
        <v>56.16</v>
      </c>
      <c r="AB49" s="40">
        <v>56.16</v>
      </c>
      <c r="AC49" s="40">
        <v>56.16</v>
      </c>
      <c r="AD49" s="40">
        <v>56.16</v>
      </c>
      <c r="AE49" s="40">
        <v>56.16</v>
      </c>
      <c r="AF49" s="40">
        <v>56.16</v>
      </c>
      <c r="AG49" s="40">
        <v>56.16</v>
      </c>
      <c r="AH49" s="40">
        <v>56.16</v>
      </c>
      <c r="AI49" s="40">
        <v>56.16</v>
      </c>
      <c r="AJ49" s="40">
        <v>56.16</v>
      </c>
      <c r="AK49" s="40">
        <v>56.16</v>
      </c>
      <c r="AL49" s="40">
        <v>56.16</v>
      </c>
      <c r="AM49" s="40">
        <v>56.16</v>
      </c>
      <c r="AN49" s="40">
        <v>56.16</v>
      </c>
      <c r="AO49" s="40">
        <v>56.16</v>
      </c>
      <c r="AP49" s="40">
        <v>56.16</v>
      </c>
      <c r="AQ49" s="40">
        <v>56.16</v>
      </c>
      <c r="AR49" s="40">
        <v>56.16</v>
      </c>
      <c r="AS49" s="40">
        <v>56.16</v>
      </c>
    </row>
    <row r="50" spans="1:45" x14ac:dyDescent="0.35">
      <c r="A50" s="49" t="s">
        <v>52</v>
      </c>
      <c r="B50" s="24" t="s">
        <v>12</v>
      </c>
      <c r="C50" s="5" t="s">
        <v>13</v>
      </c>
      <c r="D50" s="7">
        <v>74</v>
      </c>
      <c r="E50" s="7">
        <v>74</v>
      </c>
      <c r="F50" s="7">
        <v>74</v>
      </c>
      <c r="G50" s="7">
        <v>74</v>
      </c>
      <c r="H50" s="7">
        <v>74</v>
      </c>
      <c r="I50" s="7">
        <v>74</v>
      </c>
      <c r="J50" s="7">
        <v>74</v>
      </c>
      <c r="K50" s="7">
        <v>74</v>
      </c>
      <c r="L50" s="7">
        <v>74</v>
      </c>
      <c r="M50" s="7">
        <v>74</v>
      </c>
      <c r="N50" s="7">
        <v>74</v>
      </c>
      <c r="O50" s="7">
        <v>74</v>
      </c>
      <c r="P50" s="7">
        <v>74</v>
      </c>
      <c r="Q50" s="7">
        <v>74</v>
      </c>
      <c r="R50" s="7">
        <v>74</v>
      </c>
      <c r="S50" s="7">
        <v>74</v>
      </c>
      <c r="T50" s="7">
        <v>74</v>
      </c>
      <c r="U50" s="7">
        <v>74</v>
      </c>
      <c r="V50" s="7">
        <v>74</v>
      </c>
      <c r="W50" s="7">
        <v>74</v>
      </c>
      <c r="X50" s="7">
        <v>74</v>
      </c>
      <c r="Y50" s="55">
        <v>0</v>
      </c>
      <c r="Z50" s="55">
        <v>0</v>
      </c>
      <c r="AA50" s="55">
        <v>0</v>
      </c>
      <c r="AB50" s="55">
        <v>0</v>
      </c>
      <c r="AC50" s="55">
        <v>0</v>
      </c>
      <c r="AD50" s="55">
        <v>0</v>
      </c>
      <c r="AE50" s="55">
        <v>0</v>
      </c>
      <c r="AF50" s="55">
        <v>0</v>
      </c>
      <c r="AG50" s="55">
        <v>0</v>
      </c>
      <c r="AH50" s="55">
        <v>0</v>
      </c>
      <c r="AI50" s="55">
        <v>0</v>
      </c>
      <c r="AJ50" s="55">
        <v>0</v>
      </c>
      <c r="AK50" s="55">
        <v>0</v>
      </c>
      <c r="AL50" s="55">
        <v>0</v>
      </c>
      <c r="AM50" s="55">
        <v>0</v>
      </c>
      <c r="AN50" s="55">
        <v>0</v>
      </c>
      <c r="AO50" s="55">
        <v>0</v>
      </c>
      <c r="AP50" s="55">
        <v>0</v>
      </c>
      <c r="AQ50" s="55">
        <v>0</v>
      </c>
      <c r="AR50" s="55">
        <v>0</v>
      </c>
      <c r="AS50" s="55">
        <v>0</v>
      </c>
    </row>
    <row r="51" spans="1:45" x14ac:dyDescent="0.35">
      <c r="A51" s="49" t="str">
        <f t="shared" ref="A51:A91" si="41">A50</f>
        <v>FS_2040</v>
      </c>
      <c r="B51" s="25" t="s">
        <v>14</v>
      </c>
      <c r="C51" s="10" t="str">
        <f t="shared" ref="C51:C91" si="42">C50</f>
        <v>kgCO2/GJ</v>
      </c>
      <c r="D51" s="12">
        <v>74</v>
      </c>
      <c r="E51" s="12">
        <v>74</v>
      </c>
      <c r="F51" s="12">
        <v>74</v>
      </c>
      <c r="G51" s="12">
        <v>74</v>
      </c>
      <c r="H51" s="12">
        <v>74</v>
      </c>
      <c r="I51" s="12">
        <v>74</v>
      </c>
      <c r="J51" s="12">
        <v>74</v>
      </c>
      <c r="K51" s="12">
        <v>74</v>
      </c>
      <c r="L51" s="12">
        <v>74</v>
      </c>
      <c r="M51" s="12">
        <v>74</v>
      </c>
      <c r="N51" s="12">
        <v>74</v>
      </c>
      <c r="O51" s="12">
        <v>74</v>
      </c>
      <c r="P51" s="12">
        <v>74</v>
      </c>
      <c r="Q51" s="12">
        <v>74</v>
      </c>
      <c r="R51" s="12">
        <v>74</v>
      </c>
      <c r="S51" s="12">
        <v>74</v>
      </c>
      <c r="T51" s="12">
        <v>74</v>
      </c>
      <c r="U51" s="12">
        <v>74</v>
      </c>
      <c r="V51" s="12">
        <v>74</v>
      </c>
      <c r="W51" s="12">
        <v>74</v>
      </c>
      <c r="X51" s="12">
        <v>74</v>
      </c>
      <c r="Y51" s="56">
        <v>0</v>
      </c>
      <c r="Z51" s="56">
        <v>0</v>
      </c>
      <c r="AA51" s="56">
        <v>0</v>
      </c>
      <c r="AB51" s="56">
        <v>0</v>
      </c>
      <c r="AC51" s="56">
        <v>0</v>
      </c>
      <c r="AD51" s="56">
        <v>0</v>
      </c>
      <c r="AE51" s="56">
        <v>0</v>
      </c>
      <c r="AF51" s="56">
        <v>0</v>
      </c>
      <c r="AG51" s="56">
        <v>0</v>
      </c>
      <c r="AH51" s="56">
        <v>0</v>
      </c>
      <c r="AI51" s="56">
        <v>0</v>
      </c>
      <c r="AJ51" s="56">
        <v>0</v>
      </c>
      <c r="AK51" s="56">
        <v>0</v>
      </c>
      <c r="AL51" s="56">
        <v>0</v>
      </c>
      <c r="AM51" s="56">
        <v>0</v>
      </c>
      <c r="AN51" s="56">
        <v>0</v>
      </c>
      <c r="AO51" s="56">
        <v>0</v>
      </c>
      <c r="AP51" s="56">
        <v>0</v>
      </c>
      <c r="AQ51" s="56">
        <v>0</v>
      </c>
      <c r="AR51" s="56">
        <v>0</v>
      </c>
      <c r="AS51" s="56">
        <v>0</v>
      </c>
    </row>
    <row r="52" spans="1:45" x14ac:dyDescent="0.35">
      <c r="A52" s="49" t="str">
        <f t="shared" si="41"/>
        <v>FS_2040</v>
      </c>
      <c r="B52" s="24" t="s">
        <v>15</v>
      </c>
      <c r="C52" s="5" t="str">
        <f t="shared" si="42"/>
        <v>kgCO2/GJ</v>
      </c>
      <c r="D52" s="7">
        <v>74</v>
      </c>
      <c r="E52" s="7">
        <v>74</v>
      </c>
      <c r="F52" s="7">
        <v>74</v>
      </c>
      <c r="G52" s="7">
        <v>74</v>
      </c>
      <c r="H52" s="7">
        <v>74</v>
      </c>
      <c r="I52" s="7">
        <v>74</v>
      </c>
      <c r="J52" s="7">
        <v>74</v>
      </c>
      <c r="K52" s="7">
        <v>74</v>
      </c>
      <c r="L52" s="7">
        <v>74</v>
      </c>
      <c r="M52" s="7">
        <v>74</v>
      </c>
      <c r="N52" s="7">
        <v>74</v>
      </c>
      <c r="O52" s="7">
        <v>74</v>
      </c>
      <c r="P52" s="7">
        <v>74</v>
      </c>
      <c r="Q52" s="7">
        <v>74</v>
      </c>
      <c r="R52" s="7">
        <v>74</v>
      </c>
      <c r="S52" s="7">
        <v>74</v>
      </c>
      <c r="T52" s="7">
        <v>74</v>
      </c>
      <c r="U52" s="7">
        <v>74</v>
      </c>
      <c r="V52" s="7">
        <v>74</v>
      </c>
      <c r="W52" s="7">
        <v>74</v>
      </c>
      <c r="X52" s="7">
        <v>74</v>
      </c>
      <c r="Y52" s="55">
        <v>0</v>
      </c>
      <c r="Z52" s="55">
        <v>0</v>
      </c>
      <c r="AA52" s="55">
        <v>0</v>
      </c>
      <c r="AB52" s="55">
        <v>0</v>
      </c>
      <c r="AC52" s="55">
        <v>0</v>
      </c>
      <c r="AD52" s="55">
        <v>0</v>
      </c>
      <c r="AE52" s="55">
        <v>0</v>
      </c>
      <c r="AF52" s="55">
        <v>0</v>
      </c>
      <c r="AG52" s="55">
        <v>0</v>
      </c>
      <c r="AH52" s="55">
        <v>0</v>
      </c>
      <c r="AI52" s="55">
        <v>0</v>
      </c>
      <c r="AJ52" s="55">
        <v>0</v>
      </c>
      <c r="AK52" s="55">
        <v>0</v>
      </c>
      <c r="AL52" s="55">
        <v>0</v>
      </c>
      <c r="AM52" s="55">
        <v>0</v>
      </c>
      <c r="AN52" s="55">
        <v>0</v>
      </c>
      <c r="AO52" s="55">
        <v>0</v>
      </c>
      <c r="AP52" s="55">
        <v>0</v>
      </c>
      <c r="AQ52" s="55">
        <v>0</v>
      </c>
      <c r="AR52" s="55">
        <v>0</v>
      </c>
      <c r="AS52" s="55">
        <v>0</v>
      </c>
    </row>
    <row r="53" spans="1:45" x14ac:dyDescent="0.35">
      <c r="A53" s="49" t="str">
        <f t="shared" si="41"/>
        <v>FS_2040</v>
      </c>
      <c r="B53" s="25" t="s">
        <v>16</v>
      </c>
      <c r="C53" s="10" t="str">
        <f t="shared" si="42"/>
        <v>kgCO2/GJ</v>
      </c>
      <c r="D53" s="12">
        <v>74</v>
      </c>
      <c r="E53" s="12">
        <v>74</v>
      </c>
      <c r="F53" s="12">
        <v>74</v>
      </c>
      <c r="G53" s="12">
        <v>74</v>
      </c>
      <c r="H53" s="12">
        <v>74</v>
      </c>
      <c r="I53" s="12">
        <v>74</v>
      </c>
      <c r="J53" s="12">
        <v>74</v>
      </c>
      <c r="K53" s="12">
        <v>74</v>
      </c>
      <c r="L53" s="12">
        <v>74</v>
      </c>
      <c r="M53" s="12">
        <v>74</v>
      </c>
      <c r="N53" s="12">
        <v>74</v>
      </c>
      <c r="O53" s="12">
        <v>74</v>
      </c>
      <c r="P53" s="12">
        <v>74</v>
      </c>
      <c r="Q53" s="12">
        <v>74</v>
      </c>
      <c r="R53" s="12">
        <v>74</v>
      </c>
      <c r="S53" s="12">
        <v>74</v>
      </c>
      <c r="T53" s="12">
        <v>74</v>
      </c>
      <c r="U53" s="12">
        <v>74</v>
      </c>
      <c r="V53" s="12">
        <v>74</v>
      </c>
      <c r="W53" s="12">
        <v>74</v>
      </c>
      <c r="X53" s="12">
        <v>74</v>
      </c>
      <c r="Y53" s="56">
        <v>0</v>
      </c>
      <c r="Z53" s="56">
        <v>0</v>
      </c>
      <c r="AA53" s="56">
        <v>0</v>
      </c>
      <c r="AB53" s="56">
        <v>0</v>
      </c>
      <c r="AC53" s="56">
        <v>0</v>
      </c>
      <c r="AD53" s="56">
        <v>0</v>
      </c>
      <c r="AE53" s="56">
        <v>0</v>
      </c>
      <c r="AF53" s="56">
        <v>0</v>
      </c>
      <c r="AG53" s="56">
        <v>0</v>
      </c>
      <c r="AH53" s="56">
        <v>0</v>
      </c>
      <c r="AI53" s="56">
        <v>0</v>
      </c>
      <c r="AJ53" s="56">
        <v>0</v>
      </c>
      <c r="AK53" s="56">
        <v>0</v>
      </c>
      <c r="AL53" s="56">
        <v>0</v>
      </c>
      <c r="AM53" s="56">
        <v>0</v>
      </c>
      <c r="AN53" s="56">
        <v>0</v>
      </c>
      <c r="AO53" s="56">
        <v>0</v>
      </c>
      <c r="AP53" s="56">
        <v>0</v>
      </c>
      <c r="AQ53" s="56">
        <v>0</v>
      </c>
      <c r="AR53" s="56">
        <v>0</v>
      </c>
      <c r="AS53" s="56">
        <v>0</v>
      </c>
    </row>
    <row r="54" spans="1:45" x14ac:dyDescent="0.35">
      <c r="A54" s="49" t="str">
        <f t="shared" si="41"/>
        <v>FS_2040</v>
      </c>
      <c r="B54" s="24" t="s">
        <v>17</v>
      </c>
      <c r="C54" s="5" t="str">
        <f t="shared" si="42"/>
        <v>kgCO2/GJ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55">
        <v>0</v>
      </c>
      <c r="Z54" s="55">
        <v>0</v>
      </c>
      <c r="AA54" s="55">
        <v>0</v>
      </c>
      <c r="AB54" s="55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5">
        <v>0</v>
      </c>
      <c r="AJ54" s="55">
        <v>0</v>
      </c>
      <c r="AK54" s="55">
        <v>0</v>
      </c>
      <c r="AL54" s="55">
        <v>0</v>
      </c>
      <c r="AM54" s="55">
        <v>0</v>
      </c>
      <c r="AN54" s="55">
        <v>0</v>
      </c>
      <c r="AO54" s="55">
        <v>0</v>
      </c>
      <c r="AP54" s="55">
        <v>0</v>
      </c>
      <c r="AQ54" s="55">
        <v>0</v>
      </c>
      <c r="AR54" s="55">
        <v>0</v>
      </c>
      <c r="AS54" s="55">
        <v>0</v>
      </c>
    </row>
    <row r="55" spans="1:45" x14ac:dyDescent="0.35">
      <c r="A55" s="49" t="str">
        <f t="shared" si="41"/>
        <v>FS_2040</v>
      </c>
      <c r="B55" s="25" t="s">
        <v>18</v>
      </c>
      <c r="C55" s="10" t="str">
        <f t="shared" si="42"/>
        <v>kgCO2/GJ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56">
        <v>0</v>
      </c>
      <c r="Z55" s="56">
        <v>0</v>
      </c>
      <c r="AA55" s="56">
        <v>0</v>
      </c>
      <c r="AB55" s="56">
        <v>0</v>
      </c>
      <c r="AC55" s="56">
        <v>0</v>
      </c>
      <c r="AD55" s="56">
        <v>0</v>
      </c>
      <c r="AE55" s="56">
        <v>0</v>
      </c>
      <c r="AF55" s="56">
        <v>0</v>
      </c>
      <c r="AG55" s="56">
        <v>0</v>
      </c>
      <c r="AH55" s="56">
        <v>0</v>
      </c>
      <c r="AI55" s="56">
        <v>0</v>
      </c>
      <c r="AJ55" s="56">
        <v>0</v>
      </c>
      <c r="AK55" s="56">
        <v>0</v>
      </c>
      <c r="AL55" s="56">
        <v>0</v>
      </c>
      <c r="AM55" s="56">
        <v>0</v>
      </c>
      <c r="AN55" s="56">
        <v>0</v>
      </c>
      <c r="AO55" s="56">
        <v>0</v>
      </c>
      <c r="AP55" s="56">
        <v>0</v>
      </c>
      <c r="AQ55" s="56">
        <v>0</v>
      </c>
      <c r="AR55" s="56">
        <v>0</v>
      </c>
      <c r="AS55" s="56">
        <v>0</v>
      </c>
    </row>
    <row r="56" spans="1:45" x14ac:dyDescent="0.35">
      <c r="A56" s="49" t="str">
        <f t="shared" si="41"/>
        <v>FS_2040</v>
      </c>
      <c r="B56" s="24" t="s">
        <v>19</v>
      </c>
      <c r="C56" s="5" t="str">
        <f t="shared" si="42"/>
        <v>kgCO2/GJ</v>
      </c>
      <c r="D56" s="7">
        <v>74</v>
      </c>
      <c r="E56" s="7">
        <v>74</v>
      </c>
      <c r="F56" s="7">
        <v>74</v>
      </c>
      <c r="G56" s="7">
        <v>74</v>
      </c>
      <c r="H56" s="7">
        <v>74</v>
      </c>
      <c r="I56" s="7">
        <v>74</v>
      </c>
      <c r="J56" s="7">
        <v>74</v>
      </c>
      <c r="K56" s="7">
        <v>74</v>
      </c>
      <c r="L56" s="7">
        <v>74</v>
      </c>
      <c r="M56" s="7">
        <v>74</v>
      </c>
      <c r="N56" s="7">
        <v>74</v>
      </c>
      <c r="O56" s="7">
        <v>74</v>
      </c>
      <c r="P56" s="7">
        <v>74</v>
      </c>
      <c r="Q56" s="7">
        <v>74</v>
      </c>
      <c r="R56" s="7">
        <v>74</v>
      </c>
      <c r="S56" s="7">
        <v>74</v>
      </c>
      <c r="T56" s="7">
        <v>74</v>
      </c>
      <c r="U56" s="7">
        <v>74</v>
      </c>
      <c r="V56" s="7">
        <v>74</v>
      </c>
      <c r="W56" s="7">
        <v>74</v>
      </c>
      <c r="X56" s="7">
        <v>74</v>
      </c>
      <c r="Y56" s="55">
        <v>0</v>
      </c>
      <c r="Z56" s="55">
        <v>0</v>
      </c>
      <c r="AA56" s="55">
        <v>0</v>
      </c>
      <c r="AB56" s="55">
        <v>0</v>
      </c>
      <c r="AC56" s="55">
        <v>0</v>
      </c>
      <c r="AD56" s="55">
        <v>0</v>
      </c>
      <c r="AE56" s="55">
        <v>0</v>
      </c>
      <c r="AF56" s="55">
        <v>0</v>
      </c>
      <c r="AG56" s="55">
        <v>0</v>
      </c>
      <c r="AH56" s="55">
        <v>0</v>
      </c>
      <c r="AI56" s="55">
        <v>0</v>
      </c>
      <c r="AJ56" s="55">
        <v>0</v>
      </c>
      <c r="AK56" s="55">
        <v>0</v>
      </c>
      <c r="AL56" s="55">
        <v>0</v>
      </c>
      <c r="AM56" s="55">
        <v>0</v>
      </c>
      <c r="AN56" s="55">
        <v>0</v>
      </c>
      <c r="AO56" s="55">
        <v>0</v>
      </c>
      <c r="AP56" s="55">
        <v>0</v>
      </c>
      <c r="AQ56" s="55">
        <v>0</v>
      </c>
      <c r="AR56" s="55">
        <v>0</v>
      </c>
      <c r="AS56" s="55">
        <v>0</v>
      </c>
    </row>
    <row r="57" spans="1:45" x14ac:dyDescent="0.35">
      <c r="A57" s="49" t="str">
        <f t="shared" si="41"/>
        <v>FS_2040</v>
      </c>
      <c r="B57" s="25" t="s">
        <v>20</v>
      </c>
      <c r="C57" s="10" t="str">
        <f t="shared" si="42"/>
        <v>kgCO2/GJ</v>
      </c>
      <c r="D57" s="12">
        <v>74</v>
      </c>
      <c r="E57" s="12">
        <v>74</v>
      </c>
      <c r="F57" s="12">
        <v>74</v>
      </c>
      <c r="G57" s="12">
        <v>74</v>
      </c>
      <c r="H57" s="12">
        <v>74</v>
      </c>
      <c r="I57" s="12">
        <v>74</v>
      </c>
      <c r="J57" s="12">
        <v>74</v>
      </c>
      <c r="K57" s="12">
        <v>74</v>
      </c>
      <c r="L57" s="12">
        <v>74</v>
      </c>
      <c r="M57" s="12">
        <v>74</v>
      </c>
      <c r="N57" s="12">
        <v>74</v>
      </c>
      <c r="O57" s="12">
        <v>74</v>
      </c>
      <c r="P57" s="12">
        <v>74</v>
      </c>
      <c r="Q57" s="12">
        <v>74</v>
      </c>
      <c r="R57" s="12">
        <v>74</v>
      </c>
      <c r="S57" s="12">
        <v>74</v>
      </c>
      <c r="T57" s="12">
        <v>74</v>
      </c>
      <c r="U57" s="12">
        <v>74</v>
      </c>
      <c r="V57" s="12">
        <v>74</v>
      </c>
      <c r="W57" s="12">
        <v>74</v>
      </c>
      <c r="X57" s="12">
        <v>74</v>
      </c>
      <c r="Y57" s="56">
        <v>0</v>
      </c>
      <c r="Z57" s="56">
        <v>0</v>
      </c>
      <c r="AA57" s="56">
        <v>0</v>
      </c>
      <c r="AB57" s="56">
        <v>0</v>
      </c>
      <c r="AC57" s="56">
        <v>0</v>
      </c>
      <c r="AD57" s="56">
        <v>0</v>
      </c>
      <c r="AE57" s="56">
        <v>0</v>
      </c>
      <c r="AF57" s="56">
        <v>0</v>
      </c>
      <c r="AG57" s="56">
        <v>0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0</v>
      </c>
      <c r="AR57" s="56">
        <v>0</v>
      </c>
      <c r="AS57" s="56">
        <v>0</v>
      </c>
    </row>
    <row r="58" spans="1:45" x14ac:dyDescent="0.35">
      <c r="A58" s="49" t="str">
        <f t="shared" si="41"/>
        <v>FS_2040</v>
      </c>
      <c r="B58" s="25" t="s">
        <v>55</v>
      </c>
      <c r="C58" s="5" t="str">
        <f>C55</f>
        <v>kgCO2/GJ</v>
      </c>
      <c r="D58" s="7">
        <v>96</v>
      </c>
      <c r="E58" s="7">
        <v>96</v>
      </c>
      <c r="F58" s="7">
        <v>96</v>
      </c>
      <c r="G58" s="7">
        <v>96</v>
      </c>
      <c r="H58" s="7">
        <v>96</v>
      </c>
      <c r="I58" s="7">
        <v>96</v>
      </c>
      <c r="J58" s="7">
        <v>96</v>
      </c>
      <c r="K58" s="7">
        <v>96</v>
      </c>
      <c r="L58" s="7">
        <v>96</v>
      </c>
      <c r="M58" s="7">
        <v>96</v>
      </c>
      <c r="N58" s="7">
        <v>96</v>
      </c>
      <c r="O58" s="7">
        <v>96</v>
      </c>
      <c r="P58" s="7">
        <v>96</v>
      </c>
      <c r="Q58" s="7">
        <v>96</v>
      </c>
      <c r="R58" s="7">
        <v>96</v>
      </c>
      <c r="S58" s="7">
        <v>96</v>
      </c>
      <c r="T58" s="7">
        <v>96</v>
      </c>
      <c r="U58" s="7">
        <v>96</v>
      </c>
      <c r="V58" s="7">
        <v>96</v>
      </c>
      <c r="W58" s="7">
        <v>96</v>
      </c>
      <c r="X58" s="7">
        <v>96</v>
      </c>
      <c r="Y58" s="7">
        <v>96</v>
      </c>
      <c r="Z58" s="7">
        <v>96</v>
      </c>
      <c r="AA58" s="7">
        <v>96</v>
      </c>
      <c r="AB58" s="7">
        <v>96</v>
      </c>
      <c r="AC58" s="7">
        <v>96</v>
      </c>
      <c r="AD58" s="7">
        <v>96</v>
      </c>
      <c r="AE58" s="7">
        <v>96</v>
      </c>
      <c r="AF58" s="7">
        <v>96</v>
      </c>
      <c r="AG58" s="7">
        <v>96</v>
      </c>
      <c r="AH58" s="7">
        <v>96</v>
      </c>
      <c r="AI58" s="7">
        <v>96</v>
      </c>
      <c r="AJ58">
        <f t="shared" ref="AJ58:AJ59" si="43">AI58</f>
        <v>96</v>
      </c>
      <c r="AK58">
        <f t="shared" ref="AK58:AK59" si="44">AJ58</f>
        <v>96</v>
      </c>
      <c r="AL58">
        <f t="shared" ref="AL58:AL59" si="45">AK58</f>
        <v>96</v>
      </c>
      <c r="AM58">
        <f t="shared" ref="AM58:AM59" si="46">AL58</f>
        <v>96</v>
      </c>
      <c r="AN58">
        <f t="shared" ref="AN58:AN59" si="47">AM58</f>
        <v>96</v>
      </c>
      <c r="AO58">
        <f t="shared" ref="AO58:AO59" si="48">AN58</f>
        <v>96</v>
      </c>
      <c r="AP58">
        <f t="shared" ref="AP58:AP59" si="49">AO58</f>
        <v>96</v>
      </c>
      <c r="AQ58">
        <f t="shared" ref="AQ58:AQ59" si="50">AP58</f>
        <v>96</v>
      </c>
      <c r="AR58">
        <f t="shared" ref="AR58:AR59" si="51">AQ58</f>
        <v>96</v>
      </c>
      <c r="AS58">
        <f t="shared" ref="AS58:AS59" si="52">AR58</f>
        <v>96</v>
      </c>
    </row>
    <row r="59" spans="1:45" x14ac:dyDescent="0.35">
      <c r="A59" s="49" t="str">
        <f t="shared" si="41"/>
        <v>FS_2040</v>
      </c>
      <c r="B59" s="25" t="s">
        <v>56</v>
      </c>
      <c r="C59" s="10" t="str">
        <f t="shared" si="42"/>
        <v>kgCO2/GJ</v>
      </c>
      <c r="D59" s="12">
        <v>96</v>
      </c>
      <c r="E59" s="12">
        <v>96</v>
      </c>
      <c r="F59" s="12">
        <v>96</v>
      </c>
      <c r="G59" s="12">
        <v>96</v>
      </c>
      <c r="H59" s="12">
        <v>96</v>
      </c>
      <c r="I59" s="12">
        <v>96</v>
      </c>
      <c r="J59" s="12">
        <v>96</v>
      </c>
      <c r="K59" s="12">
        <v>96</v>
      </c>
      <c r="L59" s="12">
        <v>96</v>
      </c>
      <c r="M59" s="12">
        <v>96</v>
      </c>
      <c r="N59" s="12">
        <v>96</v>
      </c>
      <c r="O59" s="12">
        <v>96</v>
      </c>
      <c r="P59" s="12">
        <v>96</v>
      </c>
      <c r="Q59" s="12">
        <v>96</v>
      </c>
      <c r="R59" s="12">
        <v>96</v>
      </c>
      <c r="S59" s="12">
        <v>96</v>
      </c>
      <c r="T59" s="12">
        <v>96</v>
      </c>
      <c r="U59" s="12">
        <v>96</v>
      </c>
      <c r="V59" s="12">
        <v>96</v>
      </c>
      <c r="W59" s="12">
        <v>96</v>
      </c>
      <c r="X59" s="12">
        <v>96</v>
      </c>
      <c r="Y59" s="12">
        <v>96</v>
      </c>
      <c r="Z59" s="12">
        <v>96</v>
      </c>
      <c r="AA59" s="12">
        <v>96</v>
      </c>
      <c r="AB59" s="12">
        <v>96</v>
      </c>
      <c r="AC59" s="12">
        <v>96</v>
      </c>
      <c r="AD59" s="12">
        <v>96</v>
      </c>
      <c r="AE59" s="12">
        <v>96</v>
      </c>
      <c r="AF59" s="12">
        <v>96</v>
      </c>
      <c r="AG59" s="12">
        <v>96</v>
      </c>
      <c r="AH59" s="12">
        <v>96</v>
      </c>
      <c r="AI59" s="12">
        <v>96</v>
      </c>
      <c r="AJ59">
        <f t="shared" si="43"/>
        <v>96</v>
      </c>
      <c r="AK59">
        <f t="shared" si="44"/>
        <v>96</v>
      </c>
      <c r="AL59">
        <f t="shared" si="45"/>
        <v>96</v>
      </c>
      <c r="AM59">
        <f t="shared" si="46"/>
        <v>96</v>
      </c>
      <c r="AN59">
        <f t="shared" si="47"/>
        <v>96</v>
      </c>
      <c r="AO59">
        <f t="shared" si="48"/>
        <v>96</v>
      </c>
      <c r="AP59">
        <f t="shared" si="49"/>
        <v>96</v>
      </c>
      <c r="AQ59">
        <f t="shared" si="50"/>
        <v>96</v>
      </c>
      <c r="AR59">
        <f t="shared" si="51"/>
        <v>96</v>
      </c>
      <c r="AS59">
        <f t="shared" si="52"/>
        <v>96</v>
      </c>
    </row>
    <row r="60" spans="1:45" x14ac:dyDescent="0.35">
      <c r="A60" s="49" t="str">
        <f>A57</f>
        <v>FS_2040</v>
      </c>
      <c r="B60" s="24" t="s">
        <v>21</v>
      </c>
      <c r="C60" s="5" t="str">
        <f>C57</f>
        <v>kgCO2/GJ</v>
      </c>
      <c r="D60" s="7">
        <v>96</v>
      </c>
      <c r="E60" s="7">
        <v>96</v>
      </c>
      <c r="F60" s="7">
        <v>96</v>
      </c>
      <c r="G60" s="7">
        <v>96</v>
      </c>
      <c r="H60" s="7">
        <v>96</v>
      </c>
      <c r="I60" s="7">
        <v>96</v>
      </c>
      <c r="J60" s="7">
        <v>96</v>
      </c>
      <c r="K60" s="7">
        <v>96</v>
      </c>
      <c r="L60" s="7">
        <v>96</v>
      </c>
      <c r="M60" s="7">
        <v>96</v>
      </c>
      <c r="N60" s="7">
        <v>96</v>
      </c>
      <c r="O60" s="7">
        <v>96</v>
      </c>
      <c r="P60" s="7">
        <v>96</v>
      </c>
      <c r="Q60" s="7">
        <v>96</v>
      </c>
      <c r="R60" s="7">
        <v>96</v>
      </c>
      <c r="S60" s="7">
        <v>96</v>
      </c>
      <c r="T60" s="7">
        <v>96</v>
      </c>
      <c r="U60" s="7">
        <v>96</v>
      </c>
      <c r="V60" s="7">
        <v>96</v>
      </c>
      <c r="W60" s="7">
        <v>96</v>
      </c>
      <c r="X60" s="7">
        <v>96</v>
      </c>
      <c r="Y60" s="7">
        <v>96</v>
      </c>
      <c r="Z60" s="7">
        <v>96</v>
      </c>
      <c r="AA60" s="7">
        <v>96</v>
      </c>
      <c r="AB60" s="7">
        <v>96</v>
      </c>
      <c r="AC60" s="7">
        <v>96</v>
      </c>
      <c r="AD60" s="7">
        <v>96</v>
      </c>
      <c r="AE60" s="7">
        <v>96</v>
      </c>
      <c r="AF60" s="7">
        <v>96</v>
      </c>
      <c r="AG60" s="7">
        <v>96</v>
      </c>
      <c r="AH60" s="7">
        <v>96</v>
      </c>
      <c r="AI60" s="7">
        <v>96</v>
      </c>
      <c r="AJ60">
        <f t="shared" ref="AJ60:AJ63" si="53">AI60</f>
        <v>96</v>
      </c>
      <c r="AK60">
        <f t="shared" ref="AK60:AK63" si="54">AJ60</f>
        <v>96</v>
      </c>
      <c r="AL60">
        <f t="shared" ref="AL60:AL63" si="55">AK60</f>
        <v>96</v>
      </c>
      <c r="AM60">
        <f t="shared" ref="AM60:AM63" si="56">AL60</f>
        <v>96</v>
      </c>
      <c r="AN60">
        <f t="shared" ref="AN60:AN63" si="57">AM60</f>
        <v>96</v>
      </c>
      <c r="AO60">
        <f t="shared" ref="AO60:AO63" si="58">AN60</f>
        <v>96</v>
      </c>
      <c r="AP60">
        <f t="shared" ref="AP60:AP63" si="59">AO60</f>
        <v>96</v>
      </c>
      <c r="AQ60">
        <f t="shared" ref="AQ60:AQ63" si="60">AP60</f>
        <v>96</v>
      </c>
      <c r="AR60">
        <f t="shared" ref="AR60:AR63" si="61">AQ60</f>
        <v>96</v>
      </c>
      <c r="AS60">
        <f t="shared" ref="AS60:AS63" si="62">AR60</f>
        <v>96</v>
      </c>
    </row>
    <row r="61" spans="1:45" x14ac:dyDescent="0.35">
      <c r="A61" s="49" t="str">
        <f t="shared" si="41"/>
        <v>FS_2040</v>
      </c>
      <c r="B61" s="25" t="s">
        <v>22</v>
      </c>
      <c r="C61" s="10" t="str">
        <f t="shared" si="42"/>
        <v>kgCO2/GJ</v>
      </c>
      <c r="D61" s="12">
        <v>96</v>
      </c>
      <c r="E61" s="12">
        <v>96</v>
      </c>
      <c r="F61" s="12">
        <v>96</v>
      </c>
      <c r="G61" s="12">
        <v>96</v>
      </c>
      <c r="H61" s="12">
        <v>96</v>
      </c>
      <c r="I61" s="12">
        <v>96</v>
      </c>
      <c r="J61" s="12">
        <v>96</v>
      </c>
      <c r="K61" s="12">
        <v>96</v>
      </c>
      <c r="L61" s="12">
        <v>96</v>
      </c>
      <c r="M61" s="12">
        <v>96</v>
      </c>
      <c r="N61" s="12">
        <v>96</v>
      </c>
      <c r="O61" s="12">
        <v>96</v>
      </c>
      <c r="P61" s="12">
        <v>96</v>
      </c>
      <c r="Q61" s="12">
        <v>96</v>
      </c>
      <c r="R61" s="12">
        <v>96</v>
      </c>
      <c r="S61" s="12">
        <v>96</v>
      </c>
      <c r="T61" s="12">
        <v>96</v>
      </c>
      <c r="U61" s="12">
        <v>96</v>
      </c>
      <c r="V61" s="12">
        <v>96</v>
      </c>
      <c r="W61" s="12">
        <v>96</v>
      </c>
      <c r="X61" s="12">
        <v>96</v>
      </c>
      <c r="Y61" s="12">
        <v>96</v>
      </c>
      <c r="Z61" s="12">
        <v>96</v>
      </c>
      <c r="AA61" s="12">
        <v>96</v>
      </c>
      <c r="AB61" s="12">
        <v>96</v>
      </c>
      <c r="AC61" s="12">
        <v>96</v>
      </c>
      <c r="AD61" s="12">
        <v>96</v>
      </c>
      <c r="AE61" s="12">
        <v>96</v>
      </c>
      <c r="AF61" s="12">
        <v>96</v>
      </c>
      <c r="AG61" s="12">
        <v>96</v>
      </c>
      <c r="AH61" s="12">
        <v>96</v>
      </c>
      <c r="AI61" s="12">
        <v>96</v>
      </c>
      <c r="AJ61">
        <f t="shared" si="53"/>
        <v>96</v>
      </c>
      <c r="AK61">
        <f t="shared" si="54"/>
        <v>96</v>
      </c>
      <c r="AL61">
        <f t="shared" si="55"/>
        <v>96</v>
      </c>
      <c r="AM61">
        <f t="shared" si="56"/>
        <v>96</v>
      </c>
      <c r="AN61">
        <f t="shared" si="57"/>
        <v>96</v>
      </c>
      <c r="AO61">
        <f t="shared" si="58"/>
        <v>96</v>
      </c>
      <c r="AP61">
        <f t="shared" si="59"/>
        <v>96</v>
      </c>
      <c r="AQ61">
        <f t="shared" si="60"/>
        <v>96</v>
      </c>
      <c r="AR61">
        <f t="shared" si="61"/>
        <v>96</v>
      </c>
      <c r="AS61">
        <f t="shared" si="62"/>
        <v>96</v>
      </c>
    </row>
    <row r="62" spans="1:45" x14ac:dyDescent="0.35">
      <c r="A62" s="49" t="str">
        <f t="shared" si="41"/>
        <v>FS_2040</v>
      </c>
      <c r="B62" s="24" t="s">
        <v>23</v>
      </c>
      <c r="C62" s="5" t="str">
        <f t="shared" si="42"/>
        <v>kgCO2/GJ</v>
      </c>
      <c r="D62" s="7">
        <v>69</v>
      </c>
      <c r="E62" s="7">
        <v>69</v>
      </c>
      <c r="F62" s="7">
        <v>69</v>
      </c>
      <c r="G62" s="7">
        <v>69</v>
      </c>
      <c r="H62" s="7">
        <v>69</v>
      </c>
      <c r="I62" s="7">
        <v>69</v>
      </c>
      <c r="J62" s="7">
        <v>69</v>
      </c>
      <c r="K62" s="7">
        <v>69</v>
      </c>
      <c r="L62" s="7">
        <v>69</v>
      </c>
      <c r="M62" s="7">
        <v>69</v>
      </c>
      <c r="N62" s="7">
        <v>69</v>
      </c>
      <c r="O62" s="7">
        <v>69</v>
      </c>
      <c r="P62" s="7">
        <v>69</v>
      </c>
      <c r="Q62" s="7">
        <v>69</v>
      </c>
      <c r="R62" s="7">
        <v>69</v>
      </c>
      <c r="S62" s="7">
        <v>69</v>
      </c>
      <c r="T62" s="7">
        <v>69</v>
      </c>
      <c r="U62" s="7">
        <v>69</v>
      </c>
      <c r="V62" s="7">
        <v>69</v>
      </c>
      <c r="W62" s="7">
        <v>69</v>
      </c>
      <c r="X62" s="7">
        <v>69</v>
      </c>
      <c r="Y62" s="7">
        <v>69</v>
      </c>
      <c r="Z62" s="7">
        <v>69</v>
      </c>
      <c r="AA62" s="7">
        <v>69</v>
      </c>
      <c r="AB62" s="7">
        <v>69</v>
      </c>
      <c r="AC62" s="7">
        <v>69</v>
      </c>
      <c r="AD62" s="7">
        <v>69</v>
      </c>
      <c r="AE62" s="7">
        <v>69</v>
      </c>
      <c r="AF62" s="7">
        <v>69</v>
      </c>
      <c r="AG62" s="7">
        <v>69</v>
      </c>
      <c r="AH62" s="7">
        <v>69</v>
      </c>
      <c r="AI62" s="7">
        <v>69</v>
      </c>
      <c r="AJ62">
        <f t="shared" si="53"/>
        <v>69</v>
      </c>
      <c r="AK62">
        <f t="shared" si="54"/>
        <v>69</v>
      </c>
      <c r="AL62">
        <f t="shared" si="55"/>
        <v>69</v>
      </c>
      <c r="AM62">
        <f t="shared" si="56"/>
        <v>69</v>
      </c>
      <c r="AN62">
        <f t="shared" si="57"/>
        <v>69</v>
      </c>
      <c r="AO62">
        <f t="shared" si="58"/>
        <v>69</v>
      </c>
      <c r="AP62">
        <f t="shared" si="59"/>
        <v>69</v>
      </c>
      <c r="AQ62">
        <f t="shared" si="60"/>
        <v>69</v>
      </c>
      <c r="AR62">
        <f t="shared" si="61"/>
        <v>69</v>
      </c>
      <c r="AS62">
        <f t="shared" si="62"/>
        <v>69</v>
      </c>
    </row>
    <row r="63" spans="1:45" x14ac:dyDescent="0.35">
      <c r="A63" s="50" t="str">
        <f t="shared" si="41"/>
        <v>FS_2040</v>
      </c>
      <c r="B63" s="26" t="s">
        <v>24</v>
      </c>
      <c r="C63" s="27" t="str">
        <f t="shared" si="42"/>
        <v>kgCO2/GJ</v>
      </c>
      <c r="D63" s="28">
        <v>69</v>
      </c>
      <c r="E63" s="28">
        <v>69</v>
      </c>
      <c r="F63" s="28">
        <v>69</v>
      </c>
      <c r="G63" s="28">
        <v>69</v>
      </c>
      <c r="H63" s="28">
        <v>69</v>
      </c>
      <c r="I63" s="28">
        <v>69</v>
      </c>
      <c r="J63" s="28">
        <v>69</v>
      </c>
      <c r="K63" s="28">
        <v>69</v>
      </c>
      <c r="L63" s="28">
        <v>69</v>
      </c>
      <c r="M63" s="28">
        <v>69</v>
      </c>
      <c r="N63" s="28">
        <v>69</v>
      </c>
      <c r="O63" s="28">
        <v>69</v>
      </c>
      <c r="P63" s="28">
        <v>69</v>
      </c>
      <c r="Q63" s="28">
        <v>69</v>
      </c>
      <c r="R63" s="28">
        <v>69</v>
      </c>
      <c r="S63" s="28">
        <v>69</v>
      </c>
      <c r="T63" s="28">
        <v>69</v>
      </c>
      <c r="U63" s="28">
        <v>69</v>
      </c>
      <c r="V63" s="28">
        <v>69</v>
      </c>
      <c r="W63" s="28">
        <v>69</v>
      </c>
      <c r="X63" s="28">
        <v>69</v>
      </c>
      <c r="Y63" s="12">
        <v>69</v>
      </c>
      <c r="Z63" s="28">
        <v>69</v>
      </c>
      <c r="AA63" s="28">
        <v>69</v>
      </c>
      <c r="AB63" s="28">
        <v>69</v>
      </c>
      <c r="AC63" s="28">
        <v>69</v>
      </c>
      <c r="AD63" s="28">
        <v>69</v>
      </c>
      <c r="AE63" s="28">
        <v>69</v>
      </c>
      <c r="AF63" s="28">
        <v>69</v>
      </c>
      <c r="AG63" s="28">
        <v>69</v>
      </c>
      <c r="AH63" s="28">
        <v>69</v>
      </c>
      <c r="AI63" s="28">
        <v>69</v>
      </c>
      <c r="AJ63" s="29">
        <f t="shared" si="53"/>
        <v>69</v>
      </c>
      <c r="AK63" s="29">
        <f t="shared" si="54"/>
        <v>69</v>
      </c>
      <c r="AL63" s="29">
        <f t="shared" si="55"/>
        <v>69</v>
      </c>
      <c r="AM63" s="29">
        <f t="shared" si="56"/>
        <v>69</v>
      </c>
      <c r="AN63" s="29">
        <f t="shared" si="57"/>
        <v>69</v>
      </c>
      <c r="AO63" s="29">
        <f t="shared" si="58"/>
        <v>69</v>
      </c>
      <c r="AP63" s="29">
        <f t="shared" si="59"/>
        <v>69</v>
      </c>
      <c r="AQ63" s="29">
        <f t="shared" si="60"/>
        <v>69</v>
      </c>
      <c r="AR63" s="29">
        <f t="shared" si="61"/>
        <v>69</v>
      </c>
      <c r="AS63" s="29">
        <f t="shared" si="62"/>
        <v>69</v>
      </c>
    </row>
    <row r="64" spans="1:45" x14ac:dyDescent="0.35">
      <c r="A64" s="51" t="s">
        <v>53</v>
      </c>
      <c r="B64" s="24" t="s">
        <v>12</v>
      </c>
      <c r="C64" s="5" t="s">
        <v>13</v>
      </c>
      <c r="D64" s="7">
        <v>74</v>
      </c>
      <c r="E64" s="7">
        <v>74</v>
      </c>
      <c r="F64" s="7">
        <v>74</v>
      </c>
      <c r="G64" s="7">
        <v>74</v>
      </c>
      <c r="H64" s="7">
        <v>74</v>
      </c>
      <c r="I64" s="7">
        <v>74</v>
      </c>
      <c r="J64" s="7">
        <v>74</v>
      </c>
      <c r="K64" s="7">
        <v>74</v>
      </c>
      <c r="L64" s="7">
        <v>74</v>
      </c>
      <c r="M64" s="7">
        <v>74</v>
      </c>
      <c r="N64" s="7">
        <v>74</v>
      </c>
      <c r="O64" s="7">
        <v>74</v>
      </c>
      <c r="P64" s="7">
        <v>74</v>
      </c>
      <c r="Q64" s="7">
        <v>74</v>
      </c>
      <c r="R64" s="7">
        <v>74</v>
      </c>
      <c r="S64" s="7">
        <v>74</v>
      </c>
      <c r="T64" s="7">
        <v>74</v>
      </c>
      <c r="U64" s="7">
        <v>74</v>
      </c>
      <c r="V64" s="7">
        <v>74</v>
      </c>
      <c r="W64" s="7">
        <v>74</v>
      </c>
      <c r="X64" s="7">
        <v>74</v>
      </c>
      <c r="Y64" s="7">
        <v>74</v>
      </c>
      <c r="Z64" s="7">
        <v>74</v>
      </c>
      <c r="AA64" s="7">
        <v>74</v>
      </c>
      <c r="AB64" s="7">
        <v>74</v>
      </c>
      <c r="AC64" s="7">
        <v>74</v>
      </c>
      <c r="AD64" s="55">
        <v>0</v>
      </c>
      <c r="AE64" s="55">
        <v>0</v>
      </c>
      <c r="AF64" s="55">
        <v>0</v>
      </c>
      <c r="AG64" s="55">
        <v>0</v>
      </c>
      <c r="AH64" s="55">
        <v>0</v>
      </c>
      <c r="AI64" s="55">
        <v>0</v>
      </c>
      <c r="AJ64" s="60">
        <f t="shared" ref="AJ64:AJ77" si="63">AI64</f>
        <v>0</v>
      </c>
      <c r="AK64" s="60">
        <f t="shared" ref="AK64:AK77" si="64">AJ64</f>
        <v>0</v>
      </c>
      <c r="AL64" s="60">
        <f t="shared" ref="AL64:AL77" si="65">AK64</f>
        <v>0</v>
      </c>
      <c r="AM64" s="60">
        <f t="shared" ref="AM64:AM77" si="66">AL64</f>
        <v>0</v>
      </c>
      <c r="AN64" s="60">
        <f t="shared" ref="AN64:AN77" si="67">AM64</f>
        <v>0</v>
      </c>
      <c r="AO64" s="60">
        <f t="shared" ref="AO64:AO77" si="68">AN64</f>
        <v>0</v>
      </c>
      <c r="AP64" s="60">
        <f t="shared" ref="AP64:AP77" si="69">AO64</f>
        <v>0</v>
      </c>
      <c r="AQ64" s="60">
        <f t="shared" ref="AQ64:AQ77" si="70">AP64</f>
        <v>0</v>
      </c>
      <c r="AR64" s="60">
        <f t="shared" ref="AR64:AR77" si="71">AQ64</f>
        <v>0</v>
      </c>
      <c r="AS64" s="60">
        <f t="shared" ref="AS64:AS77" si="72">AR64</f>
        <v>0</v>
      </c>
    </row>
    <row r="65" spans="1:45" x14ac:dyDescent="0.35">
      <c r="A65" s="51" t="str">
        <f t="shared" si="41"/>
        <v>FS_2045</v>
      </c>
      <c r="B65" s="25" t="s">
        <v>14</v>
      </c>
      <c r="C65" s="10" t="str">
        <f t="shared" si="42"/>
        <v>kgCO2/GJ</v>
      </c>
      <c r="D65" s="12">
        <v>74</v>
      </c>
      <c r="E65" s="12">
        <v>74</v>
      </c>
      <c r="F65" s="12">
        <v>74</v>
      </c>
      <c r="G65" s="12">
        <v>74</v>
      </c>
      <c r="H65" s="12">
        <v>74</v>
      </c>
      <c r="I65" s="12">
        <v>74</v>
      </c>
      <c r="J65" s="12">
        <v>74</v>
      </c>
      <c r="K65" s="12">
        <v>74</v>
      </c>
      <c r="L65" s="12">
        <v>74</v>
      </c>
      <c r="M65" s="12">
        <v>74</v>
      </c>
      <c r="N65" s="12">
        <v>74</v>
      </c>
      <c r="O65" s="12">
        <v>74</v>
      </c>
      <c r="P65" s="12">
        <v>74</v>
      </c>
      <c r="Q65" s="12">
        <v>74</v>
      </c>
      <c r="R65" s="12">
        <v>74</v>
      </c>
      <c r="S65" s="12">
        <v>74</v>
      </c>
      <c r="T65" s="12">
        <v>74</v>
      </c>
      <c r="U65" s="12">
        <v>74</v>
      </c>
      <c r="V65" s="12">
        <v>74</v>
      </c>
      <c r="W65" s="12">
        <v>74</v>
      </c>
      <c r="X65" s="12">
        <v>74</v>
      </c>
      <c r="Y65" s="12">
        <v>74</v>
      </c>
      <c r="Z65" s="12">
        <v>74</v>
      </c>
      <c r="AA65" s="12">
        <v>74</v>
      </c>
      <c r="AB65" s="12">
        <v>74</v>
      </c>
      <c r="AC65" s="12">
        <v>74</v>
      </c>
      <c r="AD65" s="56">
        <v>0</v>
      </c>
      <c r="AE65" s="56">
        <v>0</v>
      </c>
      <c r="AF65" s="56">
        <v>0</v>
      </c>
      <c r="AG65" s="56">
        <v>0</v>
      </c>
      <c r="AH65" s="56">
        <v>0</v>
      </c>
      <c r="AI65" s="56">
        <v>0</v>
      </c>
      <c r="AJ65" s="60">
        <f t="shared" si="63"/>
        <v>0</v>
      </c>
      <c r="AK65" s="60">
        <f t="shared" si="64"/>
        <v>0</v>
      </c>
      <c r="AL65" s="60">
        <f t="shared" si="65"/>
        <v>0</v>
      </c>
      <c r="AM65" s="60">
        <f t="shared" si="66"/>
        <v>0</v>
      </c>
      <c r="AN65" s="60">
        <f t="shared" si="67"/>
        <v>0</v>
      </c>
      <c r="AO65" s="60">
        <f t="shared" si="68"/>
        <v>0</v>
      </c>
      <c r="AP65" s="60">
        <f t="shared" si="69"/>
        <v>0</v>
      </c>
      <c r="AQ65" s="60">
        <f t="shared" si="70"/>
        <v>0</v>
      </c>
      <c r="AR65" s="60">
        <f t="shared" si="71"/>
        <v>0</v>
      </c>
      <c r="AS65" s="60">
        <f t="shared" si="72"/>
        <v>0</v>
      </c>
    </row>
    <row r="66" spans="1:45" x14ac:dyDescent="0.35">
      <c r="A66" s="51" t="str">
        <f t="shared" si="41"/>
        <v>FS_2045</v>
      </c>
      <c r="B66" s="24" t="s">
        <v>15</v>
      </c>
      <c r="C66" s="5" t="str">
        <f t="shared" si="42"/>
        <v>kgCO2/GJ</v>
      </c>
      <c r="D66" s="7">
        <v>74</v>
      </c>
      <c r="E66" s="7">
        <v>74</v>
      </c>
      <c r="F66" s="7">
        <v>74</v>
      </c>
      <c r="G66" s="7">
        <v>74</v>
      </c>
      <c r="H66" s="7">
        <v>74</v>
      </c>
      <c r="I66" s="7">
        <v>74</v>
      </c>
      <c r="J66" s="7">
        <v>74</v>
      </c>
      <c r="K66" s="7">
        <v>74</v>
      </c>
      <c r="L66" s="7">
        <v>74</v>
      </c>
      <c r="M66" s="7">
        <v>74</v>
      </c>
      <c r="N66" s="7">
        <v>74</v>
      </c>
      <c r="O66" s="7">
        <v>74</v>
      </c>
      <c r="P66" s="7">
        <v>74</v>
      </c>
      <c r="Q66" s="7">
        <v>74</v>
      </c>
      <c r="R66" s="7">
        <v>74</v>
      </c>
      <c r="S66" s="7">
        <v>74</v>
      </c>
      <c r="T66" s="7">
        <v>74</v>
      </c>
      <c r="U66" s="7">
        <v>74</v>
      </c>
      <c r="V66" s="7">
        <v>74</v>
      </c>
      <c r="W66" s="7">
        <v>74</v>
      </c>
      <c r="X66" s="7">
        <v>74</v>
      </c>
      <c r="Y66" s="7">
        <v>74</v>
      </c>
      <c r="Z66" s="7">
        <v>74</v>
      </c>
      <c r="AA66" s="7">
        <v>74</v>
      </c>
      <c r="AB66" s="7">
        <v>74</v>
      </c>
      <c r="AC66" s="7">
        <v>74</v>
      </c>
      <c r="AD66" s="55">
        <v>0</v>
      </c>
      <c r="AE66" s="55">
        <v>0</v>
      </c>
      <c r="AF66" s="55">
        <v>0</v>
      </c>
      <c r="AG66" s="55">
        <v>0</v>
      </c>
      <c r="AH66" s="55">
        <v>0</v>
      </c>
      <c r="AI66" s="55">
        <v>0</v>
      </c>
      <c r="AJ66" s="60">
        <f t="shared" si="63"/>
        <v>0</v>
      </c>
      <c r="AK66" s="60">
        <f t="shared" si="64"/>
        <v>0</v>
      </c>
      <c r="AL66" s="60">
        <f t="shared" si="65"/>
        <v>0</v>
      </c>
      <c r="AM66" s="60">
        <f t="shared" si="66"/>
        <v>0</v>
      </c>
      <c r="AN66" s="60">
        <f t="shared" si="67"/>
        <v>0</v>
      </c>
      <c r="AO66" s="60">
        <f t="shared" si="68"/>
        <v>0</v>
      </c>
      <c r="AP66" s="60">
        <f t="shared" si="69"/>
        <v>0</v>
      </c>
      <c r="AQ66" s="60">
        <f t="shared" si="70"/>
        <v>0</v>
      </c>
      <c r="AR66" s="60">
        <f t="shared" si="71"/>
        <v>0</v>
      </c>
      <c r="AS66" s="60">
        <f t="shared" si="72"/>
        <v>0</v>
      </c>
    </row>
    <row r="67" spans="1:45" x14ac:dyDescent="0.35">
      <c r="A67" s="51" t="str">
        <f t="shared" si="41"/>
        <v>FS_2045</v>
      </c>
      <c r="B67" s="25" t="s">
        <v>16</v>
      </c>
      <c r="C67" s="10" t="str">
        <f t="shared" si="42"/>
        <v>kgCO2/GJ</v>
      </c>
      <c r="D67" s="12">
        <v>74</v>
      </c>
      <c r="E67" s="12">
        <v>74</v>
      </c>
      <c r="F67" s="12">
        <v>74</v>
      </c>
      <c r="G67" s="12">
        <v>74</v>
      </c>
      <c r="H67" s="12">
        <v>74</v>
      </c>
      <c r="I67" s="12">
        <v>74</v>
      </c>
      <c r="J67" s="12">
        <v>74</v>
      </c>
      <c r="K67" s="12">
        <v>74</v>
      </c>
      <c r="L67" s="12">
        <v>74</v>
      </c>
      <c r="M67" s="12">
        <v>74</v>
      </c>
      <c r="N67" s="12">
        <v>74</v>
      </c>
      <c r="O67" s="12">
        <v>74</v>
      </c>
      <c r="P67" s="12">
        <v>74</v>
      </c>
      <c r="Q67" s="12">
        <v>74</v>
      </c>
      <c r="R67" s="12">
        <v>74</v>
      </c>
      <c r="S67" s="12">
        <v>74</v>
      </c>
      <c r="T67" s="12">
        <v>74</v>
      </c>
      <c r="U67" s="12">
        <v>74</v>
      </c>
      <c r="V67" s="12">
        <v>74</v>
      </c>
      <c r="W67" s="12">
        <v>74</v>
      </c>
      <c r="X67" s="12">
        <v>74</v>
      </c>
      <c r="Y67" s="12">
        <v>74</v>
      </c>
      <c r="Z67" s="12">
        <v>74</v>
      </c>
      <c r="AA67" s="12">
        <v>74</v>
      </c>
      <c r="AB67" s="12">
        <v>74</v>
      </c>
      <c r="AC67" s="12">
        <v>74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6">
        <v>0</v>
      </c>
      <c r="AJ67" s="60">
        <f t="shared" si="63"/>
        <v>0</v>
      </c>
      <c r="AK67" s="60">
        <f t="shared" si="64"/>
        <v>0</v>
      </c>
      <c r="AL67" s="60">
        <f t="shared" si="65"/>
        <v>0</v>
      </c>
      <c r="AM67" s="60">
        <f t="shared" si="66"/>
        <v>0</v>
      </c>
      <c r="AN67" s="60">
        <f t="shared" si="67"/>
        <v>0</v>
      </c>
      <c r="AO67" s="60">
        <f t="shared" si="68"/>
        <v>0</v>
      </c>
      <c r="AP67" s="60">
        <f t="shared" si="69"/>
        <v>0</v>
      </c>
      <c r="AQ67" s="60">
        <f t="shared" si="70"/>
        <v>0</v>
      </c>
      <c r="AR67" s="60">
        <f t="shared" si="71"/>
        <v>0</v>
      </c>
      <c r="AS67" s="60">
        <f t="shared" si="72"/>
        <v>0</v>
      </c>
    </row>
    <row r="68" spans="1:45" x14ac:dyDescent="0.35">
      <c r="A68" s="51" t="str">
        <f t="shared" si="41"/>
        <v>FS_2045</v>
      </c>
      <c r="B68" s="24" t="s">
        <v>17</v>
      </c>
      <c r="C68" s="5" t="str">
        <f t="shared" si="42"/>
        <v>kgCO2/GJ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55">
        <v>0</v>
      </c>
      <c r="AE68" s="55">
        <v>0</v>
      </c>
      <c r="AF68" s="55">
        <v>0</v>
      </c>
      <c r="AG68" s="55">
        <v>0</v>
      </c>
      <c r="AH68" s="55">
        <v>0</v>
      </c>
      <c r="AI68" s="55">
        <v>0</v>
      </c>
      <c r="AJ68" s="60">
        <f t="shared" si="63"/>
        <v>0</v>
      </c>
      <c r="AK68" s="60">
        <f t="shared" si="64"/>
        <v>0</v>
      </c>
      <c r="AL68" s="60">
        <f t="shared" si="65"/>
        <v>0</v>
      </c>
      <c r="AM68" s="60">
        <f t="shared" si="66"/>
        <v>0</v>
      </c>
      <c r="AN68" s="60">
        <f t="shared" si="67"/>
        <v>0</v>
      </c>
      <c r="AO68" s="60">
        <f t="shared" si="68"/>
        <v>0</v>
      </c>
      <c r="AP68" s="60">
        <f t="shared" si="69"/>
        <v>0</v>
      </c>
      <c r="AQ68" s="60">
        <f t="shared" si="70"/>
        <v>0</v>
      </c>
      <c r="AR68" s="60">
        <f t="shared" si="71"/>
        <v>0</v>
      </c>
      <c r="AS68" s="60">
        <f t="shared" si="72"/>
        <v>0</v>
      </c>
    </row>
    <row r="69" spans="1:45" x14ac:dyDescent="0.35">
      <c r="A69" s="51" t="str">
        <f t="shared" si="41"/>
        <v>FS_2045</v>
      </c>
      <c r="B69" s="25" t="s">
        <v>18</v>
      </c>
      <c r="C69" s="10" t="str">
        <f t="shared" si="42"/>
        <v>kgCO2/GJ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56">
        <v>0</v>
      </c>
      <c r="AE69" s="56">
        <v>0</v>
      </c>
      <c r="AF69" s="56">
        <v>0</v>
      </c>
      <c r="AG69" s="56">
        <v>0</v>
      </c>
      <c r="AH69" s="56">
        <v>0</v>
      </c>
      <c r="AI69" s="56">
        <v>0</v>
      </c>
      <c r="AJ69" s="60">
        <f t="shared" si="63"/>
        <v>0</v>
      </c>
      <c r="AK69" s="60">
        <f t="shared" si="64"/>
        <v>0</v>
      </c>
      <c r="AL69" s="60">
        <f t="shared" si="65"/>
        <v>0</v>
      </c>
      <c r="AM69" s="60">
        <f t="shared" si="66"/>
        <v>0</v>
      </c>
      <c r="AN69" s="60">
        <f t="shared" si="67"/>
        <v>0</v>
      </c>
      <c r="AO69" s="60">
        <f t="shared" si="68"/>
        <v>0</v>
      </c>
      <c r="AP69" s="60">
        <f t="shared" si="69"/>
        <v>0</v>
      </c>
      <c r="AQ69" s="60">
        <f t="shared" si="70"/>
        <v>0</v>
      </c>
      <c r="AR69" s="60">
        <f t="shared" si="71"/>
        <v>0</v>
      </c>
      <c r="AS69" s="60">
        <f t="shared" si="72"/>
        <v>0</v>
      </c>
    </row>
    <row r="70" spans="1:45" x14ac:dyDescent="0.35">
      <c r="A70" s="51" t="str">
        <f t="shared" si="41"/>
        <v>FS_2045</v>
      </c>
      <c r="B70" s="24" t="s">
        <v>19</v>
      </c>
      <c r="C70" s="5" t="str">
        <f t="shared" si="42"/>
        <v>kgCO2/GJ</v>
      </c>
      <c r="D70" s="7">
        <v>74</v>
      </c>
      <c r="E70" s="7">
        <v>74</v>
      </c>
      <c r="F70" s="7">
        <v>74</v>
      </c>
      <c r="G70" s="7">
        <v>74</v>
      </c>
      <c r="H70" s="7">
        <v>74</v>
      </c>
      <c r="I70" s="7">
        <v>74</v>
      </c>
      <c r="J70" s="7">
        <v>74</v>
      </c>
      <c r="K70" s="7">
        <v>74</v>
      </c>
      <c r="L70" s="7">
        <v>74</v>
      </c>
      <c r="M70" s="7">
        <v>74</v>
      </c>
      <c r="N70" s="7">
        <v>74</v>
      </c>
      <c r="O70" s="7">
        <v>74</v>
      </c>
      <c r="P70" s="7">
        <v>74</v>
      </c>
      <c r="Q70" s="7">
        <v>74</v>
      </c>
      <c r="R70" s="7">
        <v>74</v>
      </c>
      <c r="S70" s="7">
        <v>74</v>
      </c>
      <c r="T70" s="7">
        <v>74</v>
      </c>
      <c r="U70" s="7">
        <v>74</v>
      </c>
      <c r="V70" s="7">
        <v>74</v>
      </c>
      <c r="W70" s="7">
        <v>74</v>
      </c>
      <c r="X70" s="7">
        <v>74</v>
      </c>
      <c r="Y70" s="7">
        <v>74</v>
      </c>
      <c r="Z70" s="7">
        <v>74</v>
      </c>
      <c r="AA70" s="7">
        <v>74</v>
      </c>
      <c r="AB70" s="7">
        <v>74</v>
      </c>
      <c r="AC70" s="7">
        <v>74</v>
      </c>
      <c r="AD70" s="55">
        <v>0</v>
      </c>
      <c r="AE70" s="55">
        <v>0</v>
      </c>
      <c r="AF70" s="55">
        <v>0</v>
      </c>
      <c r="AG70" s="55">
        <v>0</v>
      </c>
      <c r="AH70" s="55">
        <v>0</v>
      </c>
      <c r="AI70" s="55">
        <v>0</v>
      </c>
      <c r="AJ70" s="55">
        <v>0</v>
      </c>
      <c r="AK70" s="55">
        <v>0</v>
      </c>
      <c r="AL70" s="55">
        <v>0</v>
      </c>
      <c r="AM70" s="55">
        <v>0</v>
      </c>
      <c r="AN70" s="55">
        <v>0</v>
      </c>
      <c r="AO70" s="55">
        <v>0</v>
      </c>
      <c r="AP70" s="55">
        <v>0</v>
      </c>
      <c r="AQ70" s="55">
        <v>0</v>
      </c>
      <c r="AR70" s="55">
        <v>0</v>
      </c>
      <c r="AS70" s="55">
        <v>0</v>
      </c>
    </row>
    <row r="71" spans="1:45" x14ac:dyDescent="0.35">
      <c r="A71" s="51" t="str">
        <f t="shared" si="41"/>
        <v>FS_2045</v>
      </c>
      <c r="B71" s="25" t="s">
        <v>20</v>
      </c>
      <c r="C71" s="10" t="str">
        <f t="shared" si="42"/>
        <v>kgCO2/GJ</v>
      </c>
      <c r="D71" s="12">
        <v>74</v>
      </c>
      <c r="E71" s="12">
        <v>74</v>
      </c>
      <c r="F71" s="12">
        <v>74</v>
      </c>
      <c r="G71" s="12">
        <v>74</v>
      </c>
      <c r="H71" s="12">
        <v>74</v>
      </c>
      <c r="I71" s="12">
        <v>74</v>
      </c>
      <c r="J71" s="12">
        <v>74</v>
      </c>
      <c r="K71" s="12">
        <v>74</v>
      </c>
      <c r="L71" s="12">
        <v>74</v>
      </c>
      <c r="M71" s="12">
        <v>74</v>
      </c>
      <c r="N71" s="12">
        <v>74</v>
      </c>
      <c r="O71" s="12">
        <v>74</v>
      </c>
      <c r="P71" s="12">
        <v>74</v>
      </c>
      <c r="Q71" s="12">
        <v>74</v>
      </c>
      <c r="R71" s="12">
        <v>74</v>
      </c>
      <c r="S71" s="12">
        <v>74</v>
      </c>
      <c r="T71" s="12">
        <v>74</v>
      </c>
      <c r="U71" s="12">
        <v>74</v>
      </c>
      <c r="V71" s="12">
        <v>74</v>
      </c>
      <c r="W71" s="12">
        <v>74</v>
      </c>
      <c r="X71" s="12">
        <v>74</v>
      </c>
      <c r="Y71" s="12">
        <v>74</v>
      </c>
      <c r="Z71" s="12">
        <v>74</v>
      </c>
      <c r="AA71" s="12">
        <v>74</v>
      </c>
      <c r="AB71" s="12">
        <v>74</v>
      </c>
      <c r="AC71" s="12">
        <v>74</v>
      </c>
      <c r="AD71" s="56">
        <v>0</v>
      </c>
      <c r="AE71" s="56">
        <v>0</v>
      </c>
      <c r="AF71" s="56">
        <v>0</v>
      </c>
      <c r="AG71" s="56">
        <v>0</v>
      </c>
      <c r="AH71" s="56">
        <v>0</v>
      </c>
      <c r="AI71" s="56">
        <v>0</v>
      </c>
      <c r="AJ71" s="56">
        <v>0</v>
      </c>
      <c r="AK71" s="56">
        <v>0</v>
      </c>
      <c r="AL71" s="56">
        <v>0</v>
      </c>
      <c r="AM71" s="56">
        <v>0</v>
      </c>
      <c r="AN71" s="56">
        <v>0</v>
      </c>
      <c r="AO71" s="56">
        <v>0</v>
      </c>
      <c r="AP71" s="56">
        <v>0</v>
      </c>
      <c r="AQ71" s="56">
        <v>0</v>
      </c>
      <c r="AR71" s="56">
        <v>0</v>
      </c>
      <c r="AS71" s="56">
        <v>0</v>
      </c>
    </row>
    <row r="72" spans="1:45" x14ac:dyDescent="0.35">
      <c r="A72" s="51" t="str">
        <f t="shared" si="41"/>
        <v>FS_2045</v>
      </c>
      <c r="B72" s="25" t="s">
        <v>55</v>
      </c>
      <c r="C72" s="5" t="str">
        <f>C69</f>
        <v>kgCO2/GJ</v>
      </c>
      <c r="D72" s="7">
        <v>96</v>
      </c>
      <c r="E72" s="7">
        <v>96</v>
      </c>
      <c r="F72" s="7">
        <v>96</v>
      </c>
      <c r="G72" s="7">
        <v>96</v>
      </c>
      <c r="H72" s="7">
        <v>96</v>
      </c>
      <c r="I72" s="7">
        <v>96</v>
      </c>
      <c r="J72" s="7">
        <v>96</v>
      </c>
      <c r="K72" s="7">
        <v>96</v>
      </c>
      <c r="L72" s="7">
        <v>96</v>
      </c>
      <c r="M72" s="7">
        <v>96</v>
      </c>
      <c r="N72" s="7">
        <v>96</v>
      </c>
      <c r="O72" s="7">
        <v>96</v>
      </c>
      <c r="P72" s="7">
        <v>96</v>
      </c>
      <c r="Q72" s="7">
        <v>96</v>
      </c>
      <c r="R72" s="7">
        <v>96</v>
      </c>
      <c r="S72" s="7">
        <v>96</v>
      </c>
      <c r="T72" s="7">
        <v>96</v>
      </c>
      <c r="U72" s="7">
        <v>96</v>
      </c>
      <c r="V72" s="7">
        <v>96</v>
      </c>
      <c r="W72" s="7">
        <v>96</v>
      </c>
      <c r="X72" s="7">
        <v>96</v>
      </c>
      <c r="Y72" s="7">
        <v>96</v>
      </c>
      <c r="Z72" s="7">
        <v>96</v>
      </c>
      <c r="AA72" s="7">
        <v>96</v>
      </c>
      <c r="AB72" s="7">
        <v>96</v>
      </c>
      <c r="AC72" s="7">
        <v>96</v>
      </c>
      <c r="AD72" s="7">
        <v>96</v>
      </c>
      <c r="AE72" s="7">
        <v>96</v>
      </c>
      <c r="AF72" s="7">
        <v>96</v>
      </c>
      <c r="AG72" s="7">
        <v>96</v>
      </c>
      <c r="AH72" s="7">
        <v>96</v>
      </c>
      <c r="AI72" s="7">
        <v>96</v>
      </c>
      <c r="AJ72">
        <f t="shared" ref="AJ72:AJ73" si="73">AI72</f>
        <v>96</v>
      </c>
      <c r="AK72">
        <f t="shared" ref="AK72:AK73" si="74">AJ72</f>
        <v>96</v>
      </c>
      <c r="AL72">
        <f t="shared" ref="AL72:AL73" si="75">AK72</f>
        <v>96</v>
      </c>
      <c r="AM72">
        <f t="shared" ref="AM72:AM73" si="76">AL72</f>
        <v>96</v>
      </c>
      <c r="AN72">
        <f t="shared" ref="AN72:AN73" si="77">AM72</f>
        <v>96</v>
      </c>
      <c r="AO72">
        <f t="shared" ref="AO72:AO73" si="78">AN72</f>
        <v>96</v>
      </c>
      <c r="AP72">
        <f t="shared" ref="AP72:AP73" si="79">AO72</f>
        <v>96</v>
      </c>
      <c r="AQ72">
        <f t="shared" ref="AQ72:AQ73" si="80">AP72</f>
        <v>96</v>
      </c>
      <c r="AR72">
        <f t="shared" ref="AR72:AR73" si="81">AQ72</f>
        <v>96</v>
      </c>
      <c r="AS72">
        <f t="shared" ref="AS72:AS73" si="82">AR72</f>
        <v>96</v>
      </c>
    </row>
    <row r="73" spans="1:45" x14ac:dyDescent="0.35">
      <c r="A73" s="51" t="str">
        <f t="shared" si="41"/>
        <v>FS_2045</v>
      </c>
      <c r="B73" s="25" t="s">
        <v>56</v>
      </c>
      <c r="C73" s="10" t="str">
        <f t="shared" si="42"/>
        <v>kgCO2/GJ</v>
      </c>
      <c r="D73" s="12">
        <v>96</v>
      </c>
      <c r="E73" s="12">
        <v>96</v>
      </c>
      <c r="F73" s="12">
        <v>96</v>
      </c>
      <c r="G73" s="12">
        <v>96</v>
      </c>
      <c r="H73" s="12">
        <v>96</v>
      </c>
      <c r="I73" s="12">
        <v>96</v>
      </c>
      <c r="J73" s="12">
        <v>96</v>
      </c>
      <c r="K73" s="12">
        <v>96</v>
      </c>
      <c r="L73" s="12">
        <v>96</v>
      </c>
      <c r="M73" s="12">
        <v>96</v>
      </c>
      <c r="N73" s="12">
        <v>96</v>
      </c>
      <c r="O73" s="12">
        <v>96</v>
      </c>
      <c r="P73" s="12">
        <v>96</v>
      </c>
      <c r="Q73" s="12">
        <v>96</v>
      </c>
      <c r="R73" s="12">
        <v>96</v>
      </c>
      <c r="S73" s="12">
        <v>96</v>
      </c>
      <c r="T73" s="12">
        <v>96</v>
      </c>
      <c r="U73" s="12">
        <v>96</v>
      </c>
      <c r="V73" s="12">
        <v>96</v>
      </c>
      <c r="W73" s="12">
        <v>96</v>
      </c>
      <c r="X73" s="12">
        <v>96</v>
      </c>
      <c r="Y73" s="12">
        <v>96</v>
      </c>
      <c r="Z73" s="12">
        <v>96</v>
      </c>
      <c r="AA73" s="12">
        <v>96</v>
      </c>
      <c r="AB73" s="12">
        <v>96</v>
      </c>
      <c r="AC73" s="12">
        <v>96</v>
      </c>
      <c r="AD73" s="12">
        <v>96</v>
      </c>
      <c r="AE73" s="12">
        <v>96</v>
      </c>
      <c r="AF73" s="12">
        <v>96</v>
      </c>
      <c r="AG73" s="12">
        <v>96</v>
      </c>
      <c r="AH73" s="12">
        <v>96</v>
      </c>
      <c r="AI73" s="12">
        <v>96</v>
      </c>
      <c r="AJ73">
        <f t="shared" si="73"/>
        <v>96</v>
      </c>
      <c r="AK73">
        <f t="shared" si="74"/>
        <v>96</v>
      </c>
      <c r="AL73">
        <f t="shared" si="75"/>
        <v>96</v>
      </c>
      <c r="AM73">
        <f t="shared" si="76"/>
        <v>96</v>
      </c>
      <c r="AN73">
        <f t="shared" si="77"/>
        <v>96</v>
      </c>
      <c r="AO73">
        <f t="shared" si="78"/>
        <v>96</v>
      </c>
      <c r="AP73">
        <f t="shared" si="79"/>
        <v>96</v>
      </c>
      <c r="AQ73">
        <f t="shared" si="80"/>
        <v>96</v>
      </c>
      <c r="AR73">
        <f t="shared" si="81"/>
        <v>96</v>
      </c>
      <c r="AS73">
        <f t="shared" si="82"/>
        <v>96</v>
      </c>
    </row>
    <row r="74" spans="1:45" x14ac:dyDescent="0.35">
      <c r="A74" s="51" t="str">
        <f>A71</f>
        <v>FS_2045</v>
      </c>
      <c r="B74" s="24" t="s">
        <v>21</v>
      </c>
      <c r="C74" s="5" t="str">
        <f>C71</f>
        <v>kgCO2/GJ</v>
      </c>
      <c r="D74" s="7">
        <v>96</v>
      </c>
      <c r="E74" s="7">
        <v>96</v>
      </c>
      <c r="F74" s="7">
        <v>96</v>
      </c>
      <c r="G74" s="7">
        <v>96</v>
      </c>
      <c r="H74" s="7">
        <v>96</v>
      </c>
      <c r="I74" s="7">
        <v>96</v>
      </c>
      <c r="J74" s="7">
        <v>96</v>
      </c>
      <c r="K74" s="7">
        <v>96</v>
      </c>
      <c r="L74" s="7">
        <v>96</v>
      </c>
      <c r="M74" s="7">
        <v>96</v>
      </c>
      <c r="N74" s="7">
        <v>96</v>
      </c>
      <c r="O74" s="7">
        <v>96</v>
      </c>
      <c r="P74" s="7">
        <v>96</v>
      </c>
      <c r="Q74" s="7">
        <v>96</v>
      </c>
      <c r="R74" s="7">
        <v>96</v>
      </c>
      <c r="S74" s="7">
        <v>96</v>
      </c>
      <c r="T74" s="7">
        <v>96</v>
      </c>
      <c r="U74" s="7">
        <v>96</v>
      </c>
      <c r="V74" s="7">
        <v>96</v>
      </c>
      <c r="W74" s="7">
        <v>96</v>
      </c>
      <c r="X74" s="7">
        <v>96</v>
      </c>
      <c r="Y74" s="7">
        <v>96</v>
      </c>
      <c r="Z74" s="7">
        <v>96</v>
      </c>
      <c r="AA74" s="7">
        <v>96</v>
      </c>
      <c r="AB74" s="7">
        <v>96</v>
      </c>
      <c r="AC74" s="7">
        <v>96</v>
      </c>
      <c r="AD74" s="7">
        <v>96</v>
      </c>
      <c r="AE74" s="7">
        <v>96</v>
      </c>
      <c r="AF74" s="7">
        <v>96</v>
      </c>
      <c r="AG74" s="7">
        <v>96</v>
      </c>
      <c r="AH74" s="7">
        <v>96</v>
      </c>
      <c r="AI74" s="7">
        <v>96</v>
      </c>
      <c r="AJ74">
        <f t="shared" si="63"/>
        <v>96</v>
      </c>
      <c r="AK74">
        <f t="shared" si="64"/>
        <v>96</v>
      </c>
      <c r="AL74">
        <f t="shared" si="65"/>
        <v>96</v>
      </c>
      <c r="AM74">
        <f t="shared" si="66"/>
        <v>96</v>
      </c>
      <c r="AN74">
        <f t="shared" si="67"/>
        <v>96</v>
      </c>
      <c r="AO74">
        <f t="shared" si="68"/>
        <v>96</v>
      </c>
      <c r="AP74">
        <f t="shared" si="69"/>
        <v>96</v>
      </c>
      <c r="AQ74">
        <f t="shared" si="70"/>
        <v>96</v>
      </c>
      <c r="AR74">
        <f t="shared" si="71"/>
        <v>96</v>
      </c>
      <c r="AS74">
        <f t="shared" si="72"/>
        <v>96</v>
      </c>
    </row>
    <row r="75" spans="1:45" x14ac:dyDescent="0.35">
      <c r="A75" s="51" t="str">
        <f t="shared" si="41"/>
        <v>FS_2045</v>
      </c>
      <c r="B75" s="25" t="s">
        <v>22</v>
      </c>
      <c r="C75" s="10" t="str">
        <f t="shared" si="42"/>
        <v>kgCO2/GJ</v>
      </c>
      <c r="D75" s="12">
        <v>96</v>
      </c>
      <c r="E75" s="12">
        <v>96</v>
      </c>
      <c r="F75" s="12">
        <v>96</v>
      </c>
      <c r="G75" s="12">
        <v>96</v>
      </c>
      <c r="H75" s="12">
        <v>96</v>
      </c>
      <c r="I75" s="12">
        <v>96</v>
      </c>
      <c r="J75" s="12">
        <v>96</v>
      </c>
      <c r="K75" s="12">
        <v>96</v>
      </c>
      <c r="L75" s="12">
        <v>96</v>
      </c>
      <c r="M75" s="12">
        <v>96</v>
      </c>
      <c r="N75" s="12">
        <v>96</v>
      </c>
      <c r="O75" s="12">
        <v>96</v>
      </c>
      <c r="P75" s="12">
        <v>96</v>
      </c>
      <c r="Q75" s="12">
        <v>96</v>
      </c>
      <c r="R75" s="12">
        <v>96</v>
      </c>
      <c r="S75" s="12">
        <v>96</v>
      </c>
      <c r="T75" s="12">
        <v>96</v>
      </c>
      <c r="U75" s="12">
        <v>96</v>
      </c>
      <c r="V75" s="12">
        <v>96</v>
      </c>
      <c r="W75" s="12">
        <v>96</v>
      </c>
      <c r="X75" s="12">
        <v>96</v>
      </c>
      <c r="Y75" s="12">
        <v>96</v>
      </c>
      <c r="Z75" s="12">
        <v>96</v>
      </c>
      <c r="AA75" s="12">
        <v>96</v>
      </c>
      <c r="AB75" s="12">
        <v>96</v>
      </c>
      <c r="AC75" s="12">
        <v>96</v>
      </c>
      <c r="AD75" s="12">
        <v>96</v>
      </c>
      <c r="AE75" s="12">
        <v>96</v>
      </c>
      <c r="AF75" s="12">
        <v>96</v>
      </c>
      <c r="AG75" s="12">
        <v>96</v>
      </c>
      <c r="AH75" s="12">
        <v>96</v>
      </c>
      <c r="AI75" s="12">
        <v>96</v>
      </c>
      <c r="AJ75">
        <f t="shared" si="63"/>
        <v>96</v>
      </c>
      <c r="AK75">
        <f t="shared" si="64"/>
        <v>96</v>
      </c>
      <c r="AL75">
        <f t="shared" si="65"/>
        <v>96</v>
      </c>
      <c r="AM75">
        <f t="shared" si="66"/>
        <v>96</v>
      </c>
      <c r="AN75">
        <f t="shared" si="67"/>
        <v>96</v>
      </c>
      <c r="AO75">
        <f t="shared" si="68"/>
        <v>96</v>
      </c>
      <c r="AP75">
        <f t="shared" si="69"/>
        <v>96</v>
      </c>
      <c r="AQ75">
        <f t="shared" si="70"/>
        <v>96</v>
      </c>
      <c r="AR75">
        <f t="shared" si="71"/>
        <v>96</v>
      </c>
      <c r="AS75">
        <f t="shared" si="72"/>
        <v>96</v>
      </c>
    </row>
    <row r="76" spans="1:45" x14ac:dyDescent="0.35">
      <c r="A76" s="51" t="str">
        <f t="shared" si="41"/>
        <v>FS_2045</v>
      </c>
      <c r="B76" s="24" t="s">
        <v>23</v>
      </c>
      <c r="C76" s="5" t="str">
        <f t="shared" si="42"/>
        <v>kgCO2/GJ</v>
      </c>
      <c r="D76" s="7">
        <v>69</v>
      </c>
      <c r="E76" s="7">
        <v>69</v>
      </c>
      <c r="F76" s="7">
        <v>69</v>
      </c>
      <c r="G76" s="7">
        <v>69</v>
      </c>
      <c r="H76" s="7">
        <v>69</v>
      </c>
      <c r="I76" s="7">
        <v>69</v>
      </c>
      <c r="J76" s="7">
        <v>69</v>
      </c>
      <c r="K76" s="7">
        <v>69</v>
      </c>
      <c r="L76" s="7">
        <v>69</v>
      </c>
      <c r="M76" s="7">
        <v>69</v>
      </c>
      <c r="N76" s="7">
        <v>69</v>
      </c>
      <c r="O76" s="7">
        <v>69</v>
      </c>
      <c r="P76" s="7">
        <v>69</v>
      </c>
      <c r="Q76" s="7">
        <v>69</v>
      </c>
      <c r="R76" s="7">
        <v>69</v>
      </c>
      <c r="S76" s="7">
        <v>69</v>
      </c>
      <c r="T76" s="7">
        <v>69</v>
      </c>
      <c r="U76" s="7">
        <v>69</v>
      </c>
      <c r="V76" s="7">
        <v>69</v>
      </c>
      <c r="W76" s="7">
        <v>69</v>
      </c>
      <c r="X76" s="7">
        <v>69</v>
      </c>
      <c r="Y76" s="7">
        <v>69</v>
      </c>
      <c r="Z76" s="7">
        <v>69</v>
      </c>
      <c r="AA76" s="7">
        <v>69</v>
      </c>
      <c r="AB76" s="7">
        <v>69</v>
      </c>
      <c r="AC76" s="7">
        <v>69</v>
      </c>
      <c r="AD76" s="7">
        <v>69</v>
      </c>
      <c r="AE76" s="7">
        <v>69</v>
      </c>
      <c r="AF76" s="7">
        <v>69</v>
      </c>
      <c r="AG76" s="7">
        <v>69</v>
      </c>
      <c r="AH76" s="7">
        <v>69</v>
      </c>
      <c r="AI76" s="7">
        <v>69</v>
      </c>
      <c r="AJ76">
        <f t="shared" si="63"/>
        <v>69</v>
      </c>
      <c r="AK76">
        <f t="shared" si="64"/>
        <v>69</v>
      </c>
      <c r="AL76">
        <f t="shared" si="65"/>
        <v>69</v>
      </c>
      <c r="AM76">
        <f t="shared" si="66"/>
        <v>69</v>
      </c>
      <c r="AN76">
        <f t="shared" si="67"/>
        <v>69</v>
      </c>
      <c r="AO76">
        <f t="shared" si="68"/>
        <v>69</v>
      </c>
      <c r="AP76">
        <f t="shared" si="69"/>
        <v>69</v>
      </c>
      <c r="AQ76">
        <f t="shared" si="70"/>
        <v>69</v>
      </c>
      <c r="AR76">
        <f t="shared" si="71"/>
        <v>69</v>
      </c>
      <c r="AS76">
        <f t="shared" si="72"/>
        <v>69</v>
      </c>
    </row>
    <row r="77" spans="1:45" x14ac:dyDescent="0.35">
      <c r="A77" s="52" t="str">
        <f t="shared" si="41"/>
        <v>FS_2045</v>
      </c>
      <c r="B77" s="26" t="s">
        <v>24</v>
      </c>
      <c r="C77" s="27" t="str">
        <f t="shared" si="42"/>
        <v>kgCO2/GJ</v>
      </c>
      <c r="D77" s="28">
        <v>69</v>
      </c>
      <c r="E77" s="28">
        <v>69</v>
      </c>
      <c r="F77" s="28">
        <v>69</v>
      </c>
      <c r="G77" s="28">
        <v>69</v>
      </c>
      <c r="H77" s="28">
        <v>69</v>
      </c>
      <c r="I77" s="28">
        <v>69</v>
      </c>
      <c r="J77" s="28">
        <v>69</v>
      </c>
      <c r="K77" s="28">
        <v>69</v>
      </c>
      <c r="L77" s="28">
        <v>69</v>
      </c>
      <c r="M77" s="28">
        <v>69</v>
      </c>
      <c r="N77" s="28">
        <v>69</v>
      </c>
      <c r="O77" s="28">
        <v>69</v>
      </c>
      <c r="P77" s="28">
        <v>69</v>
      </c>
      <c r="Q77" s="28">
        <v>69</v>
      </c>
      <c r="R77" s="28">
        <v>69</v>
      </c>
      <c r="S77" s="28">
        <v>69</v>
      </c>
      <c r="T77" s="28">
        <v>69</v>
      </c>
      <c r="U77" s="28">
        <v>69</v>
      </c>
      <c r="V77" s="28">
        <v>69</v>
      </c>
      <c r="W77" s="28">
        <v>69</v>
      </c>
      <c r="X77" s="28">
        <v>69</v>
      </c>
      <c r="Y77" s="28">
        <v>69</v>
      </c>
      <c r="Z77" s="28">
        <v>69</v>
      </c>
      <c r="AA77" s="28">
        <v>69</v>
      </c>
      <c r="AB77" s="28">
        <v>69</v>
      </c>
      <c r="AC77" s="28">
        <v>69</v>
      </c>
      <c r="AD77" s="12">
        <v>69</v>
      </c>
      <c r="AE77" s="28">
        <v>69</v>
      </c>
      <c r="AF77" s="28">
        <v>69</v>
      </c>
      <c r="AG77" s="28">
        <v>69</v>
      </c>
      <c r="AH77" s="28">
        <v>69</v>
      </c>
      <c r="AI77" s="28">
        <v>69</v>
      </c>
      <c r="AJ77" s="29">
        <f t="shared" si="63"/>
        <v>69</v>
      </c>
      <c r="AK77" s="29">
        <f t="shared" si="64"/>
        <v>69</v>
      </c>
      <c r="AL77" s="29">
        <f t="shared" si="65"/>
        <v>69</v>
      </c>
      <c r="AM77" s="29">
        <f t="shared" si="66"/>
        <v>69</v>
      </c>
      <c r="AN77" s="29">
        <f t="shared" si="67"/>
        <v>69</v>
      </c>
      <c r="AO77" s="29">
        <f t="shared" si="68"/>
        <v>69</v>
      </c>
      <c r="AP77" s="29">
        <f t="shared" si="69"/>
        <v>69</v>
      </c>
      <c r="AQ77" s="29">
        <f t="shared" si="70"/>
        <v>69</v>
      </c>
      <c r="AR77" s="29">
        <f t="shared" si="71"/>
        <v>69</v>
      </c>
      <c r="AS77" s="29">
        <f t="shared" si="72"/>
        <v>69</v>
      </c>
    </row>
    <row r="78" spans="1:45" x14ac:dyDescent="0.35">
      <c r="A78" s="53" t="s">
        <v>54</v>
      </c>
      <c r="B78" s="24" t="s">
        <v>12</v>
      </c>
      <c r="C78" s="5" t="s">
        <v>13</v>
      </c>
      <c r="D78" s="7">
        <v>74</v>
      </c>
      <c r="E78" s="7">
        <v>74</v>
      </c>
      <c r="F78" s="7">
        <v>74</v>
      </c>
      <c r="G78" s="7">
        <v>74</v>
      </c>
      <c r="H78" s="7">
        <v>74</v>
      </c>
      <c r="I78" s="7">
        <v>74</v>
      </c>
      <c r="J78" s="7">
        <v>74</v>
      </c>
      <c r="K78" s="7">
        <v>74</v>
      </c>
      <c r="L78" s="7">
        <v>74</v>
      </c>
      <c r="M78" s="7">
        <v>74</v>
      </c>
      <c r="N78" s="7">
        <v>74</v>
      </c>
      <c r="O78" s="7">
        <v>74</v>
      </c>
      <c r="P78" s="7">
        <v>74</v>
      </c>
      <c r="Q78" s="7">
        <v>74</v>
      </c>
      <c r="R78" s="7">
        <v>74</v>
      </c>
      <c r="S78" s="7">
        <v>74</v>
      </c>
      <c r="T78" s="7">
        <v>74</v>
      </c>
      <c r="U78" s="7">
        <v>74</v>
      </c>
      <c r="V78" s="7">
        <v>74</v>
      </c>
      <c r="W78" s="7">
        <v>74</v>
      </c>
      <c r="X78" s="7">
        <v>74</v>
      </c>
      <c r="Y78" s="7">
        <v>74</v>
      </c>
      <c r="Z78" s="7">
        <v>74</v>
      </c>
      <c r="AA78" s="7">
        <v>74</v>
      </c>
      <c r="AB78" s="7">
        <v>74</v>
      </c>
      <c r="AC78" s="7">
        <v>74</v>
      </c>
      <c r="AD78" s="7">
        <v>74</v>
      </c>
      <c r="AE78" s="7">
        <v>74</v>
      </c>
      <c r="AF78" s="7">
        <v>74</v>
      </c>
      <c r="AG78" s="7">
        <v>74</v>
      </c>
      <c r="AH78" s="7">
        <v>74</v>
      </c>
      <c r="AI78" s="55">
        <v>0</v>
      </c>
      <c r="AJ78" s="60">
        <f t="shared" ref="AJ78:AJ91" si="83">AI78</f>
        <v>0</v>
      </c>
      <c r="AK78" s="60">
        <f t="shared" ref="AK78:AK91" si="84">AJ78</f>
        <v>0</v>
      </c>
      <c r="AL78" s="60">
        <f t="shared" ref="AL78:AL91" si="85">AK78</f>
        <v>0</v>
      </c>
      <c r="AM78" s="60">
        <f t="shared" ref="AM78:AM91" si="86">AL78</f>
        <v>0</v>
      </c>
      <c r="AN78" s="60">
        <f t="shared" ref="AN78:AN91" si="87">AM78</f>
        <v>0</v>
      </c>
      <c r="AO78" s="60">
        <f t="shared" ref="AO78:AO91" si="88">AN78</f>
        <v>0</v>
      </c>
      <c r="AP78" s="60">
        <f t="shared" ref="AP78:AP91" si="89">AO78</f>
        <v>0</v>
      </c>
      <c r="AQ78" s="60">
        <f t="shared" ref="AQ78:AQ91" si="90">AP78</f>
        <v>0</v>
      </c>
      <c r="AR78" s="60">
        <f t="shared" ref="AR78:AR91" si="91">AQ78</f>
        <v>0</v>
      </c>
      <c r="AS78" s="60">
        <f t="shared" ref="AS78:AS91" si="92">AR78</f>
        <v>0</v>
      </c>
    </row>
    <row r="79" spans="1:45" x14ac:dyDescent="0.35">
      <c r="A79" s="53" t="str">
        <f t="shared" si="41"/>
        <v>FS_2050</v>
      </c>
      <c r="B79" s="25" t="s">
        <v>14</v>
      </c>
      <c r="C79" s="10" t="str">
        <f t="shared" si="42"/>
        <v>kgCO2/GJ</v>
      </c>
      <c r="D79" s="12">
        <v>74</v>
      </c>
      <c r="E79" s="12">
        <v>74</v>
      </c>
      <c r="F79" s="12">
        <v>74</v>
      </c>
      <c r="G79" s="12">
        <v>74</v>
      </c>
      <c r="H79" s="12">
        <v>74</v>
      </c>
      <c r="I79" s="12">
        <v>74</v>
      </c>
      <c r="J79" s="12">
        <v>74</v>
      </c>
      <c r="K79" s="12">
        <v>74</v>
      </c>
      <c r="L79" s="12">
        <v>74</v>
      </c>
      <c r="M79" s="12">
        <v>74</v>
      </c>
      <c r="N79" s="12">
        <v>74</v>
      </c>
      <c r="O79" s="12">
        <v>74</v>
      </c>
      <c r="P79" s="12">
        <v>74</v>
      </c>
      <c r="Q79" s="12">
        <v>74</v>
      </c>
      <c r="R79" s="12">
        <v>74</v>
      </c>
      <c r="S79" s="12">
        <v>74</v>
      </c>
      <c r="T79" s="12">
        <v>74</v>
      </c>
      <c r="U79" s="12">
        <v>74</v>
      </c>
      <c r="V79" s="12">
        <v>74</v>
      </c>
      <c r="W79" s="12">
        <v>74</v>
      </c>
      <c r="X79" s="12">
        <v>74</v>
      </c>
      <c r="Y79" s="12">
        <v>74</v>
      </c>
      <c r="Z79" s="12">
        <v>74</v>
      </c>
      <c r="AA79" s="12">
        <v>74</v>
      </c>
      <c r="AB79" s="12">
        <v>74</v>
      </c>
      <c r="AC79" s="12">
        <v>74</v>
      </c>
      <c r="AD79" s="12">
        <v>74</v>
      </c>
      <c r="AE79" s="12">
        <v>74</v>
      </c>
      <c r="AF79" s="12">
        <v>74</v>
      </c>
      <c r="AG79" s="12">
        <v>74</v>
      </c>
      <c r="AH79" s="12">
        <v>74</v>
      </c>
      <c r="AI79" s="56">
        <v>0</v>
      </c>
      <c r="AJ79" s="60">
        <f t="shared" si="83"/>
        <v>0</v>
      </c>
      <c r="AK79" s="60">
        <f t="shared" si="84"/>
        <v>0</v>
      </c>
      <c r="AL79" s="60">
        <f t="shared" si="85"/>
        <v>0</v>
      </c>
      <c r="AM79" s="60">
        <f t="shared" si="86"/>
        <v>0</v>
      </c>
      <c r="AN79" s="60">
        <f t="shared" si="87"/>
        <v>0</v>
      </c>
      <c r="AO79" s="60">
        <f t="shared" si="88"/>
        <v>0</v>
      </c>
      <c r="AP79" s="60">
        <f t="shared" si="89"/>
        <v>0</v>
      </c>
      <c r="AQ79" s="60">
        <f t="shared" si="90"/>
        <v>0</v>
      </c>
      <c r="AR79" s="60">
        <f t="shared" si="91"/>
        <v>0</v>
      </c>
      <c r="AS79" s="60">
        <f t="shared" si="92"/>
        <v>0</v>
      </c>
    </row>
    <row r="80" spans="1:45" x14ac:dyDescent="0.35">
      <c r="A80" s="53" t="str">
        <f t="shared" si="41"/>
        <v>FS_2050</v>
      </c>
      <c r="B80" s="24" t="s">
        <v>15</v>
      </c>
      <c r="C80" s="5" t="str">
        <f t="shared" si="42"/>
        <v>kgCO2/GJ</v>
      </c>
      <c r="D80" s="7">
        <v>74</v>
      </c>
      <c r="E80" s="7">
        <v>74</v>
      </c>
      <c r="F80" s="7">
        <v>74</v>
      </c>
      <c r="G80" s="7">
        <v>74</v>
      </c>
      <c r="H80" s="7">
        <v>74</v>
      </c>
      <c r="I80" s="7">
        <v>74</v>
      </c>
      <c r="J80" s="7">
        <v>74</v>
      </c>
      <c r="K80" s="7">
        <v>74</v>
      </c>
      <c r="L80" s="7">
        <v>74</v>
      </c>
      <c r="M80" s="7">
        <v>74</v>
      </c>
      <c r="N80" s="7">
        <v>74</v>
      </c>
      <c r="O80" s="7">
        <v>74</v>
      </c>
      <c r="P80" s="7">
        <v>74</v>
      </c>
      <c r="Q80" s="7">
        <v>74</v>
      </c>
      <c r="R80" s="7">
        <v>74</v>
      </c>
      <c r="S80" s="7">
        <v>74</v>
      </c>
      <c r="T80" s="7">
        <v>74</v>
      </c>
      <c r="U80" s="7">
        <v>74</v>
      </c>
      <c r="V80" s="7">
        <v>74</v>
      </c>
      <c r="W80" s="7">
        <v>74</v>
      </c>
      <c r="X80" s="7">
        <v>74</v>
      </c>
      <c r="Y80" s="7">
        <v>74</v>
      </c>
      <c r="Z80" s="7">
        <v>74</v>
      </c>
      <c r="AA80" s="7">
        <v>74</v>
      </c>
      <c r="AB80" s="7">
        <v>74</v>
      </c>
      <c r="AC80" s="7">
        <v>74</v>
      </c>
      <c r="AD80" s="7">
        <v>74</v>
      </c>
      <c r="AE80" s="7">
        <v>74</v>
      </c>
      <c r="AF80" s="7">
        <v>74</v>
      </c>
      <c r="AG80" s="7">
        <v>74</v>
      </c>
      <c r="AH80" s="7">
        <v>74</v>
      </c>
      <c r="AI80" s="55">
        <v>0</v>
      </c>
      <c r="AJ80" s="60">
        <f t="shared" si="83"/>
        <v>0</v>
      </c>
      <c r="AK80" s="60">
        <f t="shared" si="84"/>
        <v>0</v>
      </c>
      <c r="AL80" s="60">
        <f t="shared" si="85"/>
        <v>0</v>
      </c>
      <c r="AM80" s="60">
        <f t="shared" si="86"/>
        <v>0</v>
      </c>
      <c r="AN80" s="60">
        <f t="shared" si="87"/>
        <v>0</v>
      </c>
      <c r="AO80" s="60">
        <f t="shared" si="88"/>
        <v>0</v>
      </c>
      <c r="AP80" s="60">
        <f t="shared" si="89"/>
        <v>0</v>
      </c>
      <c r="AQ80" s="60">
        <f t="shared" si="90"/>
        <v>0</v>
      </c>
      <c r="AR80" s="60">
        <f t="shared" si="91"/>
        <v>0</v>
      </c>
      <c r="AS80" s="60">
        <f t="shared" si="92"/>
        <v>0</v>
      </c>
    </row>
    <row r="81" spans="1:45" x14ac:dyDescent="0.35">
      <c r="A81" s="53" t="str">
        <f t="shared" si="41"/>
        <v>FS_2050</v>
      </c>
      <c r="B81" s="25" t="s">
        <v>16</v>
      </c>
      <c r="C81" s="10" t="str">
        <f t="shared" si="42"/>
        <v>kgCO2/GJ</v>
      </c>
      <c r="D81" s="12">
        <v>74</v>
      </c>
      <c r="E81" s="12">
        <v>74</v>
      </c>
      <c r="F81" s="12">
        <v>74</v>
      </c>
      <c r="G81" s="12">
        <v>74</v>
      </c>
      <c r="H81" s="12">
        <v>74</v>
      </c>
      <c r="I81" s="12">
        <v>74</v>
      </c>
      <c r="J81" s="12">
        <v>74</v>
      </c>
      <c r="K81" s="12">
        <v>74</v>
      </c>
      <c r="L81" s="12">
        <v>74</v>
      </c>
      <c r="M81" s="12">
        <v>74</v>
      </c>
      <c r="N81" s="12">
        <v>74</v>
      </c>
      <c r="O81" s="12">
        <v>74</v>
      </c>
      <c r="P81" s="12">
        <v>74</v>
      </c>
      <c r="Q81" s="12">
        <v>74</v>
      </c>
      <c r="R81" s="12">
        <v>74</v>
      </c>
      <c r="S81" s="12">
        <v>74</v>
      </c>
      <c r="T81" s="12">
        <v>74</v>
      </c>
      <c r="U81" s="12">
        <v>74</v>
      </c>
      <c r="V81" s="12">
        <v>74</v>
      </c>
      <c r="W81" s="12">
        <v>74</v>
      </c>
      <c r="X81" s="12">
        <v>74</v>
      </c>
      <c r="Y81" s="12">
        <v>74</v>
      </c>
      <c r="Z81" s="12">
        <v>74</v>
      </c>
      <c r="AA81" s="12">
        <v>74</v>
      </c>
      <c r="AB81" s="12">
        <v>74</v>
      </c>
      <c r="AC81" s="12">
        <v>74</v>
      </c>
      <c r="AD81" s="12">
        <v>74</v>
      </c>
      <c r="AE81" s="12">
        <v>74</v>
      </c>
      <c r="AF81" s="12">
        <v>74</v>
      </c>
      <c r="AG81" s="12">
        <v>74</v>
      </c>
      <c r="AH81" s="12">
        <v>74</v>
      </c>
      <c r="AI81" s="56">
        <v>0</v>
      </c>
      <c r="AJ81" s="60">
        <f t="shared" si="83"/>
        <v>0</v>
      </c>
      <c r="AK81" s="60">
        <f t="shared" si="84"/>
        <v>0</v>
      </c>
      <c r="AL81" s="60">
        <f t="shared" si="85"/>
        <v>0</v>
      </c>
      <c r="AM81" s="60">
        <f t="shared" si="86"/>
        <v>0</v>
      </c>
      <c r="AN81" s="60">
        <f t="shared" si="87"/>
        <v>0</v>
      </c>
      <c r="AO81" s="60">
        <f t="shared" si="88"/>
        <v>0</v>
      </c>
      <c r="AP81" s="60">
        <f t="shared" si="89"/>
        <v>0</v>
      </c>
      <c r="AQ81" s="60">
        <f t="shared" si="90"/>
        <v>0</v>
      </c>
      <c r="AR81" s="60">
        <f t="shared" si="91"/>
        <v>0</v>
      </c>
      <c r="AS81" s="60">
        <f t="shared" si="92"/>
        <v>0</v>
      </c>
    </row>
    <row r="82" spans="1:45" x14ac:dyDescent="0.35">
      <c r="A82" s="53" t="str">
        <f t="shared" si="41"/>
        <v>FS_2050</v>
      </c>
      <c r="B82" s="24" t="s">
        <v>17</v>
      </c>
      <c r="C82" s="5" t="str">
        <f t="shared" si="42"/>
        <v>kgCO2/GJ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55">
        <v>0</v>
      </c>
      <c r="AJ82" s="60">
        <f t="shared" si="83"/>
        <v>0</v>
      </c>
      <c r="AK82" s="60">
        <f t="shared" si="84"/>
        <v>0</v>
      </c>
      <c r="AL82" s="60">
        <f t="shared" si="85"/>
        <v>0</v>
      </c>
      <c r="AM82" s="60">
        <f t="shared" si="86"/>
        <v>0</v>
      </c>
      <c r="AN82" s="60">
        <f t="shared" si="87"/>
        <v>0</v>
      </c>
      <c r="AO82" s="60">
        <f t="shared" si="88"/>
        <v>0</v>
      </c>
      <c r="AP82" s="60">
        <f t="shared" si="89"/>
        <v>0</v>
      </c>
      <c r="AQ82" s="60">
        <f t="shared" si="90"/>
        <v>0</v>
      </c>
      <c r="AR82" s="60">
        <f t="shared" si="91"/>
        <v>0</v>
      </c>
      <c r="AS82" s="60">
        <f t="shared" si="92"/>
        <v>0</v>
      </c>
    </row>
    <row r="83" spans="1:45" x14ac:dyDescent="0.35">
      <c r="A83" s="53" t="str">
        <f t="shared" si="41"/>
        <v>FS_2050</v>
      </c>
      <c r="B83" s="25" t="s">
        <v>18</v>
      </c>
      <c r="C83" s="10" t="str">
        <f t="shared" si="42"/>
        <v>kgCO2/GJ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56">
        <v>0</v>
      </c>
      <c r="AJ83" s="60">
        <f t="shared" si="83"/>
        <v>0</v>
      </c>
      <c r="AK83" s="60">
        <f t="shared" si="84"/>
        <v>0</v>
      </c>
      <c r="AL83" s="60">
        <f t="shared" si="85"/>
        <v>0</v>
      </c>
      <c r="AM83" s="60">
        <f t="shared" si="86"/>
        <v>0</v>
      </c>
      <c r="AN83" s="60">
        <f t="shared" si="87"/>
        <v>0</v>
      </c>
      <c r="AO83" s="60">
        <f t="shared" si="88"/>
        <v>0</v>
      </c>
      <c r="AP83" s="60">
        <f t="shared" si="89"/>
        <v>0</v>
      </c>
      <c r="AQ83" s="60">
        <f t="shared" si="90"/>
        <v>0</v>
      </c>
      <c r="AR83" s="60">
        <f t="shared" si="91"/>
        <v>0</v>
      </c>
      <c r="AS83" s="60">
        <f t="shared" si="92"/>
        <v>0</v>
      </c>
    </row>
    <row r="84" spans="1:45" x14ac:dyDescent="0.35">
      <c r="A84" s="53" t="str">
        <f t="shared" si="41"/>
        <v>FS_2050</v>
      </c>
      <c r="B84" s="24" t="s">
        <v>19</v>
      </c>
      <c r="C84" s="5" t="str">
        <f t="shared" si="42"/>
        <v>kgCO2/GJ</v>
      </c>
      <c r="D84" s="7">
        <v>74</v>
      </c>
      <c r="E84" s="7">
        <v>74</v>
      </c>
      <c r="F84" s="7">
        <v>74</v>
      </c>
      <c r="G84" s="7">
        <v>74</v>
      </c>
      <c r="H84" s="7">
        <v>74</v>
      </c>
      <c r="I84" s="7">
        <v>74</v>
      </c>
      <c r="J84" s="7">
        <v>74</v>
      </c>
      <c r="K84" s="7">
        <v>74</v>
      </c>
      <c r="L84" s="7">
        <v>74</v>
      </c>
      <c r="M84" s="7">
        <v>74</v>
      </c>
      <c r="N84" s="7">
        <v>74</v>
      </c>
      <c r="O84" s="7">
        <v>74</v>
      </c>
      <c r="P84" s="7">
        <v>74</v>
      </c>
      <c r="Q84" s="7">
        <v>74</v>
      </c>
      <c r="R84" s="7">
        <v>74</v>
      </c>
      <c r="S84" s="7">
        <v>74</v>
      </c>
      <c r="T84" s="7">
        <v>74</v>
      </c>
      <c r="U84" s="7">
        <v>74</v>
      </c>
      <c r="V84" s="7">
        <v>74</v>
      </c>
      <c r="W84" s="7">
        <v>74</v>
      </c>
      <c r="X84" s="7">
        <v>74</v>
      </c>
      <c r="Y84" s="7">
        <v>74</v>
      </c>
      <c r="Z84" s="7">
        <v>74</v>
      </c>
      <c r="AA84" s="7">
        <v>74</v>
      </c>
      <c r="AB84" s="7">
        <v>74</v>
      </c>
      <c r="AC84" s="7">
        <v>74</v>
      </c>
      <c r="AD84" s="7">
        <v>74</v>
      </c>
      <c r="AE84" s="7">
        <v>74</v>
      </c>
      <c r="AF84" s="7">
        <v>74</v>
      </c>
      <c r="AG84" s="7">
        <v>74</v>
      </c>
      <c r="AH84" s="7">
        <v>74</v>
      </c>
      <c r="AI84" s="55">
        <v>0</v>
      </c>
      <c r="AJ84" s="60">
        <f t="shared" si="83"/>
        <v>0</v>
      </c>
      <c r="AK84" s="60">
        <f t="shared" si="84"/>
        <v>0</v>
      </c>
      <c r="AL84" s="60">
        <f t="shared" si="85"/>
        <v>0</v>
      </c>
      <c r="AM84" s="60">
        <f t="shared" si="86"/>
        <v>0</v>
      </c>
      <c r="AN84" s="60">
        <f t="shared" si="87"/>
        <v>0</v>
      </c>
      <c r="AO84" s="60">
        <f t="shared" si="88"/>
        <v>0</v>
      </c>
      <c r="AP84" s="60">
        <f t="shared" si="89"/>
        <v>0</v>
      </c>
      <c r="AQ84" s="60">
        <f t="shared" si="90"/>
        <v>0</v>
      </c>
      <c r="AR84" s="60">
        <f t="shared" si="91"/>
        <v>0</v>
      </c>
      <c r="AS84" s="60">
        <f t="shared" si="92"/>
        <v>0</v>
      </c>
    </row>
    <row r="85" spans="1:45" x14ac:dyDescent="0.35">
      <c r="A85" s="53" t="str">
        <f t="shared" si="41"/>
        <v>FS_2050</v>
      </c>
      <c r="B85" s="25" t="s">
        <v>20</v>
      </c>
      <c r="C85" s="10" t="str">
        <f t="shared" si="42"/>
        <v>kgCO2/GJ</v>
      </c>
      <c r="D85" s="12">
        <v>74</v>
      </c>
      <c r="E85" s="12">
        <v>74</v>
      </c>
      <c r="F85" s="12">
        <v>74</v>
      </c>
      <c r="G85" s="12">
        <v>74</v>
      </c>
      <c r="H85" s="12">
        <v>74</v>
      </c>
      <c r="I85" s="12">
        <v>74</v>
      </c>
      <c r="J85" s="12">
        <v>74</v>
      </c>
      <c r="K85" s="12">
        <v>74</v>
      </c>
      <c r="L85" s="12">
        <v>74</v>
      </c>
      <c r="M85" s="12">
        <v>74</v>
      </c>
      <c r="N85" s="12">
        <v>74</v>
      </c>
      <c r="O85" s="12">
        <v>74</v>
      </c>
      <c r="P85" s="12">
        <v>74</v>
      </c>
      <c r="Q85" s="12">
        <v>74</v>
      </c>
      <c r="R85" s="12">
        <v>74</v>
      </c>
      <c r="S85" s="12">
        <v>74</v>
      </c>
      <c r="T85" s="12">
        <v>74</v>
      </c>
      <c r="U85" s="12">
        <v>74</v>
      </c>
      <c r="V85" s="12">
        <v>74</v>
      </c>
      <c r="W85" s="12">
        <v>74</v>
      </c>
      <c r="X85" s="12">
        <v>74</v>
      </c>
      <c r="Y85" s="12">
        <v>74</v>
      </c>
      <c r="Z85" s="12">
        <v>74</v>
      </c>
      <c r="AA85" s="12">
        <v>74</v>
      </c>
      <c r="AB85" s="12">
        <v>74</v>
      </c>
      <c r="AC85" s="12">
        <v>74</v>
      </c>
      <c r="AD85" s="12">
        <v>74</v>
      </c>
      <c r="AE85" s="12">
        <v>74</v>
      </c>
      <c r="AF85" s="12">
        <v>74</v>
      </c>
      <c r="AG85" s="12">
        <v>74</v>
      </c>
      <c r="AH85" s="12">
        <v>74</v>
      </c>
      <c r="AI85" s="56">
        <v>0</v>
      </c>
      <c r="AJ85" s="60">
        <f t="shared" si="83"/>
        <v>0</v>
      </c>
      <c r="AK85" s="60">
        <f t="shared" si="84"/>
        <v>0</v>
      </c>
      <c r="AL85" s="60">
        <f t="shared" si="85"/>
        <v>0</v>
      </c>
      <c r="AM85" s="60">
        <f t="shared" si="86"/>
        <v>0</v>
      </c>
      <c r="AN85" s="60">
        <f t="shared" si="87"/>
        <v>0</v>
      </c>
      <c r="AO85" s="60">
        <f t="shared" si="88"/>
        <v>0</v>
      </c>
      <c r="AP85" s="60">
        <f t="shared" si="89"/>
        <v>0</v>
      </c>
      <c r="AQ85" s="60">
        <f t="shared" si="90"/>
        <v>0</v>
      </c>
      <c r="AR85" s="60">
        <f t="shared" si="91"/>
        <v>0</v>
      </c>
      <c r="AS85" s="60">
        <f t="shared" si="92"/>
        <v>0</v>
      </c>
    </row>
    <row r="86" spans="1:45" x14ac:dyDescent="0.35">
      <c r="A86" s="53" t="str">
        <f t="shared" si="41"/>
        <v>FS_2050</v>
      </c>
      <c r="B86" s="25" t="s">
        <v>55</v>
      </c>
      <c r="C86" s="5" t="str">
        <f>C83</f>
        <v>kgCO2/GJ</v>
      </c>
      <c r="D86" s="7">
        <v>96</v>
      </c>
      <c r="E86" s="7">
        <v>96</v>
      </c>
      <c r="F86" s="7">
        <v>96</v>
      </c>
      <c r="G86" s="7">
        <v>96</v>
      </c>
      <c r="H86" s="7">
        <v>96</v>
      </c>
      <c r="I86" s="7">
        <v>96</v>
      </c>
      <c r="J86" s="7">
        <v>96</v>
      </c>
      <c r="K86" s="7">
        <v>96</v>
      </c>
      <c r="L86" s="7">
        <v>96</v>
      </c>
      <c r="M86" s="7">
        <v>96</v>
      </c>
      <c r="N86" s="7">
        <v>96</v>
      </c>
      <c r="O86" s="7">
        <v>96</v>
      </c>
      <c r="P86" s="7">
        <v>96</v>
      </c>
      <c r="Q86" s="7">
        <v>96</v>
      </c>
      <c r="R86" s="7">
        <v>96</v>
      </c>
      <c r="S86" s="7">
        <v>96</v>
      </c>
      <c r="T86" s="7">
        <v>96</v>
      </c>
      <c r="U86" s="7">
        <v>96</v>
      </c>
      <c r="V86" s="7">
        <v>96</v>
      </c>
      <c r="W86" s="7">
        <v>96</v>
      </c>
      <c r="X86" s="7">
        <v>96</v>
      </c>
      <c r="Y86" s="7">
        <v>96</v>
      </c>
      <c r="Z86" s="7">
        <v>96</v>
      </c>
      <c r="AA86" s="7">
        <v>96</v>
      </c>
      <c r="AB86" s="7">
        <v>96</v>
      </c>
      <c r="AC86" s="7">
        <v>96</v>
      </c>
      <c r="AD86" s="7">
        <v>96</v>
      </c>
      <c r="AE86" s="7">
        <v>96</v>
      </c>
      <c r="AF86" s="7">
        <v>96</v>
      </c>
      <c r="AG86" s="7">
        <v>96</v>
      </c>
      <c r="AH86" s="7">
        <v>96</v>
      </c>
      <c r="AI86" s="7">
        <v>96</v>
      </c>
      <c r="AJ86">
        <f t="shared" si="83"/>
        <v>96</v>
      </c>
      <c r="AK86">
        <f t="shared" si="84"/>
        <v>96</v>
      </c>
      <c r="AL86">
        <f t="shared" si="85"/>
        <v>96</v>
      </c>
      <c r="AM86">
        <f t="shared" si="86"/>
        <v>96</v>
      </c>
      <c r="AN86">
        <f t="shared" si="87"/>
        <v>96</v>
      </c>
      <c r="AO86">
        <f t="shared" si="88"/>
        <v>96</v>
      </c>
      <c r="AP86">
        <f t="shared" si="89"/>
        <v>96</v>
      </c>
      <c r="AQ86">
        <f t="shared" si="90"/>
        <v>96</v>
      </c>
      <c r="AR86">
        <f t="shared" si="91"/>
        <v>96</v>
      </c>
      <c r="AS86">
        <f t="shared" si="92"/>
        <v>96</v>
      </c>
    </row>
    <row r="87" spans="1:45" x14ac:dyDescent="0.35">
      <c r="A87" s="53" t="str">
        <f t="shared" si="41"/>
        <v>FS_2050</v>
      </c>
      <c r="B87" s="25" t="s">
        <v>56</v>
      </c>
      <c r="C87" s="10" t="str">
        <f t="shared" si="42"/>
        <v>kgCO2/GJ</v>
      </c>
      <c r="D87" s="12">
        <v>96</v>
      </c>
      <c r="E87" s="12">
        <v>96</v>
      </c>
      <c r="F87" s="12">
        <v>96</v>
      </c>
      <c r="G87" s="12">
        <v>96</v>
      </c>
      <c r="H87" s="12">
        <v>96</v>
      </c>
      <c r="I87" s="12">
        <v>96</v>
      </c>
      <c r="J87" s="12">
        <v>96</v>
      </c>
      <c r="K87" s="12">
        <v>96</v>
      </c>
      <c r="L87" s="12">
        <v>96</v>
      </c>
      <c r="M87" s="12">
        <v>96</v>
      </c>
      <c r="N87" s="12">
        <v>96</v>
      </c>
      <c r="O87" s="12">
        <v>96</v>
      </c>
      <c r="P87" s="12">
        <v>96</v>
      </c>
      <c r="Q87" s="12">
        <v>96</v>
      </c>
      <c r="R87" s="12">
        <v>96</v>
      </c>
      <c r="S87" s="12">
        <v>96</v>
      </c>
      <c r="T87" s="12">
        <v>96</v>
      </c>
      <c r="U87" s="12">
        <v>96</v>
      </c>
      <c r="V87" s="12">
        <v>96</v>
      </c>
      <c r="W87" s="12">
        <v>96</v>
      </c>
      <c r="X87" s="12">
        <v>96</v>
      </c>
      <c r="Y87" s="12">
        <v>96</v>
      </c>
      <c r="Z87" s="12">
        <v>96</v>
      </c>
      <c r="AA87" s="12">
        <v>96</v>
      </c>
      <c r="AB87" s="12">
        <v>96</v>
      </c>
      <c r="AC87" s="12">
        <v>96</v>
      </c>
      <c r="AD87" s="12">
        <v>96</v>
      </c>
      <c r="AE87" s="12">
        <v>96</v>
      </c>
      <c r="AF87" s="12">
        <v>96</v>
      </c>
      <c r="AG87" s="12">
        <v>96</v>
      </c>
      <c r="AH87" s="12">
        <v>96</v>
      </c>
      <c r="AI87" s="12">
        <v>96</v>
      </c>
      <c r="AJ87">
        <f t="shared" si="83"/>
        <v>96</v>
      </c>
      <c r="AK87">
        <f t="shared" si="84"/>
        <v>96</v>
      </c>
      <c r="AL87">
        <f t="shared" si="85"/>
        <v>96</v>
      </c>
      <c r="AM87">
        <f t="shared" si="86"/>
        <v>96</v>
      </c>
      <c r="AN87">
        <f t="shared" si="87"/>
        <v>96</v>
      </c>
      <c r="AO87">
        <f t="shared" si="88"/>
        <v>96</v>
      </c>
      <c r="AP87">
        <f t="shared" si="89"/>
        <v>96</v>
      </c>
      <c r="AQ87">
        <f t="shared" si="90"/>
        <v>96</v>
      </c>
      <c r="AR87">
        <f t="shared" si="91"/>
        <v>96</v>
      </c>
      <c r="AS87">
        <f t="shared" si="92"/>
        <v>96</v>
      </c>
    </row>
    <row r="88" spans="1:45" x14ac:dyDescent="0.35">
      <c r="A88" s="53" t="str">
        <f>A85</f>
        <v>FS_2050</v>
      </c>
      <c r="B88" s="24" t="s">
        <v>21</v>
      </c>
      <c r="C88" s="5" t="str">
        <f>C85</f>
        <v>kgCO2/GJ</v>
      </c>
      <c r="D88" s="7">
        <v>96</v>
      </c>
      <c r="E88" s="7">
        <v>96</v>
      </c>
      <c r="F88" s="7">
        <v>96</v>
      </c>
      <c r="G88" s="7">
        <v>96</v>
      </c>
      <c r="H88" s="7">
        <v>96</v>
      </c>
      <c r="I88" s="7">
        <v>96</v>
      </c>
      <c r="J88" s="7">
        <v>96</v>
      </c>
      <c r="K88" s="7">
        <v>96</v>
      </c>
      <c r="L88" s="7">
        <v>96</v>
      </c>
      <c r="M88" s="7">
        <v>96</v>
      </c>
      <c r="N88" s="7">
        <v>96</v>
      </c>
      <c r="O88" s="7">
        <v>96</v>
      </c>
      <c r="P88" s="7">
        <v>96</v>
      </c>
      <c r="Q88" s="7">
        <v>96</v>
      </c>
      <c r="R88" s="7">
        <v>96</v>
      </c>
      <c r="S88" s="7">
        <v>96</v>
      </c>
      <c r="T88" s="7">
        <v>96</v>
      </c>
      <c r="U88" s="7">
        <v>96</v>
      </c>
      <c r="V88" s="7">
        <v>96</v>
      </c>
      <c r="W88" s="7">
        <v>96</v>
      </c>
      <c r="X88" s="7">
        <v>96</v>
      </c>
      <c r="Y88" s="7">
        <v>96</v>
      </c>
      <c r="Z88" s="7">
        <v>96</v>
      </c>
      <c r="AA88" s="7">
        <v>96</v>
      </c>
      <c r="AB88" s="7">
        <v>96</v>
      </c>
      <c r="AC88" s="7">
        <v>96</v>
      </c>
      <c r="AD88" s="7">
        <v>96</v>
      </c>
      <c r="AE88" s="7">
        <v>96</v>
      </c>
      <c r="AF88" s="7">
        <v>96</v>
      </c>
      <c r="AG88" s="7">
        <v>96</v>
      </c>
      <c r="AH88" s="7">
        <v>96</v>
      </c>
      <c r="AI88" s="7">
        <v>96</v>
      </c>
      <c r="AJ88">
        <f t="shared" si="83"/>
        <v>96</v>
      </c>
      <c r="AK88">
        <f t="shared" si="84"/>
        <v>96</v>
      </c>
      <c r="AL88">
        <f t="shared" si="85"/>
        <v>96</v>
      </c>
      <c r="AM88">
        <f t="shared" si="86"/>
        <v>96</v>
      </c>
      <c r="AN88">
        <f t="shared" si="87"/>
        <v>96</v>
      </c>
      <c r="AO88">
        <f t="shared" si="88"/>
        <v>96</v>
      </c>
      <c r="AP88">
        <f t="shared" si="89"/>
        <v>96</v>
      </c>
      <c r="AQ88">
        <f t="shared" si="90"/>
        <v>96</v>
      </c>
      <c r="AR88">
        <f t="shared" si="91"/>
        <v>96</v>
      </c>
      <c r="AS88">
        <f t="shared" si="92"/>
        <v>96</v>
      </c>
    </row>
    <row r="89" spans="1:45" x14ac:dyDescent="0.35">
      <c r="A89" s="53" t="str">
        <f t="shared" si="41"/>
        <v>FS_2050</v>
      </c>
      <c r="B89" s="25" t="s">
        <v>22</v>
      </c>
      <c r="C89" s="10" t="str">
        <f t="shared" si="42"/>
        <v>kgCO2/GJ</v>
      </c>
      <c r="D89" s="12">
        <v>96</v>
      </c>
      <c r="E89" s="12">
        <v>96</v>
      </c>
      <c r="F89" s="12">
        <v>96</v>
      </c>
      <c r="G89" s="12">
        <v>96</v>
      </c>
      <c r="H89" s="12">
        <v>96</v>
      </c>
      <c r="I89" s="12">
        <v>96</v>
      </c>
      <c r="J89" s="12">
        <v>96</v>
      </c>
      <c r="K89" s="12">
        <v>96</v>
      </c>
      <c r="L89" s="12">
        <v>96</v>
      </c>
      <c r="M89" s="12">
        <v>96</v>
      </c>
      <c r="N89" s="12">
        <v>96</v>
      </c>
      <c r="O89" s="12">
        <v>96</v>
      </c>
      <c r="P89" s="12">
        <v>96</v>
      </c>
      <c r="Q89" s="12">
        <v>96</v>
      </c>
      <c r="R89" s="12">
        <v>96</v>
      </c>
      <c r="S89" s="12">
        <v>96</v>
      </c>
      <c r="T89" s="12">
        <v>96</v>
      </c>
      <c r="U89" s="12">
        <v>96</v>
      </c>
      <c r="V89" s="12">
        <v>96</v>
      </c>
      <c r="W89" s="12">
        <v>96</v>
      </c>
      <c r="X89" s="12">
        <v>96</v>
      </c>
      <c r="Y89" s="12">
        <v>96</v>
      </c>
      <c r="Z89" s="12">
        <v>96</v>
      </c>
      <c r="AA89" s="12">
        <v>96</v>
      </c>
      <c r="AB89" s="12">
        <v>96</v>
      </c>
      <c r="AC89" s="12">
        <v>96</v>
      </c>
      <c r="AD89" s="12">
        <v>96</v>
      </c>
      <c r="AE89" s="12">
        <v>96</v>
      </c>
      <c r="AF89" s="12">
        <v>96</v>
      </c>
      <c r="AG89" s="12">
        <v>96</v>
      </c>
      <c r="AH89" s="12">
        <v>96</v>
      </c>
      <c r="AI89" s="12">
        <v>96</v>
      </c>
      <c r="AJ89">
        <f t="shared" si="83"/>
        <v>96</v>
      </c>
      <c r="AK89">
        <f t="shared" si="84"/>
        <v>96</v>
      </c>
      <c r="AL89">
        <f t="shared" si="85"/>
        <v>96</v>
      </c>
      <c r="AM89">
        <f t="shared" si="86"/>
        <v>96</v>
      </c>
      <c r="AN89">
        <f t="shared" si="87"/>
        <v>96</v>
      </c>
      <c r="AO89">
        <f t="shared" si="88"/>
        <v>96</v>
      </c>
      <c r="AP89">
        <f t="shared" si="89"/>
        <v>96</v>
      </c>
      <c r="AQ89">
        <f t="shared" si="90"/>
        <v>96</v>
      </c>
      <c r="AR89">
        <f t="shared" si="91"/>
        <v>96</v>
      </c>
      <c r="AS89">
        <f t="shared" si="92"/>
        <v>96</v>
      </c>
    </row>
    <row r="90" spans="1:45" x14ac:dyDescent="0.35">
      <c r="A90" s="53" t="str">
        <f t="shared" si="41"/>
        <v>FS_2050</v>
      </c>
      <c r="B90" s="24" t="s">
        <v>23</v>
      </c>
      <c r="C90" s="5" t="str">
        <f t="shared" si="42"/>
        <v>kgCO2/GJ</v>
      </c>
      <c r="D90" s="7">
        <v>69</v>
      </c>
      <c r="E90" s="7">
        <v>69</v>
      </c>
      <c r="F90" s="7">
        <v>69</v>
      </c>
      <c r="G90" s="7">
        <v>69</v>
      </c>
      <c r="H90" s="7">
        <v>69</v>
      </c>
      <c r="I90" s="7">
        <v>69</v>
      </c>
      <c r="J90" s="7">
        <v>69</v>
      </c>
      <c r="K90" s="7">
        <v>69</v>
      </c>
      <c r="L90" s="7">
        <v>69</v>
      </c>
      <c r="M90" s="7">
        <v>69</v>
      </c>
      <c r="N90" s="7">
        <v>69</v>
      </c>
      <c r="O90" s="7">
        <v>69</v>
      </c>
      <c r="P90" s="7">
        <v>69</v>
      </c>
      <c r="Q90" s="7">
        <v>69</v>
      </c>
      <c r="R90" s="7">
        <v>69</v>
      </c>
      <c r="S90" s="7">
        <v>69</v>
      </c>
      <c r="T90" s="7">
        <v>69</v>
      </c>
      <c r="U90" s="7">
        <v>69</v>
      </c>
      <c r="V90" s="7">
        <v>69</v>
      </c>
      <c r="W90" s="7">
        <v>69</v>
      </c>
      <c r="X90" s="7">
        <v>69</v>
      </c>
      <c r="Y90" s="7">
        <v>69</v>
      </c>
      <c r="Z90" s="7">
        <v>69</v>
      </c>
      <c r="AA90" s="7">
        <v>69</v>
      </c>
      <c r="AB90" s="7">
        <v>69</v>
      </c>
      <c r="AC90" s="7">
        <v>69</v>
      </c>
      <c r="AD90" s="7">
        <v>69</v>
      </c>
      <c r="AE90" s="7">
        <v>69</v>
      </c>
      <c r="AF90" s="7">
        <v>69</v>
      </c>
      <c r="AG90" s="7">
        <v>69</v>
      </c>
      <c r="AH90" s="7">
        <v>69</v>
      </c>
      <c r="AI90" s="7">
        <v>69</v>
      </c>
      <c r="AJ90">
        <f t="shared" si="83"/>
        <v>69</v>
      </c>
      <c r="AK90">
        <f t="shared" si="84"/>
        <v>69</v>
      </c>
      <c r="AL90">
        <f t="shared" si="85"/>
        <v>69</v>
      </c>
      <c r="AM90">
        <f t="shared" si="86"/>
        <v>69</v>
      </c>
      <c r="AN90">
        <f t="shared" si="87"/>
        <v>69</v>
      </c>
      <c r="AO90">
        <f t="shared" si="88"/>
        <v>69</v>
      </c>
      <c r="AP90">
        <f t="shared" si="89"/>
        <v>69</v>
      </c>
      <c r="AQ90">
        <f t="shared" si="90"/>
        <v>69</v>
      </c>
      <c r="AR90">
        <f t="shared" si="91"/>
        <v>69</v>
      </c>
      <c r="AS90">
        <f t="shared" si="92"/>
        <v>69</v>
      </c>
    </row>
    <row r="91" spans="1:45" x14ac:dyDescent="0.35">
      <c r="A91" s="54" t="str">
        <f t="shared" si="41"/>
        <v>FS_2050</v>
      </c>
      <c r="B91" s="26" t="s">
        <v>24</v>
      </c>
      <c r="C91" s="27" t="str">
        <f t="shared" si="42"/>
        <v>kgCO2/GJ</v>
      </c>
      <c r="D91" s="28">
        <v>69</v>
      </c>
      <c r="E91" s="28">
        <v>69</v>
      </c>
      <c r="F91" s="28">
        <v>69</v>
      </c>
      <c r="G91" s="28">
        <v>69</v>
      </c>
      <c r="H91" s="28">
        <v>69</v>
      </c>
      <c r="I91" s="28">
        <v>69</v>
      </c>
      <c r="J91" s="28">
        <v>69</v>
      </c>
      <c r="K91" s="28">
        <v>69</v>
      </c>
      <c r="L91" s="28">
        <v>69</v>
      </c>
      <c r="M91" s="28">
        <v>69</v>
      </c>
      <c r="N91" s="28">
        <v>69</v>
      </c>
      <c r="O91" s="28">
        <v>69</v>
      </c>
      <c r="P91" s="28">
        <v>69</v>
      </c>
      <c r="Q91" s="28">
        <v>69</v>
      </c>
      <c r="R91" s="28">
        <v>69</v>
      </c>
      <c r="S91" s="28">
        <v>69</v>
      </c>
      <c r="T91" s="28">
        <v>69</v>
      </c>
      <c r="U91" s="28">
        <v>69</v>
      </c>
      <c r="V91" s="28">
        <v>69</v>
      </c>
      <c r="W91" s="28">
        <v>69</v>
      </c>
      <c r="X91" s="28">
        <v>69</v>
      </c>
      <c r="Y91" s="28">
        <v>69</v>
      </c>
      <c r="Z91" s="28">
        <v>69</v>
      </c>
      <c r="AA91" s="28">
        <v>69</v>
      </c>
      <c r="AB91" s="28">
        <v>69</v>
      </c>
      <c r="AC91" s="28">
        <v>69</v>
      </c>
      <c r="AD91" s="28">
        <v>69</v>
      </c>
      <c r="AE91" s="28">
        <v>69</v>
      </c>
      <c r="AF91" s="28">
        <v>69</v>
      </c>
      <c r="AG91" s="28">
        <v>69</v>
      </c>
      <c r="AH91" s="28">
        <v>69</v>
      </c>
      <c r="AI91" s="12">
        <v>69</v>
      </c>
      <c r="AJ91" s="29">
        <f t="shared" si="83"/>
        <v>69</v>
      </c>
      <c r="AK91" s="29">
        <f t="shared" si="84"/>
        <v>69</v>
      </c>
      <c r="AL91" s="29">
        <f t="shared" si="85"/>
        <v>69</v>
      </c>
      <c r="AM91" s="29">
        <f t="shared" si="86"/>
        <v>69</v>
      </c>
      <c r="AN91" s="29">
        <f t="shared" si="87"/>
        <v>69</v>
      </c>
      <c r="AO91" s="29">
        <f t="shared" si="88"/>
        <v>69</v>
      </c>
      <c r="AP91" s="29">
        <f t="shared" si="89"/>
        <v>69</v>
      </c>
      <c r="AQ91" s="29">
        <f t="shared" si="90"/>
        <v>69</v>
      </c>
      <c r="AR91" s="29">
        <f t="shared" si="91"/>
        <v>69</v>
      </c>
      <c r="AS91" s="29">
        <f t="shared" si="92"/>
        <v>69</v>
      </c>
    </row>
  </sheetData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34"/>
  <sheetViews>
    <sheetView zoomScaleNormal="100" workbookViewId="0">
      <pane ySplit="1" topLeftCell="A14" activePane="bottomLeft" state="frozen"/>
      <selection pane="bottomLeft" activeCell="AI136" sqref="AI136"/>
    </sheetView>
  </sheetViews>
  <sheetFormatPr defaultColWidth="8.6328125" defaultRowHeight="14.5" x14ac:dyDescent="0.35"/>
  <cols>
    <col min="1" max="1" width="30.6328125" bestFit="1" customWidth="1"/>
    <col min="2" max="2" width="19.6328125" customWidth="1"/>
    <col min="3" max="3" width="11.54296875" customWidth="1"/>
    <col min="46" max="46" width="48.6328125" customWidth="1"/>
  </cols>
  <sheetData>
    <row r="1" spans="1:46" x14ac:dyDescent="0.35">
      <c r="A1" s="30" t="s">
        <v>0</v>
      </c>
      <c r="B1" s="30" t="s">
        <v>25</v>
      </c>
      <c r="C1" s="31" t="s">
        <v>1</v>
      </c>
      <c r="D1" s="31">
        <v>2019</v>
      </c>
      <c r="E1" s="31">
        <v>2020</v>
      </c>
      <c r="F1" s="31">
        <v>2021</v>
      </c>
      <c r="G1" s="31">
        <v>2022</v>
      </c>
      <c r="H1" s="31">
        <v>2023</v>
      </c>
      <c r="I1" s="31">
        <v>2024</v>
      </c>
      <c r="J1" s="31">
        <v>2025</v>
      </c>
      <c r="K1" s="31">
        <v>2026</v>
      </c>
      <c r="L1" s="31">
        <v>2027</v>
      </c>
      <c r="M1" s="31">
        <v>2028</v>
      </c>
      <c r="N1" s="31">
        <v>2029</v>
      </c>
      <c r="O1" s="31">
        <v>2030</v>
      </c>
      <c r="P1" s="31">
        <v>2031</v>
      </c>
      <c r="Q1" s="31">
        <v>2032</v>
      </c>
      <c r="R1" s="31">
        <v>2033</v>
      </c>
      <c r="S1" s="31">
        <v>2034</v>
      </c>
      <c r="T1" s="31">
        <v>2035</v>
      </c>
      <c r="U1" s="31">
        <v>2036</v>
      </c>
      <c r="V1" s="31">
        <v>2037</v>
      </c>
      <c r="W1" s="31">
        <v>2038</v>
      </c>
      <c r="X1" s="31">
        <v>2039</v>
      </c>
      <c r="Y1" s="31">
        <v>2040</v>
      </c>
      <c r="Z1" s="31">
        <v>2041</v>
      </c>
      <c r="AA1" s="31">
        <v>2042</v>
      </c>
      <c r="AB1" s="31">
        <v>2043</v>
      </c>
      <c r="AC1" s="31">
        <v>2044</v>
      </c>
      <c r="AD1" s="31">
        <v>2045</v>
      </c>
      <c r="AE1" s="31">
        <v>2046</v>
      </c>
      <c r="AF1" s="31">
        <v>2047</v>
      </c>
      <c r="AG1" s="31">
        <v>2048</v>
      </c>
      <c r="AH1" s="31">
        <v>2049</v>
      </c>
      <c r="AI1" s="31">
        <v>2050</v>
      </c>
      <c r="AJ1" s="31">
        <f t="shared" ref="AJ1:AS1" si="0">AI1+1</f>
        <v>2051</v>
      </c>
      <c r="AK1" s="31">
        <f t="shared" si="0"/>
        <v>2052</v>
      </c>
      <c r="AL1" s="31">
        <f t="shared" si="0"/>
        <v>2053</v>
      </c>
      <c r="AM1" s="31">
        <f t="shared" si="0"/>
        <v>2054</v>
      </c>
      <c r="AN1" s="31">
        <f t="shared" si="0"/>
        <v>2055</v>
      </c>
      <c r="AO1" s="31">
        <f t="shared" si="0"/>
        <v>2056</v>
      </c>
      <c r="AP1" s="31">
        <f t="shared" si="0"/>
        <v>2057</v>
      </c>
      <c r="AQ1" s="31">
        <f t="shared" si="0"/>
        <v>2058</v>
      </c>
      <c r="AR1" s="31">
        <f t="shared" si="0"/>
        <v>2059</v>
      </c>
      <c r="AS1" s="31">
        <f t="shared" si="0"/>
        <v>2060</v>
      </c>
      <c r="AT1" s="30" t="s">
        <v>26</v>
      </c>
    </row>
    <row r="2" spans="1:46" x14ac:dyDescent="0.35">
      <c r="A2" s="23" t="s">
        <v>9</v>
      </c>
      <c r="B2" s="32" t="s">
        <v>27</v>
      </c>
      <c r="C2" s="24" t="s">
        <v>13</v>
      </c>
      <c r="D2" s="33">
        <v>96</v>
      </c>
      <c r="E2" s="33">
        <f t="shared" ref="E2:AS2" si="1">D2</f>
        <v>96</v>
      </c>
      <c r="F2" s="33">
        <f t="shared" si="1"/>
        <v>96</v>
      </c>
      <c r="G2" s="33">
        <f t="shared" si="1"/>
        <v>96</v>
      </c>
      <c r="H2" s="33">
        <f t="shared" si="1"/>
        <v>96</v>
      </c>
      <c r="I2" s="33">
        <f t="shared" si="1"/>
        <v>96</v>
      </c>
      <c r="J2" s="33">
        <f t="shared" si="1"/>
        <v>96</v>
      </c>
      <c r="K2" s="33">
        <f t="shared" si="1"/>
        <v>96</v>
      </c>
      <c r="L2" s="33">
        <f t="shared" si="1"/>
        <v>96</v>
      </c>
      <c r="M2" s="33">
        <f t="shared" si="1"/>
        <v>96</v>
      </c>
      <c r="N2" s="33">
        <f t="shared" si="1"/>
        <v>96</v>
      </c>
      <c r="O2" s="33">
        <f t="shared" si="1"/>
        <v>96</v>
      </c>
      <c r="P2" s="33">
        <f t="shared" si="1"/>
        <v>96</v>
      </c>
      <c r="Q2" s="33">
        <f t="shared" si="1"/>
        <v>96</v>
      </c>
      <c r="R2" s="33">
        <f t="shared" si="1"/>
        <v>96</v>
      </c>
      <c r="S2" s="33">
        <f t="shared" si="1"/>
        <v>96</v>
      </c>
      <c r="T2" s="33">
        <f t="shared" si="1"/>
        <v>96</v>
      </c>
      <c r="U2" s="33">
        <f t="shared" si="1"/>
        <v>96</v>
      </c>
      <c r="V2" s="33">
        <f t="shared" si="1"/>
        <v>96</v>
      </c>
      <c r="W2" s="33">
        <f t="shared" si="1"/>
        <v>96</v>
      </c>
      <c r="X2" s="33">
        <f t="shared" si="1"/>
        <v>96</v>
      </c>
      <c r="Y2" s="33">
        <f t="shared" si="1"/>
        <v>96</v>
      </c>
      <c r="Z2" s="33">
        <f t="shared" si="1"/>
        <v>96</v>
      </c>
      <c r="AA2" s="33">
        <f t="shared" si="1"/>
        <v>96</v>
      </c>
      <c r="AB2" s="33">
        <f t="shared" si="1"/>
        <v>96</v>
      </c>
      <c r="AC2" s="33">
        <f t="shared" si="1"/>
        <v>96</v>
      </c>
      <c r="AD2" s="33">
        <f t="shared" si="1"/>
        <v>96</v>
      </c>
      <c r="AE2" s="33">
        <f t="shared" si="1"/>
        <v>96</v>
      </c>
      <c r="AF2" s="33">
        <f t="shared" si="1"/>
        <v>96</v>
      </c>
      <c r="AG2" s="33">
        <f t="shared" si="1"/>
        <v>96</v>
      </c>
      <c r="AH2" s="33">
        <f t="shared" si="1"/>
        <v>96</v>
      </c>
      <c r="AI2" s="33">
        <f t="shared" si="1"/>
        <v>96</v>
      </c>
      <c r="AJ2" s="33">
        <f t="shared" si="1"/>
        <v>96</v>
      </c>
      <c r="AK2" s="33">
        <f t="shared" si="1"/>
        <v>96</v>
      </c>
      <c r="AL2" s="33">
        <f t="shared" si="1"/>
        <v>96</v>
      </c>
      <c r="AM2" s="33">
        <f t="shared" si="1"/>
        <v>96</v>
      </c>
      <c r="AN2" s="33">
        <f t="shared" si="1"/>
        <v>96</v>
      </c>
      <c r="AO2" s="33">
        <f t="shared" si="1"/>
        <v>96</v>
      </c>
      <c r="AP2" s="33">
        <f t="shared" si="1"/>
        <v>96</v>
      </c>
      <c r="AQ2" s="33">
        <f t="shared" si="1"/>
        <v>96</v>
      </c>
      <c r="AR2" s="33">
        <f t="shared" si="1"/>
        <v>96</v>
      </c>
      <c r="AS2" s="33">
        <f t="shared" si="1"/>
        <v>96</v>
      </c>
      <c r="AT2" s="34" t="s">
        <v>28</v>
      </c>
    </row>
    <row r="3" spans="1:46" x14ac:dyDescent="0.35">
      <c r="A3" s="23" t="s">
        <v>9</v>
      </c>
      <c r="B3" s="35" t="s">
        <v>29</v>
      </c>
      <c r="C3" s="25" t="str">
        <f t="shared" ref="C3:AI3" si="2">C2</f>
        <v>kgCO2/GJ</v>
      </c>
      <c r="D3" s="36">
        <f t="shared" si="2"/>
        <v>96</v>
      </c>
      <c r="E3" s="36">
        <f t="shared" si="2"/>
        <v>96</v>
      </c>
      <c r="F3" s="36">
        <f t="shared" si="2"/>
        <v>96</v>
      </c>
      <c r="G3" s="36">
        <f t="shared" si="2"/>
        <v>96</v>
      </c>
      <c r="H3" s="36">
        <f t="shared" si="2"/>
        <v>96</v>
      </c>
      <c r="I3" s="36">
        <f t="shared" si="2"/>
        <v>96</v>
      </c>
      <c r="J3" s="36">
        <f t="shared" si="2"/>
        <v>96</v>
      </c>
      <c r="K3" s="36">
        <f t="shared" si="2"/>
        <v>96</v>
      </c>
      <c r="L3" s="36">
        <f t="shared" si="2"/>
        <v>96</v>
      </c>
      <c r="M3" s="36">
        <f t="shared" si="2"/>
        <v>96</v>
      </c>
      <c r="N3" s="36">
        <f t="shared" si="2"/>
        <v>96</v>
      </c>
      <c r="O3" s="36">
        <f t="shared" si="2"/>
        <v>96</v>
      </c>
      <c r="P3" s="36">
        <f t="shared" si="2"/>
        <v>96</v>
      </c>
      <c r="Q3" s="36">
        <f t="shared" si="2"/>
        <v>96</v>
      </c>
      <c r="R3" s="36">
        <f t="shared" si="2"/>
        <v>96</v>
      </c>
      <c r="S3" s="36">
        <f t="shared" si="2"/>
        <v>96</v>
      </c>
      <c r="T3" s="36">
        <f t="shared" si="2"/>
        <v>96</v>
      </c>
      <c r="U3" s="36">
        <f t="shared" si="2"/>
        <v>96</v>
      </c>
      <c r="V3" s="36">
        <f t="shared" si="2"/>
        <v>96</v>
      </c>
      <c r="W3" s="36">
        <f t="shared" si="2"/>
        <v>96</v>
      </c>
      <c r="X3" s="36">
        <f t="shared" si="2"/>
        <v>96</v>
      </c>
      <c r="Y3" s="36">
        <f t="shared" si="2"/>
        <v>96</v>
      </c>
      <c r="Z3" s="36">
        <f t="shared" si="2"/>
        <v>96</v>
      </c>
      <c r="AA3" s="36">
        <f t="shared" si="2"/>
        <v>96</v>
      </c>
      <c r="AB3" s="36">
        <f t="shared" si="2"/>
        <v>96</v>
      </c>
      <c r="AC3" s="36">
        <f t="shared" si="2"/>
        <v>96</v>
      </c>
      <c r="AD3" s="36">
        <f t="shared" si="2"/>
        <v>96</v>
      </c>
      <c r="AE3" s="36">
        <f t="shared" si="2"/>
        <v>96</v>
      </c>
      <c r="AF3" s="36">
        <f t="shared" si="2"/>
        <v>96</v>
      </c>
      <c r="AG3" s="36">
        <f t="shared" si="2"/>
        <v>96</v>
      </c>
      <c r="AH3" s="36">
        <f t="shared" si="2"/>
        <v>96</v>
      </c>
      <c r="AI3" s="36">
        <f t="shared" si="2"/>
        <v>96</v>
      </c>
      <c r="AJ3" s="33">
        <f t="shared" ref="AJ3:AS3" si="3">AI3</f>
        <v>96</v>
      </c>
      <c r="AK3" s="33">
        <f t="shared" si="3"/>
        <v>96</v>
      </c>
      <c r="AL3" s="33">
        <f t="shared" si="3"/>
        <v>96</v>
      </c>
      <c r="AM3" s="33">
        <f t="shared" si="3"/>
        <v>96</v>
      </c>
      <c r="AN3" s="33">
        <f t="shared" si="3"/>
        <v>96</v>
      </c>
      <c r="AO3" s="33">
        <f t="shared" si="3"/>
        <v>96</v>
      </c>
      <c r="AP3" s="33">
        <f t="shared" si="3"/>
        <v>96</v>
      </c>
      <c r="AQ3" s="33">
        <f t="shared" si="3"/>
        <v>96</v>
      </c>
      <c r="AR3" s="33">
        <f t="shared" si="3"/>
        <v>96</v>
      </c>
      <c r="AS3" s="33">
        <f t="shared" si="3"/>
        <v>96</v>
      </c>
      <c r="AT3" s="35" t="s">
        <v>28</v>
      </c>
    </row>
    <row r="4" spans="1:46" x14ac:dyDescent="0.35">
      <c r="A4" s="23" t="s">
        <v>9</v>
      </c>
      <c r="B4" s="32" t="s">
        <v>30</v>
      </c>
      <c r="C4" s="24" t="str">
        <f t="shared" ref="C4:C12" si="4">C3</f>
        <v>kgCO2/GJ</v>
      </c>
      <c r="D4" s="24">
        <v>74</v>
      </c>
      <c r="E4" s="24">
        <v>74</v>
      </c>
      <c r="F4" s="24">
        <v>74</v>
      </c>
      <c r="G4" s="24">
        <v>74</v>
      </c>
      <c r="H4" s="24">
        <v>74</v>
      </c>
      <c r="I4" s="24">
        <v>74</v>
      </c>
      <c r="J4" s="24">
        <v>74</v>
      </c>
      <c r="K4" s="24">
        <v>74</v>
      </c>
      <c r="L4" s="24">
        <v>74</v>
      </c>
      <c r="M4" s="24">
        <v>74</v>
      </c>
      <c r="N4" s="24">
        <v>74</v>
      </c>
      <c r="O4" s="24">
        <v>74</v>
      </c>
      <c r="P4" s="24">
        <v>74</v>
      </c>
      <c r="Q4" s="24">
        <v>74</v>
      </c>
      <c r="R4" s="24">
        <v>74</v>
      </c>
      <c r="S4" s="24">
        <v>74</v>
      </c>
      <c r="T4" s="24">
        <v>74</v>
      </c>
      <c r="U4" s="24">
        <v>74</v>
      </c>
      <c r="V4" s="24">
        <v>74</v>
      </c>
      <c r="W4" s="24">
        <v>74</v>
      </c>
      <c r="X4" s="24">
        <v>74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33">
        <f t="shared" ref="AJ4:AS4" si="5">AI4</f>
        <v>0</v>
      </c>
      <c r="AK4" s="33">
        <f t="shared" si="5"/>
        <v>0</v>
      </c>
      <c r="AL4" s="33">
        <f t="shared" si="5"/>
        <v>0</v>
      </c>
      <c r="AM4" s="33">
        <f t="shared" si="5"/>
        <v>0</v>
      </c>
      <c r="AN4" s="33">
        <f t="shared" si="5"/>
        <v>0</v>
      </c>
      <c r="AO4" s="33">
        <f t="shared" si="5"/>
        <v>0</v>
      </c>
      <c r="AP4" s="33">
        <f t="shared" si="5"/>
        <v>0</v>
      </c>
      <c r="AQ4" s="33">
        <f t="shared" si="5"/>
        <v>0</v>
      </c>
      <c r="AR4" s="33">
        <f t="shared" si="5"/>
        <v>0</v>
      </c>
      <c r="AS4" s="33">
        <f t="shared" si="5"/>
        <v>0</v>
      </c>
      <c r="AT4" s="32" t="s">
        <v>31</v>
      </c>
    </row>
    <row r="5" spans="1:46" x14ac:dyDescent="0.35">
      <c r="A5" s="23" t="s">
        <v>9</v>
      </c>
      <c r="B5" s="35" t="s">
        <v>32</v>
      </c>
      <c r="C5" s="25" t="str">
        <f t="shared" si="4"/>
        <v>kgCO2/GJ</v>
      </c>
      <c r="D5" s="25">
        <v>74</v>
      </c>
      <c r="E5" s="25">
        <v>74</v>
      </c>
      <c r="F5" s="25">
        <v>74</v>
      </c>
      <c r="G5" s="25">
        <v>74</v>
      </c>
      <c r="H5" s="25">
        <v>74</v>
      </c>
      <c r="I5" s="25">
        <v>74</v>
      </c>
      <c r="J5" s="25">
        <v>74</v>
      </c>
      <c r="K5" s="25">
        <v>74</v>
      </c>
      <c r="L5" s="25">
        <v>74</v>
      </c>
      <c r="M5" s="25">
        <v>74</v>
      </c>
      <c r="N5" s="25">
        <v>74</v>
      </c>
      <c r="O5" s="25">
        <v>74</v>
      </c>
      <c r="P5" s="25">
        <v>74</v>
      </c>
      <c r="Q5" s="25">
        <v>74</v>
      </c>
      <c r="R5" s="25">
        <v>74</v>
      </c>
      <c r="S5" s="25">
        <v>74</v>
      </c>
      <c r="T5" s="25">
        <v>74</v>
      </c>
      <c r="U5" s="25">
        <v>74</v>
      </c>
      <c r="V5" s="25">
        <v>74</v>
      </c>
      <c r="W5" s="25">
        <v>74</v>
      </c>
      <c r="X5" s="25">
        <v>74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33">
        <f t="shared" ref="AJ5:AS5" si="6">AI5</f>
        <v>0</v>
      </c>
      <c r="AK5" s="33">
        <f t="shared" si="6"/>
        <v>0</v>
      </c>
      <c r="AL5" s="33">
        <f t="shared" si="6"/>
        <v>0</v>
      </c>
      <c r="AM5" s="33">
        <f t="shared" si="6"/>
        <v>0</v>
      </c>
      <c r="AN5" s="33">
        <f t="shared" si="6"/>
        <v>0</v>
      </c>
      <c r="AO5" s="33">
        <f t="shared" si="6"/>
        <v>0</v>
      </c>
      <c r="AP5" s="33">
        <f t="shared" si="6"/>
        <v>0</v>
      </c>
      <c r="AQ5" s="33">
        <f t="shared" si="6"/>
        <v>0</v>
      </c>
      <c r="AR5" s="33">
        <f t="shared" si="6"/>
        <v>0</v>
      </c>
      <c r="AS5" s="33">
        <f t="shared" si="6"/>
        <v>0</v>
      </c>
      <c r="AT5" s="35" t="s">
        <v>31</v>
      </c>
    </row>
    <row r="6" spans="1:46" x14ac:dyDescent="0.35">
      <c r="A6" s="23" t="s">
        <v>9</v>
      </c>
      <c r="B6" s="32" t="s">
        <v>33</v>
      </c>
      <c r="C6" s="24" t="str">
        <f t="shared" si="4"/>
        <v>kgCO2/GJ</v>
      </c>
      <c r="D6" s="24">
        <v>74</v>
      </c>
      <c r="E6" s="24">
        <v>74</v>
      </c>
      <c r="F6" s="24">
        <v>74</v>
      </c>
      <c r="G6" s="24">
        <v>74</v>
      </c>
      <c r="H6" s="24">
        <v>74</v>
      </c>
      <c r="I6" s="24">
        <v>74</v>
      </c>
      <c r="J6" s="24">
        <v>74</v>
      </c>
      <c r="K6" s="24">
        <v>74</v>
      </c>
      <c r="L6" s="24">
        <v>74</v>
      </c>
      <c r="M6" s="24">
        <v>74</v>
      </c>
      <c r="N6" s="24">
        <v>74</v>
      </c>
      <c r="O6" s="24">
        <v>74</v>
      </c>
      <c r="P6" s="24">
        <v>74</v>
      </c>
      <c r="Q6" s="24">
        <v>74</v>
      </c>
      <c r="R6" s="24">
        <v>74</v>
      </c>
      <c r="S6" s="24">
        <v>74</v>
      </c>
      <c r="T6" s="24">
        <v>74</v>
      </c>
      <c r="U6" s="24">
        <v>74</v>
      </c>
      <c r="V6" s="24">
        <v>74</v>
      </c>
      <c r="W6" s="24">
        <v>74</v>
      </c>
      <c r="X6" s="24">
        <v>74</v>
      </c>
      <c r="Y6" s="24">
        <v>74</v>
      </c>
      <c r="Z6" s="24">
        <v>74</v>
      </c>
      <c r="AA6" s="24">
        <v>74</v>
      </c>
      <c r="AB6" s="24">
        <v>74</v>
      </c>
      <c r="AC6" s="24">
        <v>74</v>
      </c>
      <c r="AD6" s="24">
        <v>74</v>
      </c>
      <c r="AE6" s="24">
        <v>74</v>
      </c>
      <c r="AF6" s="24">
        <v>74</v>
      </c>
      <c r="AG6" s="24">
        <v>74</v>
      </c>
      <c r="AH6" s="24">
        <v>74</v>
      </c>
      <c r="AI6" s="24">
        <v>74</v>
      </c>
      <c r="AJ6" s="33">
        <f t="shared" ref="AJ6:AS6" si="7">AI6</f>
        <v>74</v>
      </c>
      <c r="AK6" s="33">
        <f t="shared" si="7"/>
        <v>74</v>
      </c>
      <c r="AL6" s="33">
        <f t="shared" si="7"/>
        <v>74</v>
      </c>
      <c r="AM6" s="33">
        <f t="shared" si="7"/>
        <v>74</v>
      </c>
      <c r="AN6" s="33">
        <f t="shared" si="7"/>
        <v>74</v>
      </c>
      <c r="AO6" s="33">
        <f t="shared" si="7"/>
        <v>74</v>
      </c>
      <c r="AP6" s="33">
        <f t="shared" si="7"/>
        <v>74</v>
      </c>
      <c r="AQ6" s="33">
        <f t="shared" si="7"/>
        <v>74</v>
      </c>
      <c r="AR6" s="33">
        <f t="shared" si="7"/>
        <v>74</v>
      </c>
      <c r="AS6" s="33">
        <f t="shared" si="7"/>
        <v>74</v>
      </c>
      <c r="AT6" s="32"/>
    </row>
    <row r="7" spans="1:46" x14ac:dyDescent="0.35">
      <c r="A7" s="23" t="s">
        <v>9</v>
      </c>
      <c r="B7" s="35" t="s">
        <v>34</v>
      </c>
      <c r="C7" s="25" t="str">
        <f t="shared" si="4"/>
        <v>kgCO2/GJ</v>
      </c>
      <c r="D7" s="25">
        <v>69</v>
      </c>
      <c r="E7" s="25">
        <v>69</v>
      </c>
      <c r="F7" s="25">
        <v>69</v>
      </c>
      <c r="G7" s="25">
        <v>69</v>
      </c>
      <c r="H7" s="25">
        <v>69</v>
      </c>
      <c r="I7" s="25">
        <v>69</v>
      </c>
      <c r="J7" s="25">
        <v>69</v>
      </c>
      <c r="K7" s="25">
        <v>69</v>
      </c>
      <c r="L7" s="25">
        <v>69</v>
      </c>
      <c r="M7" s="25">
        <v>69</v>
      </c>
      <c r="N7" s="25">
        <v>69</v>
      </c>
      <c r="O7" s="25">
        <v>69</v>
      </c>
      <c r="P7" s="25">
        <v>69</v>
      </c>
      <c r="Q7" s="25">
        <v>69</v>
      </c>
      <c r="R7" s="25">
        <v>69</v>
      </c>
      <c r="S7" s="25">
        <v>69</v>
      </c>
      <c r="T7" s="25">
        <v>69</v>
      </c>
      <c r="U7" s="25">
        <v>69</v>
      </c>
      <c r="V7" s="25">
        <v>69</v>
      </c>
      <c r="W7" s="25">
        <v>69</v>
      </c>
      <c r="X7" s="25">
        <v>69</v>
      </c>
      <c r="Y7" s="25">
        <v>69</v>
      </c>
      <c r="Z7" s="25">
        <v>69</v>
      </c>
      <c r="AA7" s="25">
        <v>69</v>
      </c>
      <c r="AB7" s="25">
        <v>69</v>
      </c>
      <c r="AC7" s="25">
        <v>69</v>
      </c>
      <c r="AD7" s="25">
        <v>69</v>
      </c>
      <c r="AE7" s="25">
        <v>69</v>
      </c>
      <c r="AF7" s="25">
        <v>69</v>
      </c>
      <c r="AG7" s="25">
        <v>69</v>
      </c>
      <c r="AH7" s="25">
        <v>69</v>
      </c>
      <c r="AI7" s="25">
        <v>69</v>
      </c>
      <c r="AJ7" s="33">
        <f t="shared" ref="AJ7:AS7" si="8">AI7</f>
        <v>69</v>
      </c>
      <c r="AK7" s="33">
        <f t="shared" si="8"/>
        <v>69</v>
      </c>
      <c r="AL7" s="33">
        <f t="shared" si="8"/>
        <v>69</v>
      </c>
      <c r="AM7" s="33">
        <f t="shared" si="8"/>
        <v>69</v>
      </c>
      <c r="AN7" s="33">
        <f t="shared" si="8"/>
        <v>69</v>
      </c>
      <c r="AO7" s="33">
        <f t="shared" si="8"/>
        <v>69</v>
      </c>
      <c r="AP7" s="33">
        <f t="shared" si="8"/>
        <v>69</v>
      </c>
      <c r="AQ7" s="33">
        <f t="shared" si="8"/>
        <v>69</v>
      </c>
      <c r="AR7" s="33">
        <f t="shared" si="8"/>
        <v>69</v>
      </c>
      <c r="AS7" s="33">
        <f t="shared" si="8"/>
        <v>69</v>
      </c>
      <c r="AT7" s="35"/>
    </row>
    <row r="8" spans="1:46" x14ac:dyDescent="0.35">
      <c r="A8" s="23" t="s">
        <v>9</v>
      </c>
      <c r="B8" s="32" t="s">
        <v>35</v>
      </c>
      <c r="C8" s="24" t="str">
        <f t="shared" si="4"/>
        <v>kgCO2/GJ</v>
      </c>
      <c r="D8" s="24">
        <v>69</v>
      </c>
      <c r="E8" s="24">
        <v>69</v>
      </c>
      <c r="F8" s="24">
        <v>69</v>
      </c>
      <c r="G8" s="24">
        <v>69</v>
      </c>
      <c r="H8" s="24">
        <v>69</v>
      </c>
      <c r="I8" s="24">
        <v>69</v>
      </c>
      <c r="J8" s="24">
        <v>69</v>
      </c>
      <c r="K8" s="24">
        <v>69</v>
      </c>
      <c r="L8" s="24">
        <v>69</v>
      </c>
      <c r="M8" s="24">
        <v>69</v>
      </c>
      <c r="N8" s="24">
        <v>69</v>
      </c>
      <c r="O8" s="24">
        <v>69</v>
      </c>
      <c r="P8" s="24">
        <v>69</v>
      </c>
      <c r="Q8" s="24">
        <v>69</v>
      </c>
      <c r="R8" s="24">
        <v>69</v>
      </c>
      <c r="S8" s="24">
        <v>69</v>
      </c>
      <c r="T8" s="24">
        <v>69</v>
      </c>
      <c r="U8" s="24">
        <v>69</v>
      </c>
      <c r="V8" s="24">
        <v>69</v>
      </c>
      <c r="W8" s="24">
        <v>69</v>
      </c>
      <c r="X8" s="24">
        <v>69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33">
        <f t="shared" ref="AJ8:AS8" si="9">AI8</f>
        <v>0</v>
      </c>
      <c r="AK8" s="33">
        <f t="shared" si="9"/>
        <v>0</v>
      </c>
      <c r="AL8" s="33">
        <f t="shared" si="9"/>
        <v>0</v>
      </c>
      <c r="AM8" s="33">
        <f t="shared" si="9"/>
        <v>0</v>
      </c>
      <c r="AN8" s="33">
        <f t="shared" si="9"/>
        <v>0</v>
      </c>
      <c r="AO8" s="33">
        <f t="shared" si="9"/>
        <v>0</v>
      </c>
      <c r="AP8" s="33">
        <f t="shared" si="9"/>
        <v>0</v>
      </c>
      <c r="AQ8" s="33">
        <f t="shared" si="9"/>
        <v>0</v>
      </c>
      <c r="AR8" s="33">
        <f t="shared" si="9"/>
        <v>0</v>
      </c>
      <c r="AS8" s="33">
        <f t="shared" si="9"/>
        <v>0</v>
      </c>
      <c r="AT8" s="32" t="s">
        <v>36</v>
      </c>
    </row>
    <row r="9" spans="1:46" x14ac:dyDescent="0.35">
      <c r="A9" s="23" t="s">
        <v>9</v>
      </c>
      <c r="B9" s="35" t="s">
        <v>37</v>
      </c>
      <c r="C9" s="25" t="str">
        <f t="shared" si="4"/>
        <v>kgCO2/GJ</v>
      </c>
      <c r="D9" s="25">
        <v>69</v>
      </c>
      <c r="E9" s="25">
        <v>69</v>
      </c>
      <c r="F9" s="25">
        <v>69</v>
      </c>
      <c r="G9" s="25">
        <v>69</v>
      </c>
      <c r="H9" s="25">
        <v>69</v>
      </c>
      <c r="I9" s="25">
        <v>69</v>
      </c>
      <c r="J9" s="25">
        <v>69</v>
      </c>
      <c r="K9" s="25">
        <v>69</v>
      </c>
      <c r="L9" s="25">
        <v>69</v>
      </c>
      <c r="M9" s="25">
        <v>69</v>
      </c>
      <c r="N9" s="25">
        <v>69</v>
      </c>
      <c r="O9" s="25">
        <v>69</v>
      </c>
      <c r="P9" s="25">
        <v>69</v>
      </c>
      <c r="Q9" s="25">
        <v>69</v>
      </c>
      <c r="R9" s="25">
        <v>69</v>
      </c>
      <c r="S9" s="25">
        <v>69</v>
      </c>
      <c r="T9" s="25">
        <v>69</v>
      </c>
      <c r="U9" s="25">
        <v>69</v>
      </c>
      <c r="V9" s="25">
        <v>69</v>
      </c>
      <c r="W9" s="25">
        <v>69</v>
      </c>
      <c r="X9" s="25">
        <v>69</v>
      </c>
      <c r="Y9" s="25">
        <v>69</v>
      </c>
      <c r="Z9" s="25">
        <v>69</v>
      </c>
      <c r="AA9" s="25">
        <v>69</v>
      </c>
      <c r="AB9" s="25">
        <v>69</v>
      </c>
      <c r="AC9" s="25">
        <v>69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33">
        <f t="shared" ref="AJ9:AS9" si="10">AI9</f>
        <v>0</v>
      </c>
      <c r="AK9" s="33">
        <f t="shared" si="10"/>
        <v>0</v>
      </c>
      <c r="AL9" s="33">
        <f t="shared" si="10"/>
        <v>0</v>
      </c>
      <c r="AM9" s="33">
        <f t="shared" si="10"/>
        <v>0</v>
      </c>
      <c r="AN9" s="33">
        <f t="shared" si="10"/>
        <v>0</v>
      </c>
      <c r="AO9" s="33">
        <f t="shared" si="10"/>
        <v>0</v>
      </c>
      <c r="AP9" s="33">
        <f t="shared" si="10"/>
        <v>0</v>
      </c>
      <c r="AQ9" s="33">
        <f t="shared" si="10"/>
        <v>0</v>
      </c>
      <c r="AR9" s="33">
        <f t="shared" si="10"/>
        <v>0</v>
      </c>
      <c r="AS9" s="33">
        <f t="shared" si="10"/>
        <v>0</v>
      </c>
      <c r="AT9" s="35" t="s">
        <v>36</v>
      </c>
    </row>
    <row r="10" spans="1:46" x14ac:dyDescent="0.35">
      <c r="A10" s="23" t="s">
        <v>9</v>
      </c>
      <c r="B10" s="32" t="s">
        <v>38</v>
      </c>
      <c r="C10" s="24" t="str">
        <f t="shared" si="4"/>
        <v>kgCO2/GJ</v>
      </c>
      <c r="D10" s="24">
        <v>69</v>
      </c>
      <c r="E10" s="24">
        <v>69</v>
      </c>
      <c r="F10" s="24">
        <v>69</v>
      </c>
      <c r="G10" s="24">
        <v>69</v>
      </c>
      <c r="H10" s="24">
        <v>69</v>
      </c>
      <c r="I10" s="24">
        <v>69</v>
      </c>
      <c r="J10" s="24">
        <v>69</v>
      </c>
      <c r="K10" s="24">
        <v>69</v>
      </c>
      <c r="L10" s="24">
        <v>69</v>
      </c>
      <c r="M10" s="24">
        <v>69</v>
      </c>
      <c r="N10" s="24">
        <v>69</v>
      </c>
      <c r="O10" s="24">
        <v>69</v>
      </c>
      <c r="P10" s="24">
        <v>69</v>
      </c>
      <c r="Q10" s="24">
        <v>69</v>
      </c>
      <c r="R10" s="24">
        <v>69</v>
      </c>
      <c r="S10" s="24">
        <v>69</v>
      </c>
      <c r="T10" s="24">
        <v>69</v>
      </c>
      <c r="U10" s="24">
        <v>69</v>
      </c>
      <c r="V10" s="24">
        <v>69</v>
      </c>
      <c r="W10" s="24">
        <v>69</v>
      </c>
      <c r="X10" s="24">
        <v>69</v>
      </c>
      <c r="Y10" s="24">
        <v>69</v>
      </c>
      <c r="Z10" s="24">
        <v>69</v>
      </c>
      <c r="AA10" s="24">
        <v>69</v>
      </c>
      <c r="AB10" s="24">
        <v>69</v>
      </c>
      <c r="AC10" s="24">
        <v>69</v>
      </c>
      <c r="AD10" s="24">
        <v>69</v>
      </c>
      <c r="AE10" s="24">
        <v>69</v>
      </c>
      <c r="AF10" s="24">
        <v>69</v>
      </c>
      <c r="AG10" s="24">
        <v>69</v>
      </c>
      <c r="AH10" s="24">
        <v>69</v>
      </c>
      <c r="AI10" s="24">
        <v>0</v>
      </c>
      <c r="AJ10" s="33">
        <f t="shared" ref="AJ10:AS10" si="11">AI10</f>
        <v>0</v>
      </c>
      <c r="AK10" s="33">
        <f t="shared" si="11"/>
        <v>0</v>
      </c>
      <c r="AL10" s="33">
        <f t="shared" si="11"/>
        <v>0</v>
      </c>
      <c r="AM10" s="33">
        <f t="shared" si="11"/>
        <v>0</v>
      </c>
      <c r="AN10" s="33">
        <f t="shared" si="11"/>
        <v>0</v>
      </c>
      <c r="AO10" s="33">
        <f t="shared" si="11"/>
        <v>0</v>
      </c>
      <c r="AP10" s="33">
        <f t="shared" si="11"/>
        <v>0</v>
      </c>
      <c r="AQ10" s="33">
        <f t="shared" si="11"/>
        <v>0</v>
      </c>
      <c r="AR10" s="33">
        <f t="shared" si="11"/>
        <v>0</v>
      </c>
      <c r="AS10" s="33">
        <f t="shared" si="11"/>
        <v>0</v>
      </c>
      <c r="AT10" s="32" t="s">
        <v>36</v>
      </c>
    </row>
    <row r="11" spans="1:46" x14ac:dyDescent="0.35">
      <c r="A11" s="23" t="s">
        <v>9</v>
      </c>
      <c r="B11" s="35" t="s">
        <v>39</v>
      </c>
      <c r="C11" s="25" t="str">
        <f t="shared" si="4"/>
        <v>kgCO2/GJ</v>
      </c>
      <c r="D11" s="25">
        <v>69</v>
      </c>
      <c r="E11" s="25">
        <v>69</v>
      </c>
      <c r="F11" s="25">
        <v>69</v>
      </c>
      <c r="G11" s="25">
        <v>69</v>
      </c>
      <c r="H11" s="25">
        <v>69</v>
      </c>
      <c r="I11" s="25">
        <v>69</v>
      </c>
      <c r="J11" s="25">
        <v>69</v>
      </c>
      <c r="K11" s="25">
        <v>69</v>
      </c>
      <c r="L11" s="25">
        <v>69</v>
      </c>
      <c r="M11" s="25">
        <v>69</v>
      </c>
      <c r="N11" s="25">
        <v>69</v>
      </c>
      <c r="O11" s="25">
        <v>69</v>
      </c>
      <c r="P11" s="25">
        <v>69</v>
      </c>
      <c r="Q11" s="25">
        <v>69</v>
      </c>
      <c r="R11" s="25">
        <v>69</v>
      </c>
      <c r="S11" s="25">
        <v>69</v>
      </c>
      <c r="T11" s="25">
        <v>69</v>
      </c>
      <c r="U11" s="25">
        <v>69</v>
      </c>
      <c r="V11" s="25">
        <v>69</v>
      </c>
      <c r="W11" s="25">
        <v>69</v>
      </c>
      <c r="X11" s="25">
        <v>69</v>
      </c>
      <c r="Y11" s="25">
        <v>69</v>
      </c>
      <c r="Z11" s="25">
        <v>69</v>
      </c>
      <c r="AA11" s="25">
        <v>69</v>
      </c>
      <c r="AB11" s="25">
        <v>69</v>
      </c>
      <c r="AC11" s="25">
        <v>69</v>
      </c>
      <c r="AD11" s="25">
        <v>69</v>
      </c>
      <c r="AE11" s="25">
        <v>69</v>
      </c>
      <c r="AF11" s="25">
        <v>69</v>
      </c>
      <c r="AG11" s="25">
        <v>69</v>
      </c>
      <c r="AH11" s="25">
        <v>69</v>
      </c>
      <c r="AI11" s="25">
        <v>69</v>
      </c>
      <c r="AJ11" s="25">
        <v>69</v>
      </c>
      <c r="AK11" s="25">
        <v>69</v>
      </c>
      <c r="AL11" s="25">
        <v>69</v>
      </c>
      <c r="AM11" s="25">
        <v>69</v>
      </c>
      <c r="AN11" s="33">
        <v>0</v>
      </c>
      <c r="AO11" s="33">
        <f>AN11</f>
        <v>0</v>
      </c>
      <c r="AP11" s="33">
        <f>AO11</f>
        <v>0</v>
      </c>
      <c r="AQ11" s="33">
        <f>AP11</f>
        <v>0</v>
      </c>
      <c r="AR11" s="33">
        <f>AQ11</f>
        <v>0</v>
      </c>
      <c r="AS11" s="33">
        <f>AR11</f>
        <v>0</v>
      </c>
      <c r="AT11" s="35" t="s">
        <v>36</v>
      </c>
    </row>
    <row r="12" spans="1:46" x14ac:dyDescent="0.35">
      <c r="A12" s="23" t="s">
        <v>9</v>
      </c>
      <c r="B12" s="32" t="s">
        <v>40</v>
      </c>
      <c r="C12" s="24" t="str">
        <f t="shared" si="4"/>
        <v>kgCO2/GJ</v>
      </c>
      <c r="D12" s="24">
        <v>69</v>
      </c>
      <c r="E12" s="24">
        <v>69</v>
      </c>
      <c r="F12" s="24">
        <v>69</v>
      </c>
      <c r="G12" s="24">
        <v>69</v>
      </c>
      <c r="H12" s="24">
        <v>69</v>
      </c>
      <c r="I12" s="24">
        <v>69</v>
      </c>
      <c r="J12" s="24">
        <v>69</v>
      </c>
      <c r="K12" s="24">
        <v>69</v>
      </c>
      <c r="L12" s="24">
        <v>69</v>
      </c>
      <c r="M12" s="24">
        <v>69</v>
      </c>
      <c r="N12" s="24">
        <v>69</v>
      </c>
      <c r="O12" s="24">
        <v>69</v>
      </c>
      <c r="P12" s="24">
        <v>69</v>
      </c>
      <c r="Q12" s="24">
        <v>69</v>
      </c>
      <c r="R12" s="24">
        <v>69</v>
      </c>
      <c r="S12" s="24">
        <v>69</v>
      </c>
      <c r="T12" s="24">
        <v>69</v>
      </c>
      <c r="U12" s="24">
        <v>69</v>
      </c>
      <c r="V12" s="24">
        <v>69</v>
      </c>
      <c r="W12" s="24">
        <v>69</v>
      </c>
      <c r="X12" s="24">
        <v>69</v>
      </c>
      <c r="Y12" s="24">
        <v>69</v>
      </c>
      <c r="Z12" s="24">
        <v>69</v>
      </c>
      <c r="AA12" s="24">
        <v>69</v>
      </c>
      <c r="AB12" s="24">
        <v>69</v>
      </c>
      <c r="AC12" s="24">
        <v>69</v>
      </c>
      <c r="AD12" s="24">
        <v>69</v>
      </c>
      <c r="AE12" s="24">
        <v>69</v>
      </c>
      <c r="AF12" s="24">
        <v>69</v>
      </c>
      <c r="AG12" s="24">
        <v>69</v>
      </c>
      <c r="AH12" s="24">
        <v>69</v>
      </c>
      <c r="AI12" s="24">
        <v>69</v>
      </c>
      <c r="AJ12" s="24">
        <v>69</v>
      </c>
      <c r="AK12" s="33">
        <f t="shared" ref="AK12:AR20" si="12">AJ12</f>
        <v>69</v>
      </c>
      <c r="AL12" s="33">
        <f t="shared" si="12"/>
        <v>69</v>
      </c>
      <c r="AM12" s="33">
        <f t="shared" si="12"/>
        <v>69</v>
      </c>
      <c r="AN12" s="33">
        <f t="shared" si="12"/>
        <v>69</v>
      </c>
      <c r="AO12" s="33">
        <f t="shared" si="12"/>
        <v>69</v>
      </c>
      <c r="AP12" s="33">
        <f t="shared" si="12"/>
        <v>69</v>
      </c>
      <c r="AQ12" s="33">
        <f t="shared" si="12"/>
        <v>69</v>
      </c>
      <c r="AR12" s="33">
        <f t="shared" si="12"/>
        <v>69</v>
      </c>
      <c r="AS12" s="33">
        <v>0</v>
      </c>
      <c r="AT12" s="32" t="s">
        <v>36</v>
      </c>
    </row>
    <row r="13" spans="1:46" x14ac:dyDescent="0.35">
      <c r="A13" s="23" t="s">
        <v>9</v>
      </c>
      <c r="B13" s="35" t="s">
        <v>41</v>
      </c>
      <c r="C13" s="25" t="str">
        <f>C10</f>
        <v>kgCO2/GJ</v>
      </c>
      <c r="D13" s="25">
        <v>69</v>
      </c>
      <c r="E13" s="25">
        <v>69</v>
      </c>
      <c r="F13" s="25">
        <v>69</v>
      </c>
      <c r="G13" s="25">
        <v>69</v>
      </c>
      <c r="H13" s="25">
        <v>69</v>
      </c>
      <c r="I13" s="25">
        <v>69</v>
      </c>
      <c r="J13" s="25">
        <v>69</v>
      </c>
      <c r="K13" s="25">
        <v>69</v>
      </c>
      <c r="L13" s="25">
        <v>69</v>
      </c>
      <c r="M13" s="25">
        <v>69</v>
      </c>
      <c r="N13" s="25">
        <v>69</v>
      </c>
      <c r="O13" s="25">
        <v>69</v>
      </c>
      <c r="P13" s="25">
        <v>69</v>
      </c>
      <c r="Q13" s="25">
        <v>69</v>
      </c>
      <c r="R13" s="25">
        <v>69</v>
      </c>
      <c r="S13" s="25">
        <v>69</v>
      </c>
      <c r="T13" s="25">
        <v>69</v>
      </c>
      <c r="U13" s="25">
        <v>69</v>
      </c>
      <c r="V13" s="25">
        <v>69</v>
      </c>
      <c r="W13" s="25">
        <v>69</v>
      </c>
      <c r="X13" s="25">
        <v>69</v>
      </c>
      <c r="Y13" s="25">
        <f t="shared" ref="Y13:AJ13" si="13">X13</f>
        <v>69</v>
      </c>
      <c r="Z13" s="25">
        <f t="shared" si="13"/>
        <v>69</v>
      </c>
      <c r="AA13" s="25">
        <f t="shared" si="13"/>
        <v>69</v>
      </c>
      <c r="AB13" s="25">
        <f t="shared" si="13"/>
        <v>69</v>
      </c>
      <c r="AC13" s="25">
        <f t="shared" si="13"/>
        <v>69</v>
      </c>
      <c r="AD13" s="25">
        <f t="shared" si="13"/>
        <v>69</v>
      </c>
      <c r="AE13" s="25">
        <f t="shared" si="13"/>
        <v>69</v>
      </c>
      <c r="AF13" s="25">
        <f t="shared" si="13"/>
        <v>69</v>
      </c>
      <c r="AG13" s="25">
        <f t="shared" si="13"/>
        <v>69</v>
      </c>
      <c r="AH13" s="25">
        <f t="shared" si="13"/>
        <v>69</v>
      </c>
      <c r="AI13" s="25">
        <f t="shared" si="13"/>
        <v>69</v>
      </c>
      <c r="AJ13" s="33">
        <f t="shared" si="13"/>
        <v>69</v>
      </c>
      <c r="AK13" s="33">
        <f t="shared" si="12"/>
        <v>69</v>
      </c>
      <c r="AL13" s="33">
        <f t="shared" si="12"/>
        <v>69</v>
      </c>
      <c r="AM13" s="33">
        <f t="shared" si="12"/>
        <v>69</v>
      </c>
      <c r="AN13" s="33">
        <f t="shared" si="12"/>
        <v>69</v>
      </c>
      <c r="AO13" s="33">
        <f t="shared" si="12"/>
        <v>69</v>
      </c>
      <c r="AP13" s="33">
        <f t="shared" si="12"/>
        <v>69</v>
      </c>
      <c r="AQ13" s="33">
        <f t="shared" si="12"/>
        <v>69</v>
      </c>
      <c r="AR13" s="33">
        <f t="shared" si="12"/>
        <v>69</v>
      </c>
      <c r="AS13" s="33">
        <f t="shared" ref="AS13:AS20" si="14">AR13</f>
        <v>69</v>
      </c>
      <c r="AT13" s="35"/>
    </row>
    <row r="14" spans="1:46" x14ac:dyDescent="0.35">
      <c r="A14" s="23" t="s">
        <v>9</v>
      </c>
      <c r="B14" s="32" t="s">
        <v>42</v>
      </c>
      <c r="C14" s="24" t="str">
        <f t="shared" ref="C14:C20" si="15">C13</f>
        <v>kgCO2/GJ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33">
        <f t="shared" ref="AJ14:AJ20" si="16">AI14</f>
        <v>0</v>
      </c>
      <c r="AK14" s="33">
        <f t="shared" si="12"/>
        <v>0</v>
      </c>
      <c r="AL14" s="33">
        <f t="shared" si="12"/>
        <v>0</v>
      </c>
      <c r="AM14" s="33">
        <f t="shared" si="12"/>
        <v>0</v>
      </c>
      <c r="AN14" s="33">
        <f t="shared" si="12"/>
        <v>0</v>
      </c>
      <c r="AO14" s="33">
        <f t="shared" si="12"/>
        <v>0</v>
      </c>
      <c r="AP14" s="33">
        <f t="shared" si="12"/>
        <v>0</v>
      </c>
      <c r="AQ14" s="33">
        <f t="shared" si="12"/>
        <v>0</v>
      </c>
      <c r="AR14" s="33">
        <f t="shared" si="12"/>
        <v>0</v>
      </c>
      <c r="AS14" s="33">
        <f t="shared" si="14"/>
        <v>0</v>
      </c>
    </row>
    <row r="15" spans="1:46" x14ac:dyDescent="0.35">
      <c r="A15" s="23" t="s">
        <v>9</v>
      </c>
      <c r="B15" s="35" t="s">
        <v>43</v>
      </c>
      <c r="C15" s="25" t="str">
        <f t="shared" si="15"/>
        <v>kgCO2/GJ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33">
        <f t="shared" si="16"/>
        <v>0</v>
      </c>
      <c r="AK15" s="33">
        <f t="shared" si="12"/>
        <v>0</v>
      </c>
      <c r="AL15" s="33">
        <f t="shared" si="12"/>
        <v>0</v>
      </c>
      <c r="AM15" s="33">
        <f t="shared" si="12"/>
        <v>0</v>
      </c>
      <c r="AN15" s="33">
        <f t="shared" si="12"/>
        <v>0</v>
      </c>
      <c r="AO15" s="33">
        <f t="shared" si="12"/>
        <v>0</v>
      </c>
      <c r="AP15" s="33">
        <f t="shared" si="12"/>
        <v>0</v>
      </c>
      <c r="AQ15" s="33">
        <f t="shared" si="12"/>
        <v>0</v>
      </c>
      <c r="AR15" s="33">
        <f t="shared" si="12"/>
        <v>0</v>
      </c>
      <c r="AS15" s="33">
        <f t="shared" si="14"/>
        <v>0</v>
      </c>
    </row>
    <row r="16" spans="1:46" x14ac:dyDescent="0.35">
      <c r="A16" s="23" t="s">
        <v>9</v>
      </c>
      <c r="B16" s="32" t="s">
        <v>44</v>
      </c>
      <c r="C16" s="24" t="str">
        <f t="shared" si="15"/>
        <v>kgCO2/GJ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33">
        <f t="shared" si="16"/>
        <v>0</v>
      </c>
      <c r="AK16" s="33">
        <f t="shared" si="12"/>
        <v>0</v>
      </c>
      <c r="AL16" s="33">
        <f t="shared" si="12"/>
        <v>0</v>
      </c>
      <c r="AM16" s="33">
        <f t="shared" si="12"/>
        <v>0</v>
      </c>
      <c r="AN16" s="33">
        <f t="shared" si="12"/>
        <v>0</v>
      </c>
      <c r="AO16" s="33">
        <f t="shared" si="12"/>
        <v>0</v>
      </c>
      <c r="AP16" s="33">
        <f t="shared" si="12"/>
        <v>0</v>
      </c>
      <c r="AQ16" s="33">
        <f t="shared" si="12"/>
        <v>0</v>
      </c>
      <c r="AR16" s="33">
        <f t="shared" si="12"/>
        <v>0</v>
      </c>
      <c r="AS16" s="33">
        <f t="shared" si="14"/>
        <v>0</v>
      </c>
    </row>
    <row r="17" spans="1:46" x14ac:dyDescent="0.35">
      <c r="A17" s="23" t="s">
        <v>9</v>
      </c>
      <c r="B17" s="35" t="s">
        <v>45</v>
      </c>
      <c r="C17" s="25" t="str">
        <f t="shared" si="15"/>
        <v>kgCO2/GJ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33">
        <f t="shared" si="16"/>
        <v>0</v>
      </c>
      <c r="AK17" s="33">
        <f t="shared" si="12"/>
        <v>0</v>
      </c>
      <c r="AL17" s="33">
        <f t="shared" si="12"/>
        <v>0</v>
      </c>
      <c r="AM17" s="33">
        <f t="shared" si="12"/>
        <v>0</v>
      </c>
      <c r="AN17" s="33">
        <f t="shared" si="12"/>
        <v>0</v>
      </c>
      <c r="AO17" s="33">
        <f t="shared" si="12"/>
        <v>0</v>
      </c>
      <c r="AP17" s="33">
        <f t="shared" si="12"/>
        <v>0</v>
      </c>
      <c r="AQ17" s="33">
        <f t="shared" si="12"/>
        <v>0</v>
      </c>
      <c r="AR17" s="33">
        <f t="shared" si="12"/>
        <v>0</v>
      </c>
      <c r="AS17" s="33">
        <f t="shared" si="14"/>
        <v>0</v>
      </c>
    </row>
    <row r="18" spans="1:46" x14ac:dyDescent="0.35">
      <c r="A18" s="23" t="s">
        <v>9</v>
      </c>
      <c r="B18" s="32" t="s">
        <v>46</v>
      </c>
      <c r="C18" s="24" t="str">
        <f t="shared" si="15"/>
        <v>kgCO2/GJ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33">
        <f t="shared" si="16"/>
        <v>0</v>
      </c>
      <c r="AK18" s="33">
        <f t="shared" si="12"/>
        <v>0</v>
      </c>
      <c r="AL18" s="33">
        <f t="shared" si="12"/>
        <v>0</v>
      </c>
      <c r="AM18" s="33">
        <f t="shared" si="12"/>
        <v>0</v>
      </c>
      <c r="AN18" s="33">
        <f t="shared" si="12"/>
        <v>0</v>
      </c>
      <c r="AO18" s="33">
        <f t="shared" si="12"/>
        <v>0</v>
      </c>
      <c r="AP18" s="33">
        <f t="shared" si="12"/>
        <v>0</v>
      </c>
      <c r="AQ18" s="33">
        <f t="shared" si="12"/>
        <v>0</v>
      </c>
      <c r="AR18" s="33">
        <f t="shared" si="12"/>
        <v>0</v>
      </c>
      <c r="AS18" s="33">
        <f t="shared" si="14"/>
        <v>0</v>
      </c>
    </row>
    <row r="19" spans="1:46" x14ac:dyDescent="0.35">
      <c r="A19" s="23" t="s">
        <v>9</v>
      </c>
      <c r="B19" s="35" t="s">
        <v>47</v>
      </c>
      <c r="C19" s="25" t="str">
        <f t="shared" si="15"/>
        <v>kgCO2/GJ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33">
        <f t="shared" si="16"/>
        <v>0</v>
      </c>
      <c r="AK19" s="33">
        <f t="shared" si="12"/>
        <v>0</v>
      </c>
      <c r="AL19" s="33">
        <f t="shared" si="12"/>
        <v>0</v>
      </c>
      <c r="AM19" s="33">
        <f t="shared" si="12"/>
        <v>0</v>
      </c>
      <c r="AN19" s="33">
        <f t="shared" si="12"/>
        <v>0</v>
      </c>
      <c r="AO19" s="33">
        <f t="shared" si="12"/>
        <v>0</v>
      </c>
      <c r="AP19" s="33">
        <f t="shared" si="12"/>
        <v>0</v>
      </c>
      <c r="AQ19" s="33">
        <f t="shared" si="12"/>
        <v>0</v>
      </c>
      <c r="AR19" s="33">
        <f t="shared" si="12"/>
        <v>0</v>
      </c>
      <c r="AS19" s="33">
        <f t="shared" si="14"/>
        <v>0</v>
      </c>
    </row>
    <row r="20" spans="1:46" x14ac:dyDescent="0.35">
      <c r="A20" s="42" t="s">
        <v>9</v>
      </c>
      <c r="B20" s="43" t="s">
        <v>48</v>
      </c>
      <c r="C20" s="44" t="str">
        <f t="shared" si="15"/>
        <v>kgCO2/GJ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>
        <v>0</v>
      </c>
      <c r="T20" s="44">
        <v>0</v>
      </c>
      <c r="U20" s="44">
        <v>0</v>
      </c>
      <c r="V20" s="44">
        <v>0</v>
      </c>
      <c r="W20" s="44">
        <v>0</v>
      </c>
      <c r="X20" s="44">
        <v>0</v>
      </c>
      <c r="Y20" s="4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44">
        <v>0</v>
      </c>
      <c r="AJ20" s="45">
        <f t="shared" si="16"/>
        <v>0</v>
      </c>
      <c r="AK20" s="45">
        <f t="shared" si="12"/>
        <v>0</v>
      </c>
      <c r="AL20" s="45">
        <f t="shared" si="12"/>
        <v>0</v>
      </c>
      <c r="AM20" s="45">
        <f t="shared" si="12"/>
        <v>0</v>
      </c>
      <c r="AN20" s="45">
        <f t="shared" si="12"/>
        <v>0</v>
      </c>
      <c r="AO20" s="45">
        <f t="shared" si="12"/>
        <v>0</v>
      </c>
      <c r="AP20" s="45">
        <f t="shared" si="12"/>
        <v>0</v>
      </c>
      <c r="AQ20" s="45">
        <f t="shared" si="12"/>
        <v>0</v>
      </c>
      <c r="AR20" s="45">
        <f t="shared" si="12"/>
        <v>0</v>
      </c>
      <c r="AS20" s="45">
        <f t="shared" si="14"/>
        <v>0</v>
      </c>
    </row>
    <row r="21" spans="1:46" x14ac:dyDescent="0.35">
      <c r="A21" s="23" t="s">
        <v>51</v>
      </c>
      <c r="B21" s="32" t="s">
        <v>27</v>
      </c>
      <c r="C21" s="24" t="s">
        <v>13</v>
      </c>
      <c r="D21" s="33">
        <v>96</v>
      </c>
      <c r="E21" s="33">
        <f t="shared" ref="E21:AS21" si="17">D21</f>
        <v>96</v>
      </c>
      <c r="F21" s="33">
        <f t="shared" si="17"/>
        <v>96</v>
      </c>
      <c r="G21" s="33">
        <f t="shared" si="17"/>
        <v>96</v>
      </c>
      <c r="H21" s="33">
        <f t="shared" si="17"/>
        <v>96</v>
      </c>
      <c r="I21" s="33">
        <f t="shared" si="17"/>
        <v>96</v>
      </c>
      <c r="J21" s="33">
        <f t="shared" si="17"/>
        <v>96</v>
      </c>
      <c r="K21" s="33">
        <f t="shared" si="17"/>
        <v>96</v>
      </c>
      <c r="L21" s="33">
        <f t="shared" si="17"/>
        <v>96</v>
      </c>
      <c r="M21" s="33">
        <f t="shared" si="17"/>
        <v>96</v>
      </c>
      <c r="N21" s="33">
        <f t="shared" si="17"/>
        <v>96</v>
      </c>
      <c r="O21" s="33">
        <f t="shared" si="17"/>
        <v>96</v>
      </c>
      <c r="P21" s="33">
        <f t="shared" si="17"/>
        <v>96</v>
      </c>
      <c r="Q21" s="33">
        <f t="shared" si="17"/>
        <v>96</v>
      </c>
      <c r="R21" s="33">
        <f t="shared" si="17"/>
        <v>96</v>
      </c>
      <c r="S21" s="33">
        <f t="shared" si="17"/>
        <v>96</v>
      </c>
      <c r="T21" s="33">
        <f t="shared" si="17"/>
        <v>96</v>
      </c>
      <c r="U21" s="33">
        <f t="shared" si="17"/>
        <v>96</v>
      </c>
      <c r="V21" s="33">
        <f t="shared" si="17"/>
        <v>96</v>
      </c>
      <c r="W21" s="33">
        <f t="shared" si="17"/>
        <v>96</v>
      </c>
      <c r="X21" s="33">
        <f t="shared" si="17"/>
        <v>96</v>
      </c>
      <c r="Y21" s="33">
        <f t="shared" si="17"/>
        <v>96</v>
      </c>
      <c r="Z21" s="33">
        <f t="shared" si="17"/>
        <v>96</v>
      </c>
      <c r="AA21" s="33">
        <f t="shared" si="17"/>
        <v>96</v>
      </c>
      <c r="AB21" s="33">
        <f t="shared" si="17"/>
        <v>96</v>
      </c>
      <c r="AC21" s="33">
        <f t="shared" si="17"/>
        <v>96</v>
      </c>
      <c r="AD21" s="33">
        <f t="shared" si="17"/>
        <v>96</v>
      </c>
      <c r="AE21" s="33">
        <f t="shared" si="17"/>
        <v>96</v>
      </c>
      <c r="AF21" s="33">
        <f t="shared" si="17"/>
        <v>96</v>
      </c>
      <c r="AG21" s="33">
        <f t="shared" si="17"/>
        <v>96</v>
      </c>
      <c r="AH21" s="33">
        <f t="shared" si="17"/>
        <v>96</v>
      </c>
      <c r="AI21" s="33">
        <f t="shared" si="17"/>
        <v>96</v>
      </c>
      <c r="AJ21" s="33">
        <f t="shared" si="17"/>
        <v>96</v>
      </c>
      <c r="AK21" s="33">
        <f t="shared" si="17"/>
        <v>96</v>
      </c>
      <c r="AL21" s="33">
        <f t="shared" si="17"/>
        <v>96</v>
      </c>
      <c r="AM21" s="33">
        <f t="shared" si="17"/>
        <v>96</v>
      </c>
      <c r="AN21" s="33">
        <f t="shared" si="17"/>
        <v>96</v>
      </c>
      <c r="AO21" s="33">
        <f t="shared" si="17"/>
        <v>96</v>
      </c>
      <c r="AP21" s="33">
        <f t="shared" si="17"/>
        <v>96</v>
      </c>
      <c r="AQ21" s="33">
        <f t="shared" si="17"/>
        <v>96</v>
      </c>
      <c r="AR21" s="33">
        <f t="shared" si="17"/>
        <v>96</v>
      </c>
      <c r="AS21" s="33">
        <f t="shared" si="17"/>
        <v>96</v>
      </c>
      <c r="AT21" s="34" t="s">
        <v>28</v>
      </c>
    </row>
    <row r="22" spans="1:46" x14ac:dyDescent="0.35">
      <c r="A22" s="23" t="s">
        <v>51</v>
      </c>
      <c r="B22" s="35" t="s">
        <v>29</v>
      </c>
      <c r="C22" s="25" t="str">
        <f t="shared" ref="C22:C31" si="18">C21</f>
        <v>kgCO2/GJ</v>
      </c>
      <c r="D22" s="36">
        <f t="shared" ref="D22" si="19">D21</f>
        <v>96</v>
      </c>
      <c r="E22" s="36">
        <f t="shared" ref="E22" si="20">E21</f>
        <v>96</v>
      </c>
      <c r="F22" s="36">
        <f t="shared" ref="F22" si="21">F21</f>
        <v>96</v>
      </c>
      <c r="G22" s="36">
        <f t="shared" ref="G22" si="22">G21</f>
        <v>96</v>
      </c>
      <c r="H22" s="36">
        <f t="shared" ref="H22" si="23">H21</f>
        <v>96</v>
      </c>
      <c r="I22" s="36">
        <f t="shared" ref="I22" si="24">I21</f>
        <v>96</v>
      </c>
      <c r="J22" s="36">
        <f t="shared" ref="J22" si="25">J21</f>
        <v>96</v>
      </c>
      <c r="K22" s="36">
        <f t="shared" ref="K22" si="26">K21</f>
        <v>96</v>
      </c>
      <c r="L22" s="36">
        <f t="shared" ref="L22" si="27">L21</f>
        <v>96</v>
      </c>
      <c r="M22" s="36">
        <f t="shared" ref="M22" si="28">M21</f>
        <v>96</v>
      </c>
      <c r="N22" s="36">
        <f t="shared" ref="N22" si="29">N21</f>
        <v>96</v>
      </c>
      <c r="O22" s="36">
        <f t="shared" ref="O22" si="30">O21</f>
        <v>96</v>
      </c>
      <c r="P22" s="36">
        <f t="shared" ref="P22" si="31">P21</f>
        <v>96</v>
      </c>
      <c r="Q22" s="36">
        <f t="shared" ref="Q22" si="32">Q21</f>
        <v>96</v>
      </c>
      <c r="R22" s="36">
        <f t="shared" ref="R22" si="33">R21</f>
        <v>96</v>
      </c>
      <c r="S22" s="36">
        <f t="shared" ref="S22" si="34">S21</f>
        <v>96</v>
      </c>
      <c r="T22" s="36">
        <f t="shared" ref="T22" si="35">T21</f>
        <v>96</v>
      </c>
      <c r="U22" s="36">
        <f t="shared" ref="U22" si="36">U21</f>
        <v>96</v>
      </c>
      <c r="V22" s="36">
        <f t="shared" ref="V22" si="37">V21</f>
        <v>96</v>
      </c>
      <c r="W22" s="36">
        <f t="shared" ref="W22" si="38">W21</f>
        <v>96</v>
      </c>
      <c r="X22" s="36">
        <f t="shared" ref="X22" si="39">X21</f>
        <v>96</v>
      </c>
      <c r="Y22" s="36">
        <f t="shared" ref="Y22" si="40">Y21</f>
        <v>96</v>
      </c>
      <c r="Z22" s="36">
        <f t="shared" ref="Z22" si="41">Z21</f>
        <v>96</v>
      </c>
      <c r="AA22" s="36">
        <f t="shared" ref="AA22" si="42">AA21</f>
        <v>96</v>
      </c>
      <c r="AB22" s="36">
        <f t="shared" ref="AB22" si="43">AB21</f>
        <v>96</v>
      </c>
      <c r="AC22" s="36">
        <f t="shared" ref="AC22" si="44">AC21</f>
        <v>96</v>
      </c>
      <c r="AD22" s="36">
        <f t="shared" ref="AD22" si="45">AD21</f>
        <v>96</v>
      </c>
      <c r="AE22" s="36">
        <f t="shared" ref="AE22" si="46">AE21</f>
        <v>96</v>
      </c>
      <c r="AF22" s="36">
        <f t="shared" ref="AF22" si="47">AF21</f>
        <v>96</v>
      </c>
      <c r="AG22" s="36">
        <f t="shared" ref="AG22" si="48">AG21</f>
        <v>96</v>
      </c>
      <c r="AH22" s="36">
        <f t="shared" ref="AH22" si="49">AH21</f>
        <v>96</v>
      </c>
      <c r="AI22" s="36">
        <f t="shared" ref="AI22" si="50">AI21</f>
        <v>96</v>
      </c>
      <c r="AJ22" s="33">
        <f t="shared" ref="AJ22:AS22" si="51">AI22</f>
        <v>96</v>
      </c>
      <c r="AK22" s="33">
        <f t="shared" si="51"/>
        <v>96</v>
      </c>
      <c r="AL22" s="33">
        <f t="shared" si="51"/>
        <v>96</v>
      </c>
      <c r="AM22" s="33">
        <f t="shared" si="51"/>
        <v>96</v>
      </c>
      <c r="AN22" s="33">
        <f t="shared" si="51"/>
        <v>96</v>
      </c>
      <c r="AO22" s="33">
        <f t="shared" si="51"/>
        <v>96</v>
      </c>
      <c r="AP22" s="33">
        <f t="shared" si="51"/>
        <v>96</v>
      </c>
      <c r="AQ22" s="33">
        <f t="shared" si="51"/>
        <v>96</v>
      </c>
      <c r="AR22" s="33">
        <f t="shared" si="51"/>
        <v>96</v>
      </c>
      <c r="AS22" s="33">
        <f t="shared" si="51"/>
        <v>96</v>
      </c>
      <c r="AT22" s="35" t="s">
        <v>28</v>
      </c>
    </row>
    <row r="23" spans="1:46" x14ac:dyDescent="0.35">
      <c r="A23" s="23" t="s">
        <v>51</v>
      </c>
      <c r="B23" s="32" t="s">
        <v>30</v>
      </c>
      <c r="C23" s="24" t="str">
        <f t="shared" si="18"/>
        <v>kgCO2/GJ</v>
      </c>
      <c r="D23" s="24">
        <v>74</v>
      </c>
      <c r="E23" s="24">
        <v>74</v>
      </c>
      <c r="F23" s="24">
        <v>74</v>
      </c>
      <c r="G23" s="24">
        <v>74</v>
      </c>
      <c r="H23" s="24">
        <v>74</v>
      </c>
      <c r="I23" s="24">
        <v>74</v>
      </c>
      <c r="J23" s="24">
        <v>74</v>
      </c>
      <c r="K23" s="24">
        <v>74</v>
      </c>
      <c r="L23" s="24">
        <v>74</v>
      </c>
      <c r="M23" s="24">
        <v>74</v>
      </c>
      <c r="N23" s="24">
        <v>74</v>
      </c>
      <c r="O23" s="24">
        <v>74</v>
      </c>
      <c r="P23" s="24">
        <v>74</v>
      </c>
      <c r="Q23" s="24">
        <v>74</v>
      </c>
      <c r="R23" s="24">
        <v>74</v>
      </c>
      <c r="S23" s="24">
        <v>74</v>
      </c>
      <c r="T23" s="24">
        <v>74</v>
      </c>
      <c r="U23" s="24">
        <v>74</v>
      </c>
      <c r="V23" s="24">
        <v>74</v>
      </c>
      <c r="W23" s="24">
        <v>74</v>
      </c>
      <c r="X23" s="24">
        <v>74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4">
        <v>0</v>
      </c>
      <c r="AI23" s="24">
        <v>0</v>
      </c>
      <c r="AJ23" s="33">
        <f t="shared" ref="AJ23:AS23" si="52">AI23</f>
        <v>0</v>
      </c>
      <c r="AK23" s="33">
        <f t="shared" si="52"/>
        <v>0</v>
      </c>
      <c r="AL23" s="33">
        <f t="shared" si="52"/>
        <v>0</v>
      </c>
      <c r="AM23" s="33">
        <f t="shared" si="52"/>
        <v>0</v>
      </c>
      <c r="AN23" s="33">
        <f t="shared" si="52"/>
        <v>0</v>
      </c>
      <c r="AO23" s="33">
        <f t="shared" si="52"/>
        <v>0</v>
      </c>
      <c r="AP23" s="33">
        <f t="shared" si="52"/>
        <v>0</v>
      </c>
      <c r="AQ23" s="33">
        <f t="shared" si="52"/>
        <v>0</v>
      </c>
      <c r="AR23" s="33">
        <f t="shared" si="52"/>
        <v>0</v>
      </c>
      <c r="AS23" s="33">
        <f t="shared" si="52"/>
        <v>0</v>
      </c>
      <c r="AT23" s="32" t="s">
        <v>31</v>
      </c>
    </row>
    <row r="24" spans="1:46" x14ac:dyDescent="0.35">
      <c r="A24" s="23" t="s">
        <v>51</v>
      </c>
      <c r="B24" s="35" t="s">
        <v>32</v>
      </c>
      <c r="C24" s="25" t="str">
        <f t="shared" si="18"/>
        <v>kgCO2/GJ</v>
      </c>
      <c r="D24" s="25">
        <v>74</v>
      </c>
      <c r="E24" s="25">
        <v>74</v>
      </c>
      <c r="F24" s="25">
        <v>74</v>
      </c>
      <c r="G24" s="25">
        <v>74</v>
      </c>
      <c r="H24" s="25">
        <v>74</v>
      </c>
      <c r="I24" s="25">
        <v>74</v>
      </c>
      <c r="J24" s="25">
        <v>74</v>
      </c>
      <c r="K24" s="25">
        <v>74</v>
      </c>
      <c r="L24" s="25">
        <v>74</v>
      </c>
      <c r="M24" s="25">
        <v>74</v>
      </c>
      <c r="N24" s="25">
        <v>74</v>
      </c>
      <c r="O24" s="25">
        <v>74</v>
      </c>
      <c r="P24" s="25">
        <v>74</v>
      </c>
      <c r="Q24" s="25">
        <v>74</v>
      </c>
      <c r="R24" s="25">
        <v>74</v>
      </c>
      <c r="S24" s="25">
        <v>74</v>
      </c>
      <c r="T24" s="25">
        <v>74</v>
      </c>
      <c r="U24" s="25">
        <v>74</v>
      </c>
      <c r="V24" s="25">
        <v>74</v>
      </c>
      <c r="W24" s="25">
        <v>74</v>
      </c>
      <c r="X24" s="25">
        <v>74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33">
        <f t="shared" ref="AJ24:AS24" si="53">AI24</f>
        <v>0</v>
      </c>
      <c r="AK24" s="33">
        <f t="shared" si="53"/>
        <v>0</v>
      </c>
      <c r="AL24" s="33">
        <f t="shared" si="53"/>
        <v>0</v>
      </c>
      <c r="AM24" s="33">
        <f t="shared" si="53"/>
        <v>0</v>
      </c>
      <c r="AN24" s="33">
        <f t="shared" si="53"/>
        <v>0</v>
      </c>
      <c r="AO24" s="33">
        <f t="shared" si="53"/>
        <v>0</v>
      </c>
      <c r="AP24" s="33">
        <f t="shared" si="53"/>
        <v>0</v>
      </c>
      <c r="AQ24" s="33">
        <f t="shared" si="53"/>
        <v>0</v>
      </c>
      <c r="AR24" s="33">
        <f t="shared" si="53"/>
        <v>0</v>
      </c>
      <c r="AS24" s="33">
        <f t="shared" si="53"/>
        <v>0</v>
      </c>
      <c r="AT24" s="35" t="s">
        <v>31</v>
      </c>
    </row>
    <row r="25" spans="1:46" x14ac:dyDescent="0.35">
      <c r="A25" s="23" t="s">
        <v>51</v>
      </c>
      <c r="B25" s="32" t="s">
        <v>33</v>
      </c>
      <c r="C25" s="24" t="str">
        <f t="shared" si="18"/>
        <v>kgCO2/GJ</v>
      </c>
      <c r="D25" s="24">
        <v>74</v>
      </c>
      <c r="E25" s="24">
        <v>74</v>
      </c>
      <c r="F25" s="24">
        <v>74</v>
      </c>
      <c r="G25" s="24">
        <v>74</v>
      </c>
      <c r="H25" s="24">
        <v>74</v>
      </c>
      <c r="I25" s="24">
        <v>74</v>
      </c>
      <c r="J25" s="24">
        <v>74</v>
      </c>
      <c r="K25" s="24">
        <v>74</v>
      </c>
      <c r="L25" s="24">
        <v>74</v>
      </c>
      <c r="M25" s="24">
        <v>74</v>
      </c>
      <c r="N25" s="24">
        <v>74</v>
      </c>
      <c r="O25" s="24">
        <v>74</v>
      </c>
      <c r="P25" s="24">
        <v>74</v>
      </c>
      <c r="Q25" s="24">
        <v>74</v>
      </c>
      <c r="R25" s="24">
        <v>74</v>
      </c>
      <c r="S25" s="24">
        <v>74</v>
      </c>
      <c r="T25" s="24">
        <v>74</v>
      </c>
      <c r="U25" s="24">
        <v>74</v>
      </c>
      <c r="V25" s="24">
        <v>74</v>
      </c>
      <c r="W25" s="24">
        <v>74</v>
      </c>
      <c r="X25" s="24">
        <v>74</v>
      </c>
      <c r="Y25" s="24">
        <v>74</v>
      </c>
      <c r="Z25" s="24">
        <v>74</v>
      </c>
      <c r="AA25" s="24">
        <v>74</v>
      </c>
      <c r="AB25" s="24">
        <v>74</v>
      </c>
      <c r="AC25" s="24">
        <v>74</v>
      </c>
      <c r="AD25" s="24">
        <v>74</v>
      </c>
      <c r="AE25" s="24">
        <v>74</v>
      </c>
      <c r="AF25" s="24">
        <v>74</v>
      </c>
      <c r="AG25" s="24">
        <v>74</v>
      </c>
      <c r="AH25" s="24">
        <v>74</v>
      </c>
      <c r="AI25" s="24">
        <v>74</v>
      </c>
      <c r="AJ25" s="33">
        <f t="shared" ref="AJ25:AS25" si="54">AI25</f>
        <v>74</v>
      </c>
      <c r="AK25" s="33">
        <f t="shared" si="54"/>
        <v>74</v>
      </c>
      <c r="AL25" s="33">
        <f t="shared" si="54"/>
        <v>74</v>
      </c>
      <c r="AM25" s="33">
        <f t="shared" si="54"/>
        <v>74</v>
      </c>
      <c r="AN25" s="33">
        <f t="shared" si="54"/>
        <v>74</v>
      </c>
      <c r="AO25" s="33">
        <f t="shared" si="54"/>
        <v>74</v>
      </c>
      <c r="AP25" s="33">
        <f t="shared" si="54"/>
        <v>74</v>
      </c>
      <c r="AQ25" s="33">
        <f t="shared" si="54"/>
        <v>74</v>
      </c>
      <c r="AR25" s="33">
        <f t="shared" si="54"/>
        <v>74</v>
      </c>
      <c r="AS25" s="33">
        <f t="shared" si="54"/>
        <v>74</v>
      </c>
      <c r="AT25" s="32"/>
    </row>
    <row r="26" spans="1:46" x14ac:dyDescent="0.35">
      <c r="A26" s="23" t="s">
        <v>51</v>
      </c>
      <c r="B26" s="35" t="s">
        <v>34</v>
      </c>
      <c r="C26" s="25" t="str">
        <f t="shared" si="18"/>
        <v>kgCO2/GJ</v>
      </c>
      <c r="D26" s="36">
        <v>56.12</v>
      </c>
      <c r="E26" s="36">
        <v>56.12</v>
      </c>
      <c r="F26" s="36">
        <v>56.12</v>
      </c>
      <c r="G26" s="36">
        <v>56.12</v>
      </c>
      <c r="H26" s="36">
        <v>56.12</v>
      </c>
      <c r="I26" s="36">
        <v>56.12</v>
      </c>
      <c r="J26" s="36">
        <v>56.12</v>
      </c>
      <c r="K26" s="36">
        <v>56.12</v>
      </c>
      <c r="L26" s="36">
        <v>56.12</v>
      </c>
      <c r="M26" s="36">
        <v>56.12</v>
      </c>
      <c r="N26" s="36">
        <v>56.12</v>
      </c>
      <c r="O26" s="36">
        <v>56.12</v>
      </c>
      <c r="P26" s="36">
        <v>56.12</v>
      </c>
      <c r="Q26" s="36">
        <v>56.12</v>
      </c>
      <c r="R26" s="36">
        <v>56.12</v>
      </c>
      <c r="S26" s="36">
        <v>56.12</v>
      </c>
      <c r="T26" s="36">
        <v>56.12</v>
      </c>
      <c r="U26" s="36">
        <v>56.12</v>
      </c>
      <c r="V26" s="36">
        <v>56.12</v>
      </c>
      <c r="W26" s="36">
        <v>56.12</v>
      </c>
      <c r="X26" s="36">
        <v>56.12</v>
      </c>
      <c r="Y26" s="36">
        <v>56.12</v>
      </c>
      <c r="Z26" s="36">
        <v>56.12</v>
      </c>
      <c r="AA26" s="36">
        <v>56.12</v>
      </c>
      <c r="AB26" s="36">
        <v>56.12</v>
      </c>
      <c r="AC26" s="36">
        <v>56.12</v>
      </c>
      <c r="AD26" s="36">
        <v>56.12</v>
      </c>
      <c r="AE26" s="36">
        <v>56.12</v>
      </c>
      <c r="AF26" s="36">
        <v>56.12</v>
      </c>
      <c r="AG26" s="36">
        <v>56.12</v>
      </c>
      <c r="AH26" s="36">
        <v>56.12</v>
      </c>
      <c r="AI26" s="36">
        <v>56.12</v>
      </c>
      <c r="AJ26" s="36">
        <v>56.12</v>
      </c>
      <c r="AK26" s="36">
        <v>56.12</v>
      </c>
      <c r="AL26" s="36">
        <v>56.12</v>
      </c>
      <c r="AM26" s="36">
        <v>56.12</v>
      </c>
      <c r="AN26" s="36">
        <v>56.12</v>
      </c>
      <c r="AO26" s="36">
        <v>56.12</v>
      </c>
      <c r="AP26" s="36">
        <v>56.12</v>
      </c>
      <c r="AQ26" s="36">
        <v>56.12</v>
      </c>
      <c r="AR26" s="36">
        <v>56.12</v>
      </c>
      <c r="AS26" s="36">
        <v>56.12</v>
      </c>
      <c r="AT26" s="35"/>
    </row>
    <row r="27" spans="1:46" x14ac:dyDescent="0.35">
      <c r="A27" s="23" t="s">
        <v>51</v>
      </c>
      <c r="B27" s="32" t="s">
        <v>35</v>
      </c>
      <c r="C27" s="24" t="str">
        <f t="shared" si="18"/>
        <v>kgCO2/GJ</v>
      </c>
      <c r="D27" s="41">
        <v>56.12</v>
      </c>
      <c r="E27" s="41">
        <v>56.12</v>
      </c>
      <c r="F27" s="41">
        <v>56.12</v>
      </c>
      <c r="G27" s="41">
        <v>56.12</v>
      </c>
      <c r="H27" s="41">
        <v>56.12</v>
      </c>
      <c r="I27" s="41">
        <v>56.12</v>
      </c>
      <c r="J27" s="41">
        <v>56.12</v>
      </c>
      <c r="K27" s="41">
        <v>56.12</v>
      </c>
      <c r="L27" s="41">
        <v>56.12</v>
      </c>
      <c r="M27" s="41">
        <v>56.12</v>
      </c>
      <c r="N27" s="41">
        <v>56.12</v>
      </c>
      <c r="O27" s="41">
        <v>56.12</v>
      </c>
      <c r="P27" s="41">
        <v>56.12</v>
      </c>
      <c r="Q27" s="41">
        <v>56.12</v>
      </c>
      <c r="R27" s="41">
        <v>56.12</v>
      </c>
      <c r="S27" s="41">
        <v>56.12</v>
      </c>
      <c r="T27" s="41">
        <v>56.12</v>
      </c>
      <c r="U27" s="41">
        <v>56.12</v>
      </c>
      <c r="V27" s="41">
        <v>56.12</v>
      </c>
      <c r="W27" s="41">
        <v>56.12</v>
      </c>
      <c r="X27" s="41">
        <v>56.12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33">
        <f t="shared" ref="AJ27:AS27" si="55">AI27</f>
        <v>0</v>
      </c>
      <c r="AK27" s="33">
        <f t="shared" si="55"/>
        <v>0</v>
      </c>
      <c r="AL27" s="33">
        <f t="shared" si="55"/>
        <v>0</v>
      </c>
      <c r="AM27" s="33">
        <f t="shared" si="55"/>
        <v>0</v>
      </c>
      <c r="AN27" s="33">
        <f t="shared" si="55"/>
        <v>0</v>
      </c>
      <c r="AO27" s="33">
        <f t="shared" si="55"/>
        <v>0</v>
      </c>
      <c r="AP27" s="33">
        <f t="shared" si="55"/>
        <v>0</v>
      </c>
      <c r="AQ27" s="33">
        <f t="shared" si="55"/>
        <v>0</v>
      </c>
      <c r="AR27" s="33">
        <f t="shared" si="55"/>
        <v>0</v>
      </c>
      <c r="AS27" s="33">
        <f t="shared" si="55"/>
        <v>0</v>
      </c>
      <c r="AT27" s="32" t="s">
        <v>36</v>
      </c>
    </row>
    <row r="28" spans="1:46" x14ac:dyDescent="0.35">
      <c r="A28" s="23" t="s">
        <v>51</v>
      </c>
      <c r="B28" s="35" t="s">
        <v>37</v>
      </c>
      <c r="C28" s="25" t="str">
        <f t="shared" si="18"/>
        <v>kgCO2/GJ</v>
      </c>
      <c r="D28" s="36">
        <v>56.12</v>
      </c>
      <c r="E28" s="36">
        <v>56.12</v>
      </c>
      <c r="F28" s="36">
        <v>56.12</v>
      </c>
      <c r="G28" s="36">
        <v>56.12</v>
      </c>
      <c r="H28" s="36">
        <v>56.12</v>
      </c>
      <c r="I28" s="36">
        <v>56.12</v>
      </c>
      <c r="J28" s="36">
        <v>56.12</v>
      </c>
      <c r="K28" s="36">
        <v>56.12</v>
      </c>
      <c r="L28" s="36">
        <v>56.12</v>
      </c>
      <c r="M28" s="36">
        <v>56.12</v>
      </c>
      <c r="N28" s="36">
        <v>56.12</v>
      </c>
      <c r="O28" s="36">
        <v>56.12</v>
      </c>
      <c r="P28" s="36">
        <v>56.12</v>
      </c>
      <c r="Q28" s="36">
        <v>56.12</v>
      </c>
      <c r="R28" s="36">
        <v>56.12</v>
      </c>
      <c r="S28" s="36">
        <v>56.12</v>
      </c>
      <c r="T28" s="36">
        <v>56.12</v>
      </c>
      <c r="U28" s="36">
        <v>56.12</v>
      </c>
      <c r="V28" s="36">
        <v>56.12</v>
      </c>
      <c r="W28" s="36">
        <v>56.12</v>
      </c>
      <c r="X28" s="36">
        <v>56.12</v>
      </c>
      <c r="Y28" s="36">
        <v>56.12</v>
      </c>
      <c r="Z28" s="36">
        <v>56.12</v>
      </c>
      <c r="AA28" s="36">
        <v>56.12</v>
      </c>
      <c r="AB28" s="36">
        <v>56.12</v>
      </c>
      <c r="AC28" s="36">
        <v>56.12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  <c r="AJ28" s="33">
        <f t="shared" ref="AJ28:AS28" si="56">AI28</f>
        <v>0</v>
      </c>
      <c r="AK28" s="33">
        <f t="shared" si="56"/>
        <v>0</v>
      </c>
      <c r="AL28" s="33">
        <f t="shared" si="56"/>
        <v>0</v>
      </c>
      <c r="AM28" s="33">
        <f t="shared" si="56"/>
        <v>0</v>
      </c>
      <c r="AN28" s="33">
        <f t="shared" si="56"/>
        <v>0</v>
      </c>
      <c r="AO28" s="33">
        <f t="shared" si="56"/>
        <v>0</v>
      </c>
      <c r="AP28" s="33">
        <f t="shared" si="56"/>
        <v>0</v>
      </c>
      <c r="AQ28" s="33">
        <f t="shared" si="56"/>
        <v>0</v>
      </c>
      <c r="AR28" s="33">
        <f t="shared" si="56"/>
        <v>0</v>
      </c>
      <c r="AS28" s="33">
        <f t="shared" si="56"/>
        <v>0</v>
      </c>
      <c r="AT28" s="35" t="s">
        <v>36</v>
      </c>
    </row>
    <row r="29" spans="1:46" x14ac:dyDescent="0.35">
      <c r="A29" s="23" t="s">
        <v>51</v>
      </c>
      <c r="B29" s="32" t="s">
        <v>38</v>
      </c>
      <c r="C29" s="24" t="str">
        <f t="shared" si="18"/>
        <v>kgCO2/GJ</v>
      </c>
      <c r="D29" s="41">
        <v>56.12</v>
      </c>
      <c r="E29" s="41">
        <v>56.12</v>
      </c>
      <c r="F29" s="41">
        <v>56.12</v>
      </c>
      <c r="G29" s="41">
        <v>56.12</v>
      </c>
      <c r="H29" s="41">
        <v>56.12</v>
      </c>
      <c r="I29" s="41">
        <v>56.12</v>
      </c>
      <c r="J29" s="41">
        <v>56.12</v>
      </c>
      <c r="K29" s="41">
        <v>56.12</v>
      </c>
      <c r="L29" s="41">
        <v>56.12</v>
      </c>
      <c r="M29" s="41">
        <v>56.12</v>
      </c>
      <c r="N29" s="41">
        <v>56.12</v>
      </c>
      <c r="O29" s="41">
        <v>56.12</v>
      </c>
      <c r="P29" s="41">
        <v>56.12</v>
      </c>
      <c r="Q29" s="41">
        <v>56.12</v>
      </c>
      <c r="R29" s="41">
        <v>56.12</v>
      </c>
      <c r="S29" s="41">
        <v>56.12</v>
      </c>
      <c r="T29" s="41">
        <v>56.12</v>
      </c>
      <c r="U29" s="41">
        <v>56.12</v>
      </c>
      <c r="V29" s="41">
        <v>56.12</v>
      </c>
      <c r="W29" s="41">
        <v>56.12</v>
      </c>
      <c r="X29" s="41">
        <v>56.12</v>
      </c>
      <c r="Y29" s="41">
        <v>56.12</v>
      </c>
      <c r="Z29" s="41">
        <v>56.12</v>
      </c>
      <c r="AA29" s="41">
        <v>56.12</v>
      </c>
      <c r="AB29" s="41">
        <v>56.12</v>
      </c>
      <c r="AC29" s="41">
        <v>56.12</v>
      </c>
      <c r="AD29" s="41">
        <v>56.12</v>
      </c>
      <c r="AE29" s="41">
        <v>56.12</v>
      </c>
      <c r="AF29" s="41">
        <v>56.12</v>
      </c>
      <c r="AG29" s="41">
        <v>56.12</v>
      </c>
      <c r="AH29" s="41">
        <v>56.12</v>
      </c>
      <c r="AI29" s="41">
        <v>0</v>
      </c>
      <c r="AJ29" s="33">
        <f t="shared" ref="AJ29:AS29" si="57">AI29</f>
        <v>0</v>
      </c>
      <c r="AK29" s="33">
        <f t="shared" si="57"/>
        <v>0</v>
      </c>
      <c r="AL29" s="33">
        <f t="shared" si="57"/>
        <v>0</v>
      </c>
      <c r="AM29" s="33">
        <f t="shared" si="57"/>
        <v>0</v>
      </c>
      <c r="AN29" s="33">
        <f t="shared" si="57"/>
        <v>0</v>
      </c>
      <c r="AO29" s="33">
        <f t="shared" si="57"/>
        <v>0</v>
      </c>
      <c r="AP29" s="33">
        <f t="shared" si="57"/>
        <v>0</v>
      </c>
      <c r="AQ29" s="33">
        <f t="shared" si="57"/>
        <v>0</v>
      </c>
      <c r="AR29" s="33">
        <f t="shared" si="57"/>
        <v>0</v>
      </c>
      <c r="AS29" s="33">
        <f t="shared" si="57"/>
        <v>0</v>
      </c>
      <c r="AT29" s="32" t="s">
        <v>36</v>
      </c>
    </row>
    <row r="30" spans="1:46" x14ac:dyDescent="0.35">
      <c r="A30" s="23" t="s">
        <v>51</v>
      </c>
      <c r="B30" s="35" t="s">
        <v>39</v>
      </c>
      <c r="C30" s="25" t="str">
        <f t="shared" si="18"/>
        <v>kgCO2/GJ</v>
      </c>
      <c r="D30" s="36">
        <v>56.12</v>
      </c>
      <c r="E30" s="36">
        <v>56.12</v>
      </c>
      <c r="F30" s="36">
        <v>56.12</v>
      </c>
      <c r="G30" s="36">
        <v>56.12</v>
      </c>
      <c r="H30" s="36">
        <v>56.12</v>
      </c>
      <c r="I30" s="36">
        <v>56.12</v>
      </c>
      <c r="J30" s="36">
        <v>56.12</v>
      </c>
      <c r="K30" s="36">
        <v>56.12</v>
      </c>
      <c r="L30" s="36">
        <v>56.12</v>
      </c>
      <c r="M30" s="36">
        <v>56.12</v>
      </c>
      <c r="N30" s="36">
        <v>56.12</v>
      </c>
      <c r="O30" s="36">
        <v>56.12</v>
      </c>
      <c r="P30" s="36">
        <v>56.12</v>
      </c>
      <c r="Q30" s="36">
        <v>56.12</v>
      </c>
      <c r="R30" s="36">
        <v>56.12</v>
      </c>
      <c r="S30" s="36">
        <v>56.12</v>
      </c>
      <c r="T30" s="36">
        <v>56.12</v>
      </c>
      <c r="U30" s="36">
        <v>56.12</v>
      </c>
      <c r="V30" s="36">
        <v>56.12</v>
      </c>
      <c r="W30" s="36">
        <v>56.12</v>
      </c>
      <c r="X30" s="36">
        <v>56.12</v>
      </c>
      <c r="Y30" s="36">
        <v>56.12</v>
      </c>
      <c r="Z30" s="36">
        <v>56.12</v>
      </c>
      <c r="AA30" s="36">
        <v>56.12</v>
      </c>
      <c r="AB30" s="36">
        <v>56.12</v>
      </c>
      <c r="AC30" s="36">
        <v>56.12</v>
      </c>
      <c r="AD30" s="36">
        <v>56.12</v>
      </c>
      <c r="AE30" s="36">
        <v>56.12</v>
      </c>
      <c r="AF30" s="36">
        <v>56.12</v>
      </c>
      <c r="AG30" s="36">
        <v>56.12</v>
      </c>
      <c r="AH30" s="36">
        <v>56.12</v>
      </c>
      <c r="AI30" s="36">
        <v>56.12</v>
      </c>
      <c r="AJ30" s="36">
        <v>56.12</v>
      </c>
      <c r="AK30" s="36">
        <v>56.12</v>
      </c>
      <c r="AL30" s="36">
        <v>56.12</v>
      </c>
      <c r="AM30" s="36">
        <v>56.12</v>
      </c>
      <c r="AN30" s="33">
        <v>0</v>
      </c>
      <c r="AO30" s="33">
        <f>AN30</f>
        <v>0</v>
      </c>
      <c r="AP30" s="33">
        <f>AO30</f>
        <v>0</v>
      </c>
      <c r="AQ30" s="33">
        <f>AP30</f>
        <v>0</v>
      </c>
      <c r="AR30" s="33">
        <f>AQ30</f>
        <v>0</v>
      </c>
      <c r="AS30" s="33">
        <f>AR30</f>
        <v>0</v>
      </c>
      <c r="AT30" s="35" t="s">
        <v>36</v>
      </c>
    </row>
    <row r="31" spans="1:46" x14ac:dyDescent="0.35">
      <c r="A31" s="23" t="s">
        <v>51</v>
      </c>
      <c r="B31" s="32" t="s">
        <v>40</v>
      </c>
      <c r="C31" s="24" t="str">
        <f t="shared" si="18"/>
        <v>kgCO2/GJ</v>
      </c>
      <c r="D31" s="41">
        <v>56.12</v>
      </c>
      <c r="E31" s="41">
        <v>56.12</v>
      </c>
      <c r="F31" s="41">
        <v>56.12</v>
      </c>
      <c r="G31" s="41">
        <v>56.12</v>
      </c>
      <c r="H31" s="41">
        <v>56.12</v>
      </c>
      <c r="I31" s="41">
        <v>56.12</v>
      </c>
      <c r="J31" s="41">
        <v>56.12</v>
      </c>
      <c r="K31" s="41">
        <v>56.12</v>
      </c>
      <c r="L31" s="41">
        <v>56.12</v>
      </c>
      <c r="M31" s="41">
        <v>56.12</v>
      </c>
      <c r="N31" s="41">
        <v>56.12</v>
      </c>
      <c r="O31" s="41">
        <v>56.12</v>
      </c>
      <c r="P31" s="41">
        <v>56.12</v>
      </c>
      <c r="Q31" s="41">
        <v>56.12</v>
      </c>
      <c r="R31" s="41">
        <v>56.12</v>
      </c>
      <c r="S31" s="41">
        <v>56.12</v>
      </c>
      <c r="T31" s="41">
        <v>56.12</v>
      </c>
      <c r="U31" s="41">
        <v>56.12</v>
      </c>
      <c r="V31" s="41">
        <v>56.12</v>
      </c>
      <c r="W31" s="41">
        <v>56.12</v>
      </c>
      <c r="X31" s="41">
        <v>56.12</v>
      </c>
      <c r="Y31" s="41">
        <v>56.12</v>
      </c>
      <c r="Z31" s="41">
        <v>56.12</v>
      </c>
      <c r="AA31" s="41">
        <v>56.12</v>
      </c>
      <c r="AB31" s="41">
        <v>56.12</v>
      </c>
      <c r="AC31" s="41">
        <v>56.12</v>
      </c>
      <c r="AD31" s="41">
        <v>56.12</v>
      </c>
      <c r="AE31" s="41">
        <v>56.12</v>
      </c>
      <c r="AF31" s="41">
        <v>56.12</v>
      </c>
      <c r="AG31" s="41">
        <v>56.12</v>
      </c>
      <c r="AH31" s="41">
        <v>56.12</v>
      </c>
      <c r="AI31" s="41">
        <v>56.12</v>
      </c>
      <c r="AJ31" s="41">
        <v>56.12</v>
      </c>
      <c r="AK31" s="41">
        <v>56.12</v>
      </c>
      <c r="AL31" s="41">
        <v>56.12</v>
      </c>
      <c r="AM31" s="41">
        <v>56.12</v>
      </c>
      <c r="AN31" s="41">
        <v>56.12</v>
      </c>
      <c r="AO31" s="41">
        <v>56.12</v>
      </c>
      <c r="AP31" s="41">
        <v>56.12</v>
      </c>
      <c r="AQ31" s="41">
        <v>56.12</v>
      </c>
      <c r="AR31" s="41">
        <v>56.12</v>
      </c>
      <c r="AS31" s="33">
        <v>0</v>
      </c>
      <c r="AT31" s="32" t="s">
        <v>36</v>
      </c>
    </row>
    <row r="32" spans="1:46" x14ac:dyDescent="0.35">
      <c r="A32" s="23" t="s">
        <v>51</v>
      </c>
      <c r="B32" s="35" t="s">
        <v>41</v>
      </c>
      <c r="C32" s="25" t="str">
        <f>C29</f>
        <v>kgCO2/GJ</v>
      </c>
      <c r="D32" s="36">
        <v>56.12</v>
      </c>
      <c r="E32" s="36">
        <v>56.12</v>
      </c>
      <c r="F32" s="36">
        <v>56.12</v>
      </c>
      <c r="G32" s="36">
        <v>56.12</v>
      </c>
      <c r="H32" s="36">
        <v>56.12</v>
      </c>
      <c r="I32" s="36">
        <v>56.12</v>
      </c>
      <c r="J32" s="36">
        <v>56.12</v>
      </c>
      <c r="K32" s="36">
        <v>56.12</v>
      </c>
      <c r="L32" s="36">
        <v>56.12</v>
      </c>
      <c r="M32" s="36">
        <v>56.12</v>
      </c>
      <c r="N32" s="36">
        <v>56.12</v>
      </c>
      <c r="O32" s="36">
        <v>56.12</v>
      </c>
      <c r="P32" s="36">
        <v>56.12</v>
      </c>
      <c r="Q32" s="36">
        <v>56.12</v>
      </c>
      <c r="R32" s="36">
        <v>56.12</v>
      </c>
      <c r="S32" s="36">
        <v>56.12</v>
      </c>
      <c r="T32" s="36">
        <v>56.12</v>
      </c>
      <c r="U32" s="36">
        <v>56.12</v>
      </c>
      <c r="V32" s="36">
        <v>56.12</v>
      </c>
      <c r="W32" s="36">
        <v>56.12</v>
      </c>
      <c r="X32" s="36">
        <v>56.12</v>
      </c>
      <c r="Y32" s="36">
        <v>56.12</v>
      </c>
      <c r="Z32" s="36">
        <v>56.12</v>
      </c>
      <c r="AA32" s="36">
        <v>56.12</v>
      </c>
      <c r="AB32" s="36">
        <v>56.12</v>
      </c>
      <c r="AC32" s="36">
        <v>56.12</v>
      </c>
      <c r="AD32" s="36">
        <v>56.12</v>
      </c>
      <c r="AE32" s="36">
        <v>56.12</v>
      </c>
      <c r="AF32" s="36">
        <v>56.12</v>
      </c>
      <c r="AG32" s="36">
        <v>56.12</v>
      </c>
      <c r="AH32" s="36">
        <v>56.12</v>
      </c>
      <c r="AI32" s="36">
        <v>56.12</v>
      </c>
      <c r="AJ32" s="36">
        <v>56.12</v>
      </c>
      <c r="AK32" s="36">
        <v>56.12</v>
      </c>
      <c r="AL32" s="36">
        <v>56.12</v>
      </c>
      <c r="AM32" s="36">
        <v>56.12</v>
      </c>
      <c r="AN32" s="36">
        <v>56.12</v>
      </c>
      <c r="AO32" s="36">
        <v>56.12</v>
      </c>
      <c r="AP32" s="36">
        <v>56.12</v>
      </c>
      <c r="AQ32" s="36">
        <v>56.12</v>
      </c>
      <c r="AR32" s="36">
        <v>56.12</v>
      </c>
      <c r="AS32" s="33">
        <f t="shared" ref="AJ32:AS39" si="58">AR32</f>
        <v>56.12</v>
      </c>
      <c r="AT32" s="35"/>
    </row>
    <row r="33" spans="1:46" x14ac:dyDescent="0.35">
      <c r="A33" s="23" t="s">
        <v>51</v>
      </c>
      <c r="B33" s="32" t="s">
        <v>42</v>
      </c>
      <c r="C33" s="24" t="str">
        <f t="shared" ref="C33:C39" si="59">C32</f>
        <v>kgCO2/GJ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33">
        <f t="shared" si="58"/>
        <v>0</v>
      </c>
      <c r="AK33" s="33">
        <f t="shared" si="58"/>
        <v>0</v>
      </c>
      <c r="AL33" s="33">
        <f t="shared" si="58"/>
        <v>0</v>
      </c>
      <c r="AM33" s="33">
        <f t="shared" si="58"/>
        <v>0</v>
      </c>
      <c r="AN33" s="33">
        <f t="shared" si="58"/>
        <v>0</v>
      </c>
      <c r="AO33" s="33">
        <f t="shared" si="58"/>
        <v>0</v>
      </c>
      <c r="AP33" s="33">
        <f t="shared" si="58"/>
        <v>0</v>
      </c>
      <c r="AQ33" s="33">
        <f t="shared" si="58"/>
        <v>0</v>
      </c>
      <c r="AR33" s="33">
        <f t="shared" si="58"/>
        <v>0</v>
      </c>
      <c r="AS33" s="33">
        <f t="shared" si="58"/>
        <v>0</v>
      </c>
    </row>
    <row r="34" spans="1:46" x14ac:dyDescent="0.35">
      <c r="A34" s="23" t="s">
        <v>51</v>
      </c>
      <c r="B34" s="35" t="s">
        <v>43</v>
      </c>
      <c r="C34" s="25" t="str">
        <f t="shared" si="59"/>
        <v>kgCO2/GJ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33">
        <f t="shared" si="58"/>
        <v>0</v>
      </c>
      <c r="AK34" s="33">
        <f t="shared" si="58"/>
        <v>0</v>
      </c>
      <c r="AL34" s="33">
        <f t="shared" si="58"/>
        <v>0</v>
      </c>
      <c r="AM34" s="33">
        <f t="shared" si="58"/>
        <v>0</v>
      </c>
      <c r="AN34" s="33">
        <f t="shared" si="58"/>
        <v>0</v>
      </c>
      <c r="AO34" s="33">
        <f t="shared" si="58"/>
        <v>0</v>
      </c>
      <c r="AP34" s="33">
        <f t="shared" si="58"/>
        <v>0</v>
      </c>
      <c r="AQ34" s="33">
        <f t="shared" si="58"/>
        <v>0</v>
      </c>
      <c r="AR34" s="33">
        <f t="shared" si="58"/>
        <v>0</v>
      </c>
      <c r="AS34" s="33">
        <f t="shared" si="58"/>
        <v>0</v>
      </c>
    </row>
    <row r="35" spans="1:46" x14ac:dyDescent="0.35">
      <c r="A35" s="23" t="s">
        <v>51</v>
      </c>
      <c r="B35" s="32" t="s">
        <v>44</v>
      </c>
      <c r="C35" s="24" t="str">
        <f t="shared" si="59"/>
        <v>kgCO2/GJ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33">
        <f t="shared" si="58"/>
        <v>0</v>
      </c>
      <c r="AK35" s="33">
        <f t="shared" si="58"/>
        <v>0</v>
      </c>
      <c r="AL35" s="33">
        <f t="shared" si="58"/>
        <v>0</v>
      </c>
      <c r="AM35" s="33">
        <f t="shared" si="58"/>
        <v>0</v>
      </c>
      <c r="AN35" s="33">
        <f t="shared" si="58"/>
        <v>0</v>
      </c>
      <c r="AO35" s="33">
        <f t="shared" si="58"/>
        <v>0</v>
      </c>
      <c r="AP35" s="33">
        <f t="shared" si="58"/>
        <v>0</v>
      </c>
      <c r="AQ35" s="33">
        <f t="shared" si="58"/>
        <v>0</v>
      </c>
      <c r="AR35" s="33">
        <f t="shared" si="58"/>
        <v>0</v>
      </c>
      <c r="AS35" s="33">
        <f t="shared" si="58"/>
        <v>0</v>
      </c>
    </row>
    <row r="36" spans="1:46" x14ac:dyDescent="0.35">
      <c r="A36" s="23" t="s">
        <v>51</v>
      </c>
      <c r="B36" s="35" t="s">
        <v>45</v>
      </c>
      <c r="C36" s="25" t="str">
        <f t="shared" si="59"/>
        <v>kgCO2/GJ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33">
        <f t="shared" si="58"/>
        <v>0</v>
      </c>
      <c r="AK36" s="33">
        <f t="shared" si="58"/>
        <v>0</v>
      </c>
      <c r="AL36" s="33">
        <f t="shared" si="58"/>
        <v>0</v>
      </c>
      <c r="AM36" s="33">
        <f t="shared" si="58"/>
        <v>0</v>
      </c>
      <c r="AN36" s="33">
        <f t="shared" si="58"/>
        <v>0</v>
      </c>
      <c r="AO36" s="33">
        <f t="shared" si="58"/>
        <v>0</v>
      </c>
      <c r="AP36" s="33">
        <f t="shared" si="58"/>
        <v>0</v>
      </c>
      <c r="AQ36" s="33">
        <f t="shared" si="58"/>
        <v>0</v>
      </c>
      <c r="AR36" s="33">
        <f t="shared" si="58"/>
        <v>0</v>
      </c>
      <c r="AS36" s="33">
        <f t="shared" si="58"/>
        <v>0</v>
      </c>
    </row>
    <row r="37" spans="1:46" x14ac:dyDescent="0.35">
      <c r="A37" s="23" t="s">
        <v>51</v>
      </c>
      <c r="B37" s="32" t="s">
        <v>46</v>
      </c>
      <c r="C37" s="24" t="str">
        <f t="shared" si="59"/>
        <v>kgCO2/GJ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0</v>
      </c>
      <c r="AF37" s="24">
        <v>0</v>
      </c>
      <c r="AG37" s="24">
        <v>0</v>
      </c>
      <c r="AH37" s="24">
        <v>0</v>
      </c>
      <c r="AI37" s="24">
        <v>0</v>
      </c>
      <c r="AJ37" s="33">
        <f t="shared" si="58"/>
        <v>0</v>
      </c>
      <c r="AK37" s="33">
        <f t="shared" si="58"/>
        <v>0</v>
      </c>
      <c r="AL37" s="33">
        <f t="shared" si="58"/>
        <v>0</v>
      </c>
      <c r="AM37" s="33">
        <f t="shared" si="58"/>
        <v>0</v>
      </c>
      <c r="AN37" s="33">
        <f t="shared" si="58"/>
        <v>0</v>
      </c>
      <c r="AO37" s="33">
        <f t="shared" si="58"/>
        <v>0</v>
      </c>
      <c r="AP37" s="33">
        <f t="shared" si="58"/>
        <v>0</v>
      </c>
      <c r="AQ37" s="33">
        <f t="shared" si="58"/>
        <v>0</v>
      </c>
      <c r="AR37" s="33">
        <f t="shared" si="58"/>
        <v>0</v>
      </c>
      <c r="AS37" s="33">
        <f t="shared" si="58"/>
        <v>0</v>
      </c>
    </row>
    <row r="38" spans="1:46" x14ac:dyDescent="0.35">
      <c r="A38" s="23" t="s">
        <v>51</v>
      </c>
      <c r="B38" s="35" t="s">
        <v>47</v>
      </c>
      <c r="C38" s="25" t="str">
        <f t="shared" si="59"/>
        <v>kgCO2/GJ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0</v>
      </c>
      <c r="AH38" s="25">
        <v>0</v>
      </c>
      <c r="AI38" s="25">
        <v>0</v>
      </c>
      <c r="AJ38" s="33">
        <f t="shared" si="58"/>
        <v>0</v>
      </c>
      <c r="AK38" s="33">
        <f t="shared" si="58"/>
        <v>0</v>
      </c>
      <c r="AL38" s="33">
        <f t="shared" si="58"/>
        <v>0</v>
      </c>
      <c r="AM38" s="33">
        <f t="shared" si="58"/>
        <v>0</v>
      </c>
      <c r="AN38" s="33">
        <f t="shared" si="58"/>
        <v>0</v>
      </c>
      <c r="AO38" s="33">
        <f t="shared" si="58"/>
        <v>0</v>
      </c>
      <c r="AP38" s="33">
        <f t="shared" si="58"/>
        <v>0</v>
      </c>
      <c r="AQ38" s="33">
        <f t="shared" si="58"/>
        <v>0</v>
      </c>
      <c r="AR38" s="33">
        <f t="shared" si="58"/>
        <v>0</v>
      </c>
      <c r="AS38" s="33">
        <f t="shared" si="58"/>
        <v>0</v>
      </c>
    </row>
    <row r="39" spans="1:46" x14ac:dyDescent="0.35">
      <c r="A39" s="42" t="s">
        <v>51</v>
      </c>
      <c r="B39" s="43" t="s">
        <v>48</v>
      </c>
      <c r="C39" s="44" t="str">
        <f t="shared" si="59"/>
        <v>kgCO2/GJ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5">
        <f t="shared" si="58"/>
        <v>0</v>
      </c>
      <c r="AK39" s="45">
        <f t="shared" si="58"/>
        <v>0</v>
      </c>
      <c r="AL39" s="45">
        <f t="shared" si="58"/>
        <v>0</v>
      </c>
      <c r="AM39" s="45">
        <f t="shared" si="58"/>
        <v>0</v>
      </c>
      <c r="AN39" s="45">
        <f t="shared" si="58"/>
        <v>0</v>
      </c>
      <c r="AO39" s="45">
        <f t="shared" si="58"/>
        <v>0</v>
      </c>
      <c r="AP39" s="45">
        <f t="shared" si="58"/>
        <v>0</v>
      </c>
      <c r="AQ39" s="45">
        <f t="shared" si="58"/>
        <v>0</v>
      </c>
      <c r="AR39" s="45">
        <f t="shared" si="58"/>
        <v>0</v>
      </c>
      <c r="AS39" s="45">
        <f t="shared" si="58"/>
        <v>0</v>
      </c>
    </row>
    <row r="40" spans="1:46" x14ac:dyDescent="0.35">
      <c r="A40" s="37" t="s">
        <v>49</v>
      </c>
      <c r="B40" s="32" t="s">
        <v>27</v>
      </c>
      <c r="C40" s="24" t="s">
        <v>13</v>
      </c>
      <c r="D40" s="33">
        <v>96</v>
      </c>
      <c r="E40" s="33">
        <f t="shared" ref="E40:AS40" si="60">D40</f>
        <v>96</v>
      </c>
      <c r="F40" s="33">
        <f t="shared" si="60"/>
        <v>96</v>
      </c>
      <c r="G40" s="33">
        <f t="shared" si="60"/>
        <v>96</v>
      </c>
      <c r="H40" s="33">
        <f t="shared" si="60"/>
        <v>96</v>
      </c>
      <c r="I40" s="33">
        <f t="shared" si="60"/>
        <v>96</v>
      </c>
      <c r="J40" s="33">
        <f t="shared" si="60"/>
        <v>96</v>
      </c>
      <c r="K40" s="33">
        <f t="shared" si="60"/>
        <v>96</v>
      </c>
      <c r="L40" s="33">
        <f t="shared" si="60"/>
        <v>96</v>
      </c>
      <c r="M40" s="33">
        <f t="shared" si="60"/>
        <v>96</v>
      </c>
      <c r="N40" s="33">
        <f t="shared" si="60"/>
        <v>96</v>
      </c>
      <c r="O40" s="33">
        <f t="shared" si="60"/>
        <v>96</v>
      </c>
      <c r="P40" s="33">
        <f t="shared" si="60"/>
        <v>96</v>
      </c>
      <c r="Q40" s="33">
        <f t="shared" si="60"/>
        <v>96</v>
      </c>
      <c r="R40" s="33">
        <f t="shared" si="60"/>
        <v>96</v>
      </c>
      <c r="S40" s="33">
        <f t="shared" si="60"/>
        <v>96</v>
      </c>
      <c r="T40" s="33">
        <f t="shared" si="60"/>
        <v>96</v>
      </c>
      <c r="U40" s="33">
        <f t="shared" si="60"/>
        <v>96</v>
      </c>
      <c r="V40" s="33">
        <f t="shared" si="60"/>
        <v>96</v>
      </c>
      <c r="W40" s="33">
        <f t="shared" si="60"/>
        <v>96</v>
      </c>
      <c r="X40" s="33">
        <f t="shared" si="60"/>
        <v>96</v>
      </c>
      <c r="Y40" s="33">
        <f t="shared" si="60"/>
        <v>96</v>
      </c>
      <c r="Z40" s="33">
        <f t="shared" si="60"/>
        <v>96</v>
      </c>
      <c r="AA40" s="33">
        <f t="shared" si="60"/>
        <v>96</v>
      </c>
      <c r="AB40" s="33">
        <f t="shared" si="60"/>
        <v>96</v>
      </c>
      <c r="AC40" s="33">
        <f t="shared" si="60"/>
        <v>96</v>
      </c>
      <c r="AD40" s="33">
        <f t="shared" si="60"/>
        <v>96</v>
      </c>
      <c r="AE40" s="33">
        <f t="shared" si="60"/>
        <v>96</v>
      </c>
      <c r="AF40" s="33">
        <f t="shared" si="60"/>
        <v>96</v>
      </c>
      <c r="AG40" s="33">
        <f t="shared" si="60"/>
        <v>96</v>
      </c>
      <c r="AH40" s="33">
        <f t="shared" si="60"/>
        <v>96</v>
      </c>
      <c r="AI40" s="33">
        <f t="shared" si="60"/>
        <v>96</v>
      </c>
      <c r="AJ40" s="33">
        <f t="shared" si="60"/>
        <v>96</v>
      </c>
      <c r="AK40" s="33">
        <f t="shared" si="60"/>
        <v>96</v>
      </c>
      <c r="AL40" s="33">
        <f t="shared" si="60"/>
        <v>96</v>
      </c>
      <c r="AM40" s="33">
        <f t="shared" si="60"/>
        <v>96</v>
      </c>
      <c r="AN40" s="33">
        <f t="shared" si="60"/>
        <v>96</v>
      </c>
      <c r="AO40" s="33">
        <f t="shared" si="60"/>
        <v>96</v>
      </c>
      <c r="AP40" s="33">
        <f t="shared" si="60"/>
        <v>96</v>
      </c>
      <c r="AQ40" s="33">
        <f t="shared" si="60"/>
        <v>96</v>
      </c>
      <c r="AR40" s="33">
        <f t="shared" si="60"/>
        <v>96</v>
      </c>
      <c r="AS40" s="33">
        <f t="shared" si="60"/>
        <v>96</v>
      </c>
      <c r="AT40" s="34" t="s">
        <v>28</v>
      </c>
    </row>
    <row r="41" spans="1:46" x14ac:dyDescent="0.35">
      <c r="A41" s="37" t="s">
        <v>49</v>
      </c>
      <c r="B41" s="35" t="s">
        <v>29</v>
      </c>
      <c r="C41" s="25" t="str">
        <f t="shared" ref="C41:C50" si="61">C40</f>
        <v>kgCO2/GJ</v>
      </c>
      <c r="D41" s="36">
        <f t="shared" ref="D41" si="62">D40</f>
        <v>96</v>
      </c>
      <c r="E41" s="36">
        <f t="shared" ref="E41" si="63">E40</f>
        <v>96</v>
      </c>
      <c r="F41" s="36">
        <f t="shared" ref="F41" si="64">F40</f>
        <v>96</v>
      </c>
      <c r="G41" s="36">
        <f t="shared" ref="G41" si="65">G40</f>
        <v>96</v>
      </c>
      <c r="H41" s="36">
        <f t="shared" ref="H41" si="66">H40</f>
        <v>96</v>
      </c>
      <c r="I41" s="36">
        <f t="shared" ref="I41" si="67">I40</f>
        <v>96</v>
      </c>
      <c r="J41" s="36">
        <f t="shared" ref="J41" si="68">J40</f>
        <v>96</v>
      </c>
      <c r="K41" s="36">
        <f t="shared" ref="K41" si="69">K40</f>
        <v>96</v>
      </c>
      <c r="L41" s="36">
        <f t="shared" ref="L41" si="70">L40</f>
        <v>96</v>
      </c>
      <c r="M41" s="36">
        <f t="shared" ref="M41" si="71">M40</f>
        <v>96</v>
      </c>
      <c r="N41" s="36">
        <f t="shared" ref="N41" si="72">N40</f>
        <v>96</v>
      </c>
      <c r="O41" s="36">
        <f t="shared" ref="O41" si="73">O40</f>
        <v>96</v>
      </c>
      <c r="P41" s="36">
        <f t="shared" ref="P41" si="74">P40</f>
        <v>96</v>
      </c>
      <c r="Q41" s="36">
        <f t="shared" ref="Q41" si="75">Q40</f>
        <v>96</v>
      </c>
      <c r="R41" s="36">
        <f t="shared" ref="R41" si="76">R40</f>
        <v>96</v>
      </c>
      <c r="S41" s="36">
        <f t="shared" ref="S41" si="77">S40</f>
        <v>96</v>
      </c>
      <c r="T41" s="36">
        <f t="shared" ref="T41" si="78">T40</f>
        <v>96</v>
      </c>
      <c r="U41" s="36">
        <f t="shared" ref="U41" si="79">U40</f>
        <v>96</v>
      </c>
      <c r="V41" s="36">
        <f t="shared" ref="V41" si="80">V40</f>
        <v>96</v>
      </c>
      <c r="W41" s="36">
        <f t="shared" ref="W41" si="81">W40</f>
        <v>96</v>
      </c>
      <c r="X41" s="36">
        <f t="shared" ref="X41" si="82">X40</f>
        <v>96</v>
      </c>
      <c r="Y41" s="36">
        <f t="shared" ref="Y41" si="83">Y40</f>
        <v>96</v>
      </c>
      <c r="Z41" s="36">
        <f t="shared" ref="Z41" si="84">Z40</f>
        <v>96</v>
      </c>
      <c r="AA41" s="36">
        <f t="shared" ref="AA41" si="85">AA40</f>
        <v>96</v>
      </c>
      <c r="AB41" s="36">
        <f t="shared" ref="AB41" si="86">AB40</f>
        <v>96</v>
      </c>
      <c r="AC41" s="36">
        <f t="shared" ref="AC41" si="87">AC40</f>
        <v>96</v>
      </c>
      <c r="AD41" s="36">
        <f t="shared" ref="AD41" si="88">AD40</f>
        <v>96</v>
      </c>
      <c r="AE41" s="36">
        <f t="shared" ref="AE41" si="89">AE40</f>
        <v>96</v>
      </c>
      <c r="AF41" s="36">
        <f t="shared" ref="AF41" si="90">AF40</f>
        <v>96</v>
      </c>
      <c r="AG41" s="36">
        <f t="shared" ref="AG41" si="91">AG40</f>
        <v>96</v>
      </c>
      <c r="AH41" s="36">
        <f t="shared" ref="AH41" si="92">AH40</f>
        <v>96</v>
      </c>
      <c r="AI41" s="36">
        <f t="shared" ref="AI41" si="93">AI40</f>
        <v>96</v>
      </c>
      <c r="AJ41" s="33">
        <f t="shared" ref="AJ41:AS41" si="94">AI41</f>
        <v>96</v>
      </c>
      <c r="AK41" s="33">
        <f t="shared" si="94"/>
        <v>96</v>
      </c>
      <c r="AL41" s="33">
        <f t="shared" si="94"/>
        <v>96</v>
      </c>
      <c r="AM41" s="33">
        <f t="shared" si="94"/>
        <v>96</v>
      </c>
      <c r="AN41" s="33">
        <f t="shared" si="94"/>
        <v>96</v>
      </c>
      <c r="AO41" s="33">
        <f t="shared" si="94"/>
        <v>96</v>
      </c>
      <c r="AP41" s="33">
        <f t="shared" si="94"/>
        <v>96</v>
      </c>
      <c r="AQ41" s="33">
        <f t="shared" si="94"/>
        <v>96</v>
      </c>
      <c r="AR41" s="33">
        <f t="shared" si="94"/>
        <v>96</v>
      </c>
      <c r="AS41" s="33">
        <f t="shared" si="94"/>
        <v>96</v>
      </c>
      <c r="AT41" s="35" t="s">
        <v>28</v>
      </c>
    </row>
    <row r="42" spans="1:46" x14ac:dyDescent="0.35">
      <c r="A42" s="37" t="s">
        <v>49</v>
      </c>
      <c r="B42" s="32" t="s">
        <v>30</v>
      </c>
      <c r="C42" s="24" t="str">
        <f t="shared" si="61"/>
        <v>kgCO2/GJ</v>
      </c>
      <c r="D42" s="24">
        <v>74</v>
      </c>
      <c r="E42" s="24">
        <v>74</v>
      </c>
      <c r="F42" s="24">
        <v>74</v>
      </c>
      <c r="G42" s="24">
        <v>74</v>
      </c>
      <c r="H42" s="24">
        <v>74</v>
      </c>
      <c r="I42" s="24">
        <v>74</v>
      </c>
      <c r="J42" s="24">
        <v>74</v>
      </c>
      <c r="K42" s="24">
        <v>74</v>
      </c>
      <c r="L42" s="24">
        <v>74</v>
      </c>
      <c r="M42" s="24">
        <v>74</v>
      </c>
      <c r="N42" s="24">
        <v>74</v>
      </c>
      <c r="O42" s="24">
        <v>74</v>
      </c>
      <c r="P42" s="24">
        <v>74</v>
      </c>
      <c r="Q42" s="24">
        <v>74</v>
      </c>
      <c r="R42" s="24">
        <v>74</v>
      </c>
      <c r="S42" s="24">
        <v>74</v>
      </c>
      <c r="T42" s="24">
        <v>74</v>
      </c>
      <c r="U42" s="24">
        <v>74</v>
      </c>
      <c r="V42" s="24">
        <v>74</v>
      </c>
      <c r="W42" s="24">
        <v>74</v>
      </c>
      <c r="X42" s="24">
        <v>74</v>
      </c>
      <c r="Y42" s="24">
        <v>74</v>
      </c>
      <c r="Z42" s="24">
        <v>74</v>
      </c>
      <c r="AA42" s="24">
        <v>74</v>
      </c>
      <c r="AB42" s="24">
        <v>74</v>
      </c>
      <c r="AC42" s="24">
        <v>74</v>
      </c>
      <c r="AD42" s="24">
        <v>74</v>
      </c>
      <c r="AE42" s="24">
        <v>74</v>
      </c>
      <c r="AF42" s="24">
        <v>74</v>
      </c>
      <c r="AG42" s="24">
        <v>74</v>
      </c>
      <c r="AH42" s="24">
        <v>74</v>
      </c>
      <c r="AI42" s="24">
        <v>74</v>
      </c>
      <c r="AJ42" s="24">
        <v>74</v>
      </c>
      <c r="AK42" s="24">
        <v>74</v>
      </c>
      <c r="AL42" s="24">
        <v>74</v>
      </c>
      <c r="AM42" s="24">
        <v>74</v>
      </c>
      <c r="AN42" s="24">
        <v>74</v>
      </c>
      <c r="AO42" s="24">
        <v>74</v>
      </c>
      <c r="AP42" s="24">
        <v>74</v>
      </c>
      <c r="AQ42" s="24">
        <v>74</v>
      </c>
      <c r="AR42" s="24">
        <v>74</v>
      </c>
      <c r="AS42" s="33">
        <f t="shared" ref="AS42" si="95">AR42</f>
        <v>74</v>
      </c>
      <c r="AT42" s="32" t="s">
        <v>31</v>
      </c>
    </row>
    <row r="43" spans="1:46" x14ac:dyDescent="0.35">
      <c r="A43" s="37" t="s">
        <v>49</v>
      </c>
      <c r="B43" s="35" t="s">
        <v>32</v>
      </c>
      <c r="C43" s="25" t="str">
        <f t="shared" si="61"/>
        <v>kgCO2/GJ</v>
      </c>
      <c r="D43" s="25">
        <v>74</v>
      </c>
      <c r="E43" s="25">
        <v>74</v>
      </c>
      <c r="F43" s="25">
        <v>74</v>
      </c>
      <c r="G43" s="25">
        <v>74</v>
      </c>
      <c r="H43" s="25">
        <v>74</v>
      </c>
      <c r="I43" s="25">
        <v>74</v>
      </c>
      <c r="J43" s="25">
        <v>74</v>
      </c>
      <c r="K43" s="25">
        <v>74</v>
      </c>
      <c r="L43" s="25">
        <v>74</v>
      </c>
      <c r="M43" s="25">
        <v>74</v>
      </c>
      <c r="N43" s="25">
        <v>74</v>
      </c>
      <c r="O43" s="25">
        <v>74</v>
      </c>
      <c r="P43" s="25">
        <v>74</v>
      </c>
      <c r="Q43" s="25">
        <v>74</v>
      </c>
      <c r="R43" s="25">
        <v>74</v>
      </c>
      <c r="S43" s="25">
        <v>74</v>
      </c>
      <c r="T43" s="25">
        <v>74</v>
      </c>
      <c r="U43" s="25">
        <v>74</v>
      </c>
      <c r="V43" s="25">
        <v>74</v>
      </c>
      <c r="W43" s="25">
        <v>74</v>
      </c>
      <c r="X43" s="25">
        <v>74</v>
      </c>
      <c r="Y43" s="25">
        <v>74</v>
      </c>
      <c r="Z43" s="25">
        <v>74</v>
      </c>
      <c r="AA43" s="25">
        <v>74</v>
      </c>
      <c r="AB43" s="25">
        <v>74</v>
      </c>
      <c r="AC43" s="25">
        <v>74</v>
      </c>
      <c r="AD43" s="25">
        <v>74</v>
      </c>
      <c r="AE43" s="25">
        <v>74</v>
      </c>
      <c r="AF43" s="25">
        <v>74</v>
      </c>
      <c r="AG43" s="25">
        <v>74</v>
      </c>
      <c r="AH43" s="25">
        <v>74</v>
      </c>
      <c r="AI43" s="25">
        <v>74</v>
      </c>
      <c r="AJ43" s="25">
        <v>74</v>
      </c>
      <c r="AK43" s="25">
        <v>74</v>
      </c>
      <c r="AL43" s="25">
        <v>74</v>
      </c>
      <c r="AM43" s="25">
        <v>74</v>
      </c>
      <c r="AN43" s="25">
        <v>74</v>
      </c>
      <c r="AO43" s="25">
        <v>74</v>
      </c>
      <c r="AP43" s="25">
        <v>74</v>
      </c>
      <c r="AQ43" s="25">
        <v>74</v>
      </c>
      <c r="AR43" s="25">
        <v>74</v>
      </c>
      <c r="AS43" s="33">
        <f t="shared" ref="AS43" si="96">AR43</f>
        <v>74</v>
      </c>
      <c r="AT43" s="35" t="s">
        <v>31</v>
      </c>
    </row>
    <row r="44" spans="1:46" x14ac:dyDescent="0.35">
      <c r="A44" s="37" t="s">
        <v>49</v>
      </c>
      <c r="B44" s="32" t="s">
        <v>33</v>
      </c>
      <c r="C44" s="24" t="str">
        <f t="shared" si="61"/>
        <v>kgCO2/GJ</v>
      </c>
      <c r="D44" s="24">
        <v>74</v>
      </c>
      <c r="E44" s="24">
        <v>74</v>
      </c>
      <c r="F44" s="24">
        <v>74</v>
      </c>
      <c r="G44" s="24">
        <v>74</v>
      </c>
      <c r="H44" s="24">
        <v>74</v>
      </c>
      <c r="I44" s="24">
        <v>74</v>
      </c>
      <c r="J44" s="24">
        <v>74</v>
      </c>
      <c r="K44" s="24">
        <v>74</v>
      </c>
      <c r="L44" s="24">
        <v>74</v>
      </c>
      <c r="M44" s="24">
        <v>74</v>
      </c>
      <c r="N44" s="24">
        <v>74</v>
      </c>
      <c r="O44" s="24">
        <v>74</v>
      </c>
      <c r="P44" s="24">
        <v>74</v>
      </c>
      <c r="Q44" s="24">
        <v>74</v>
      </c>
      <c r="R44" s="24">
        <v>74</v>
      </c>
      <c r="S44" s="24">
        <v>74</v>
      </c>
      <c r="T44" s="24">
        <v>74</v>
      </c>
      <c r="U44" s="24">
        <v>74</v>
      </c>
      <c r="V44" s="24">
        <v>74</v>
      </c>
      <c r="W44" s="24">
        <v>74</v>
      </c>
      <c r="X44" s="24">
        <v>74</v>
      </c>
      <c r="Y44" s="24">
        <v>74</v>
      </c>
      <c r="Z44" s="24">
        <v>74</v>
      </c>
      <c r="AA44" s="24">
        <v>74</v>
      </c>
      <c r="AB44" s="24">
        <v>74</v>
      </c>
      <c r="AC44" s="24">
        <v>74</v>
      </c>
      <c r="AD44" s="24">
        <v>74</v>
      </c>
      <c r="AE44" s="24">
        <v>74</v>
      </c>
      <c r="AF44" s="24">
        <v>74</v>
      </c>
      <c r="AG44" s="24">
        <v>74</v>
      </c>
      <c r="AH44" s="24">
        <v>74</v>
      </c>
      <c r="AI44" s="24">
        <v>74</v>
      </c>
      <c r="AJ44" s="33">
        <f t="shared" ref="AJ44:AS49" si="97">AI44</f>
        <v>74</v>
      </c>
      <c r="AK44" s="33">
        <f t="shared" si="97"/>
        <v>74</v>
      </c>
      <c r="AL44" s="33">
        <f t="shared" si="97"/>
        <v>74</v>
      </c>
      <c r="AM44" s="33">
        <f t="shared" si="97"/>
        <v>74</v>
      </c>
      <c r="AN44" s="33">
        <f t="shared" si="97"/>
        <v>74</v>
      </c>
      <c r="AO44" s="33">
        <f t="shared" si="97"/>
        <v>74</v>
      </c>
      <c r="AP44" s="33">
        <f t="shared" si="97"/>
        <v>74</v>
      </c>
      <c r="AQ44" s="33">
        <f t="shared" si="97"/>
        <v>74</v>
      </c>
      <c r="AR44" s="33">
        <f t="shared" si="97"/>
        <v>74</v>
      </c>
      <c r="AS44" s="33">
        <f t="shared" si="97"/>
        <v>74</v>
      </c>
      <c r="AT44" s="32"/>
    </row>
    <row r="45" spans="1:46" x14ac:dyDescent="0.35">
      <c r="A45" s="37" t="s">
        <v>49</v>
      </c>
      <c r="B45" s="35" t="s">
        <v>34</v>
      </c>
      <c r="C45" s="25" t="str">
        <f t="shared" si="61"/>
        <v>kgCO2/GJ</v>
      </c>
      <c r="D45" s="25">
        <v>69</v>
      </c>
      <c r="E45" s="25">
        <v>69</v>
      </c>
      <c r="F45" s="25">
        <v>69</v>
      </c>
      <c r="G45" s="25">
        <v>69</v>
      </c>
      <c r="H45" s="25">
        <v>69</v>
      </c>
      <c r="I45" s="25">
        <v>69</v>
      </c>
      <c r="J45" s="25">
        <v>69</v>
      </c>
      <c r="K45" s="25">
        <v>69</v>
      </c>
      <c r="L45" s="25">
        <v>69</v>
      </c>
      <c r="M45" s="25">
        <v>69</v>
      </c>
      <c r="N45" s="25">
        <v>69</v>
      </c>
      <c r="O45" s="25">
        <v>69</v>
      </c>
      <c r="P45" s="25">
        <v>69</v>
      </c>
      <c r="Q45" s="25">
        <v>69</v>
      </c>
      <c r="R45" s="25">
        <v>69</v>
      </c>
      <c r="S45" s="25">
        <v>69</v>
      </c>
      <c r="T45" s="25">
        <v>69</v>
      </c>
      <c r="U45" s="25">
        <v>69</v>
      </c>
      <c r="V45" s="25">
        <v>69</v>
      </c>
      <c r="W45" s="25">
        <v>69</v>
      </c>
      <c r="X45" s="25">
        <v>69</v>
      </c>
      <c r="Y45" s="25">
        <v>69</v>
      </c>
      <c r="Z45" s="25">
        <v>69</v>
      </c>
      <c r="AA45" s="25">
        <v>69</v>
      </c>
      <c r="AB45" s="25">
        <v>69</v>
      </c>
      <c r="AC45" s="25">
        <v>69</v>
      </c>
      <c r="AD45" s="25">
        <v>69</v>
      </c>
      <c r="AE45" s="25">
        <v>69</v>
      </c>
      <c r="AF45" s="25">
        <v>69</v>
      </c>
      <c r="AG45" s="25">
        <v>69</v>
      </c>
      <c r="AH45" s="25">
        <v>69</v>
      </c>
      <c r="AI45" s="25">
        <v>69</v>
      </c>
      <c r="AJ45" s="33">
        <f t="shared" ref="AJ45:AS45" si="98">AI45</f>
        <v>69</v>
      </c>
      <c r="AK45" s="33">
        <f t="shared" si="98"/>
        <v>69</v>
      </c>
      <c r="AL45" s="33">
        <f t="shared" si="98"/>
        <v>69</v>
      </c>
      <c r="AM45" s="33">
        <f t="shared" si="98"/>
        <v>69</v>
      </c>
      <c r="AN45" s="33">
        <f t="shared" si="98"/>
        <v>69</v>
      </c>
      <c r="AO45" s="33">
        <f t="shared" si="98"/>
        <v>69</v>
      </c>
      <c r="AP45" s="33">
        <f t="shared" si="98"/>
        <v>69</v>
      </c>
      <c r="AQ45" s="33">
        <f t="shared" si="98"/>
        <v>69</v>
      </c>
      <c r="AR45" s="33">
        <f t="shared" si="98"/>
        <v>69</v>
      </c>
      <c r="AS45" s="33">
        <f t="shared" si="98"/>
        <v>69</v>
      </c>
      <c r="AT45" s="35"/>
    </row>
    <row r="46" spans="1:46" x14ac:dyDescent="0.35">
      <c r="A46" s="37" t="s">
        <v>49</v>
      </c>
      <c r="B46" s="32" t="s">
        <v>35</v>
      </c>
      <c r="C46" s="24" t="str">
        <f t="shared" si="61"/>
        <v>kgCO2/GJ</v>
      </c>
      <c r="D46" s="24">
        <v>69</v>
      </c>
      <c r="E46" s="24">
        <v>69</v>
      </c>
      <c r="F46" s="24">
        <v>69</v>
      </c>
      <c r="G46" s="24">
        <v>69</v>
      </c>
      <c r="H46" s="24">
        <v>69</v>
      </c>
      <c r="I46" s="24">
        <v>69</v>
      </c>
      <c r="J46" s="24">
        <v>69</v>
      </c>
      <c r="K46" s="24">
        <v>69</v>
      </c>
      <c r="L46" s="24">
        <v>69</v>
      </c>
      <c r="M46" s="24">
        <v>69</v>
      </c>
      <c r="N46" s="24">
        <v>69</v>
      </c>
      <c r="O46" s="24">
        <v>69</v>
      </c>
      <c r="P46" s="24">
        <v>69</v>
      </c>
      <c r="Q46" s="24">
        <v>69</v>
      </c>
      <c r="R46" s="24">
        <v>69</v>
      </c>
      <c r="S46" s="24">
        <v>69</v>
      </c>
      <c r="T46" s="24">
        <v>69</v>
      </c>
      <c r="U46" s="24">
        <v>69</v>
      </c>
      <c r="V46" s="24">
        <v>69</v>
      </c>
      <c r="W46" s="24">
        <v>69</v>
      </c>
      <c r="X46" s="24">
        <v>69</v>
      </c>
      <c r="Y46" s="24">
        <v>74</v>
      </c>
      <c r="Z46" s="24">
        <v>74</v>
      </c>
      <c r="AA46" s="24">
        <v>74</v>
      </c>
      <c r="AB46" s="24">
        <v>74</v>
      </c>
      <c r="AC46" s="24">
        <v>74</v>
      </c>
      <c r="AD46" s="24">
        <v>74</v>
      </c>
      <c r="AE46" s="24">
        <v>74</v>
      </c>
      <c r="AF46" s="24">
        <v>74</v>
      </c>
      <c r="AG46" s="24">
        <v>74</v>
      </c>
      <c r="AH46" s="24">
        <v>74</v>
      </c>
      <c r="AI46" s="24">
        <v>74</v>
      </c>
      <c r="AJ46" s="33">
        <f t="shared" si="97"/>
        <v>74</v>
      </c>
      <c r="AK46" s="33">
        <f t="shared" si="97"/>
        <v>74</v>
      </c>
      <c r="AL46" s="33">
        <f t="shared" si="97"/>
        <v>74</v>
      </c>
      <c r="AM46" s="33">
        <f t="shared" si="97"/>
        <v>74</v>
      </c>
      <c r="AN46" s="33">
        <f t="shared" si="97"/>
        <v>74</v>
      </c>
      <c r="AO46" s="33">
        <f t="shared" si="97"/>
        <v>74</v>
      </c>
      <c r="AP46" s="33">
        <f t="shared" si="97"/>
        <v>74</v>
      </c>
      <c r="AQ46" s="33">
        <f t="shared" si="97"/>
        <v>74</v>
      </c>
      <c r="AR46" s="33">
        <f t="shared" si="97"/>
        <v>74</v>
      </c>
      <c r="AS46" s="33">
        <f t="shared" si="97"/>
        <v>74</v>
      </c>
      <c r="AT46" s="32" t="s">
        <v>36</v>
      </c>
    </row>
    <row r="47" spans="1:46" x14ac:dyDescent="0.35">
      <c r="A47" s="37" t="s">
        <v>49</v>
      </c>
      <c r="B47" s="35" t="s">
        <v>37</v>
      </c>
      <c r="C47" s="25" t="str">
        <f t="shared" si="61"/>
        <v>kgCO2/GJ</v>
      </c>
      <c r="D47" s="25">
        <v>69</v>
      </c>
      <c r="E47" s="25">
        <v>69</v>
      </c>
      <c r="F47" s="25">
        <v>69</v>
      </c>
      <c r="G47" s="25">
        <v>69</v>
      </c>
      <c r="H47" s="25">
        <v>69</v>
      </c>
      <c r="I47" s="25">
        <v>69</v>
      </c>
      <c r="J47" s="25">
        <v>69</v>
      </c>
      <c r="K47" s="25">
        <v>69</v>
      </c>
      <c r="L47" s="25">
        <v>69</v>
      </c>
      <c r="M47" s="25">
        <v>69</v>
      </c>
      <c r="N47" s="25">
        <v>69</v>
      </c>
      <c r="O47" s="25">
        <v>69</v>
      </c>
      <c r="P47" s="25">
        <v>69</v>
      </c>
      <c r="Q47" s="25">
        <v>69</v>
      </c>
      <c r="R47" s="25">
        <v>69</v>
      </c>
      <c r="S47" s="25">
        <v>69</v>
      </c>
      <c r="T47" s="25">
        <v>69</v>
      </c>
      <c r="U47" s="25">
        <v>69</v>
      </c>
      <c r="V47" s="25">
        <v>69</v>
      </c>
      <c r="W47" s="25">
        <v>69</v>
      </c>
      <c r="X47" s="25">
        <v>69</v>
      </c>
      <c r="Y47" s="25">
        <v>69</v>
      </c>
      <c r="Z47" s="25">
        <v>69</v>
      </c>
      <c r="AA47" s="25">
        <v>69</v>
      </c>
      <c r="AB47" s="25">
        <v>69</v>
      </c>
      <c r="AC47" s="25">
        <v>69</v>
      </c>
      <c r="AD47" s="24">
        <v>74</v>
      </c>
      <c r="AE47" s="24">
        <v>74</v>
      </c>
      <c r="AF47" s="24">
        <v>74</v>
      </c>
      <c r="AG47" s="24">
        <v>74</v>
      </c>
      <c r="AH47" s="24">
        <v>74</v>
      </c>
      <c r="AI47" s="24">
        <v>74</v>
      </c>
      <c r="AJ47" s="33">
        <f t="shared" si="97"/>
        <v>74</v>
      </c>
      <c r="AK47" s="33">
        <f t="shared" si="97"/>
        <v>74</v>
      </c>
      <c r="AL47" s="33">
        <f t="shared" si="97"/>
        <v>74</v>
      </c>
      <c r="AM47" s="33">
        <f t="shared" si="97"/>
        <v>74</v>
      </c>
      <c r="AN47" s="33">
        <f t="shared" si="97"/>
        <v>74</v>
      </c>
      <c r="AO47" s="33">
        <f t="shared" si="97"/>
        <v>74</v>
      </c>
      <c r="AP47" s="33">
        <f t="shared" si="97"/>
        <v>74</v>
      </c>
      <c r="AQ47" s="33">
        <f t="shared" si="97"/>
        <v>74</v>
      </c>
      <c r="AR47" s="33">
        <f t="shared" si="97"/>
        <v>74</v>
      </c>
      <c r="AS47" s="33">
        <f t="shared" si="97"/>
        <v>74</v>
      </c>
      <c r="AT47" s="35" t="s">
        <v>36</v>
      </c>
    </row>
    <row r="48" spans="1:46" x14ac:dyDescent="0.35">
      <c r="A48" s="37" t="s">
        <v>49</v>
      </c>
      <c r="B48" s="32" t="s">
        <v>38</v>
      </c>
      <c r="C48" s="24" t="str">
        <f t="shared" si="61"/>
        <v>kgCO2/GJ</v>
      </c>
      <c r="D48" s="24">
        <v>69</v>
      </c>
      <c r="E48" s="24">
        <v>69</v>
      </c>
      <c r="F48" s="24">
        <v>69</v>
      </c>
      <c r="G48" s="24">
        <v>69</v>
      </c>
      <c r="H48" s="24">
        <v>69</v>
      </c>
      <c r="I48" s="24">
        <v>69</v>
      </c>
      <c r="J48" s="24">
        <v>69</v>
      </c>
      <c r="K48" s="24">
        <v>69</v>
      </c>
      <c r="L48" s="24">
        <v>69</v>
      </c>
      <c r="M48" s="24">
        <v>69</v>
      </c>
      <c r="N48" s="24">
        <v>69</v>
      </c>
      <c r="O48" s="24">
        <v>69</v>
      </c>
      <c r="P48" s="24">
        <v>69</v>
      </c>
      <c r="Q48" s="24">
        <v>69</v>
      </c>
      <c r="R48" s="24">
        <v>69</v>
      </c>
      <c r="S48" s="24">
        <v>69</v>
      </c>
      <c r="T48" s="24">
        <v>69</v>
      </c>
      <c r="U48" s="24">
        <v>69</v>
      </c>
      <c r="V48" s="24">
        <v>69</v>
      </c>
      <c r="W48" s="24">
        <v>69</v>
      </c>
      <c r="X48" s="24">
        <v>69</v>
      </c>
      <c r="Y48" s="24">
        <v>69</v>
      </c>
      <c r="Z48" s="24">
        <v>69</v>
      </c>
      <c r="AA48" s="24">
        <v>69</v>
      </c>
      <c r="AB48" s="24">
        <v>69</v>
      </c>
      <c r="AC48" s="24">
        <v>69</v>
      </c>
      <c r="AD48" s="24">
        <v>69</v>
      </c>
      <c r="AE48" s="24">
        <v>69</v>
      </c>
      <c r="AF48" s="24">
        <v>69</v>
      </c>
      <c r="AG48" s="24">
        <v>69</v>
      </c>
      <c r="AH48" s="24">
        <v>69</v>
      </c>
      <c r="AI48" s="24">
        <v>74</v>
      </c>
      <c r="AJ48" s="33">
        <f t="shared" si="97"/>
        <v>74</v>
      </c>
      <c r="AK48" s="33">
        <f t="shared" si="97"/>
        <v>74</v>
      </c>
      <c r="AL48" s="33">
        <f t="shared" si="97"/>
        <v>74</v>
      </c>
      <c r="AM48" s="33">
        <f t="shared" si="97"/>
        <v>74</v>
      </c>
      <c r="AN48" s="33">
        <f t="shared" si="97"/>
        <v>74</v>
      </c>
      <c r="AO48" s="33">
        <f t="shared" si="97"/>
        <v>74</v>
      </c>
      <c r="AP48" s="33">
        <f t="shared" si="97"/>
        <v>74</v>
      </c>
      <c r="AQ48" s="33">
        <f t="shared" si="97"/>
        <v>74</v>
      </c>
      <c r="AR48" s="33">
        <f t="shared" si="97"/>
        <v>74</v>
      </c>
      <c r="AS48" s="33">
        <f t="shared" si="97"/>
        <v>74</v>
      </c>
      <c r="AT48" s="32" t="s">
        <v>36</v>
      </c>
    </row>
    <row r="49" spans="1:46" x14ac:dyDescent="0.35">
      <c r="A49" s="37" t="s">
        <v>49</v>
      </c>
      <c r="B49" s="35" t="s">
        <v>39</v>
      </c>
      <c r="C49" s="25" t="str">
        <f t="shared" si="61"/>
        <v>kgCO2/GJ</v>
      </c>
      <c r="D49" s="25">
        <v>69</v>
      </c>
      <c r="E49" s="25">
        <v>69</v>
      </c>
      <c r="F49" s="25">
        <v>69</v>
      </c>
      <c r="G49" s="25">
        <v>69</v>
      </c>
      <c r="H49" s="25">
        <v>69</v>
      </c>
      <c r="I49" s="25">
        <v>69</v>
      </c>
      <c r="J49" s="25">
        <v>69</v>
      </c>
      <c r="K49" s="25">
        <v>69</v>
      </c>
      <c r="L49" s="25">
        <v>69</v>
      </c>
      <c r="M49" s="25">
        <v>69</v>
      </c>
      <c r="N49" s="25">
        <v>69</v>
      </c>
      <c r="O49" s="25">
        <v>69</v>
      </c>
      <c r="P49" s="25">
        <v>69</v>
      </c>
      <c r="Q49" s="25">
        <v>69</v>
      </c>
      <c r="R49" s="25">
        <v>69</v>
      </c>
      <c r="S49" s="25">
        <v>69</v>
      </c>
      <c r="T49" s="25">
        <v>69</v>
      </c>
      <c r="U49" s="25">
        <v>69</v>
      </c>
      <c r="V49" s="25">
        <v>69</v>
      </c>
      <c r="W49" s="25">
        <v>69</v>
      </c>
      <c r="X49" s="25">
        <v>69</v>
      </c>
      <c r="Y49" s="25">
        <v>69</v>
      </c>
      <c r="Z49" s="25">
        <v>69</v>
      </c>
      <c r="AA49" s="25">
        <v>69</v>
      </c>
      <c r="AB49" s="25">
        <v>69</v>
      </c>
      <c r="AC49" s="25">
        <v>69</v>
      </c>
      <c r="AD49" s="25">
        <v>69</v>
      </c>
      <c r="AE49" s="25">
        <v>69</v>
      </c>
      <c r="AF49" s="25">
        <v>69</v>
      </c>
      <c r="AG49" s="25">
        <v>69</v>
      </c>
      <c r="AH49" s="25">
        <v>69</v>
      </c>
      <c r="AI49" s="25">
        <v>69</v>
      </c>
      <c r="AJ49" s="25">
        <v>69</v>
      </c>
      <c r="AK49" s="25">
        <v>69</v>
      </c>
      <c r="AL49" s="25">
        <v>69</v>
      </c>
      <c r="AM49" s="25">
        <v>69</v>
      </c>
      <c r="AN49" s="33">
        <f>AN48</f>
        <v>74</v>
      </c>
      <c r="AO49" s="33">
        <f t="shared" si="97"/>
        <v>74</v>
      </c>
      <c r="AP49" s="33">
        <f t="shared" si="97"/>
        <v>74</v>
      </c>
      <c r="AQ49" s="33">
        <f t="shared" si="97"/>
        <v>74</v>
      </c>
      <c r="AR49" s="33">
        <f t="shared" si="97"/>
        <v>74</v>
      </c>
      <c r="AS49" s="33">
        <f t="shared" si="97"/>
        <v>74</v>
      </c>
      <c r="AT49" s="35" t="s">
        <v>36</v>
      </c>
    </row>
    <row r="50" spans="1:46" x14ac:dyDescent="0.35">
      <c r="A50" s="37" t="s">
        <v>49</v>
      </c>
      <c r="B50" s="32" t="s">
        <v>40</v>
      </c>
      <c r="C50" s="24" t="str">
        <f t="shared" si="61"/>
        <v>kgCO2/GJ</v>
      </c>
      <c r="D50" s="24">
        <v>69</v>
      </c>
      <c r="E50" s="24">
        <v>69</v>
      </c>
      <c r="F50" s="24">
        <v>69</v>
      </c>
      <c r="G50" s="24">
        <v>69</v>
      </c>
      <c r="H50" s="24">
        <v>69</v>
      </c>
      <c r="I50" s="24">
        <v>69</v>
      </c>
      <c r="J50" s="24">
        <v>69</v>
      </c>
      <c r="K50" s="24">
        <v>69</v>
      </c>
      <c r="L50" s="24">
        <v>69</v>
      </c>
      <c r="M50" s="24">
        <v>69</v>
      </c>
      <c r="N50" s="24">
        <v>69</v>
      </c>
      <c r="O50" s="24">
        <v>69</v>
      </c>
      <c r="P50" s="24">
        <v>69</v>
      </c>
      <c r="Q50" s="24">
        <v>69</v>
      </c>
      <c r="R50" s="24">
        <v>69</v>
      </c>
      <c r="S50" s="24">
        <v>69</v>
      </c>
      <c r="T50" s="24">
        <v>69</v>
      </c>
      <c r="U50" s="24">
        <v>69</v>
      </c>
      <c r="V50" s="24">
        <v>69</v>
      </c>
      <c r="W50" s="24">
        <v>69</v>
      </c>
      <c r="X50" s="24">
        <v>69</v>
      </c>
      <c r="Y50" s="24">
        <v>69</v>
      </c>
      <c r="Z50" s="24">
        <v>69</v>
      </c>
      <c r="AA50" s="24">
        <v>69</v>
      </c>
      <c r="AB50" s="24">
        <v>69</v>
      </c>
      <c r="AC50" s="24">
        <v>69</v>
      </c>
      <c r="AD50" s="24">
        <v>69</v>
      </c>
      <c r="AE50" s="24">
        <v>69</v>
      </c>
      <c r="AF50" s="24">
        <v>69</v>
      </c>
      <c r="AG50" s="24">
        <v>69</v>
      </c>
      <c r="AH50" s="24">
        <v>69</v>
      </c>
      <c r="AI50" s="24">
        <v>69</v>
      </c>
      <c r="AJ50" s="24">
        <v>69</v>
      </c>
      <c r="AK50" s="33">
        <f t="shared" ref="AK50:AR50" si="99">AJ50</f>
        <v>69</v>
      </c>
      <c r="AL50" s="33">
        <f t="shared" si="99"/>
        <v>69</v>
      </c>
      <c r="AM50" s="33">
        <f t="shared" si="99"/>
        <v>69</v>
      </c>
      <c r="AN50" s="33">
        <f t="shared" si="99"/>
        <v>69</v>
      </c>
      <c r="AO50" s="33">
        <f t="shared" si="99"/>
        <v>69</v>
      </c>
      <c r="AP50" s="33">
        <f t="shared" si="99"/>
        <v>69</v>
      </c>
      <c r="AQ50" s="33">
        <f t="shared" si="99"/>
        <v>69</v>
      </c>
      <c r="AR50" s="33">
        <f t="shared" si="99"/>
        <v>69</v>
      </c>
      <c r="AS50" s="33">
        <f>AS49</f>
        <v>74</v>
      </c>
      <c r="AT50" s="32" t="s">
        <v>36</v>
      </c>
    </row>
    <row r="51" spans="1:46" x14ac:dyDescent="0.35">
      <c r="A51" s="37" t="s">
        <v>49</v>
      </c>
      <c r="B51" s="35" t="s">
        <v>41</v>
      </c>
      <c r="C51" s="25" t="str">
        <f>C48</f>
        <v>kgCO2/GJ</v>
      </c>
      <c r="D51" s="25">
        <v>69</v>
      </c>
      <c r="E51" s="25">
        <v>69</v>
      </c>
      <c r="F51" s="25">
        <v>69</v>
      </c>
      <c r="G51" s="25">
        <v>69</v>
      </c>
      <c r="H51" s="25">
        <v>69</v>
      </c>
      <c r="I51" s="25">
        <v>69</v>
      </c>
      <c r="J51" s="25">
        <v>69</v>
      </c>
      <c r="K51" s="25">
        <v>69</v>
      </c>
      <c r="L51" s="25">
        <v>69</v>
      </c>
      <c r="M51" s="25">
        <v>69</v>
      </c>
      <c r="N51" s="25">
        <v>69</v>
      </c>
      <c r="O51" s="25">
        <v>69</v>
      </c>
      <c r="P51" s="25">
        <v>69</v>
      </c>
      <c r="Q51" s="25">
        <v>69</v>
      </c>
      <c r="R51" s="25">
        <v>69</v>
      </c>
      <c r="S51" s="25">
        <v>69</v>
      </c>
      <c r="T51" s="25">
        <v>69</v>
      </c>
      <c r="U51" s="25">
        <v>69</v>
      </c>
      <c r="V51" s="25">
        <v>69</v>
      </c>
      <c r="W51" s="25">
        <v>69</v>
      </c>
      <c r="X51" s="25">
        <v>69</v>
      </c>
      <c r="Y51" s="25">
        <f t="shared" ref="Y51:AS58" si="100">X51</f>
        <v>69</v>
      </c>
      <c r="Z51" s="25">
        <f t="shared" si="100"/>
        <v>69</v>
      </c>
      <c r="AA51" s="25">
        <f t="shared" si="100"/>
        <v>69</v>
      </c>
      <c r="AB51" s="25">
        <f t="shared" si="100"/>
        <v>69</v>
      </c>
      <c r="AC51" s="25">
        <f t="shared" si="100"/>
        <v>69</v>
      </c>
      <c r="AD51" s="25">
        <f t="shared" si="100"/>
        <v>69</v>
      </c>
      <c r="AE51" s="25">
        <f t="shared" si="100"/>
        <v>69</v>
      </c>
      <c r="AF51" s="25">
        <f t="shared" si="100"/>
        <v>69</v>
      </c>
      <c r="AG51" s="25">
        <f t="shared" si="100"/>
        <v>69</v>
      </c>
      <c r="AH51" s="25">
        <f t="shared" si="100"/>
        <v>69</v>
      </c>
      <c r="AI51" s="25">
        <f t="shared" si="100"/>
        <v>69</v>
      </c>
      <c r="AJ51" s="33">
        <f t="shared" si="100"/>
        <v>69</v>
      </c>
      <c r="AK51" s="33">
        <f t="shared" si="100"/>
        <v>69</v>
      </c>
      <c r="AL51" s="33">
        <f t="shared" si="100"/>
        <v>69</v>
      </c>
      <c r="AM51" s="33">
        <f t="shared" si="100"/>
        <v>69</v>
      </c>
      <c r="AN51" s="33">
        <f t="shared" si="100"/>
        <v>69</v>
      </c>
      <c r="AO51" s="33">
        <f t="shared" si="100"/>
        <v>69</v>
      </c>
      <c r="AP51" s="33">
        <f t="shared" si="100"/>
        <v>69</v>
      </c>
      <c r="AQ51" s="33">
        <f t="shared" si="100"/>
        <v>69</v>
      </c>
      <c r="AR51" s="33">
        <f t="shared" si="100"/>
        <v>69</v>
      </c>
      <c r="AS51" s="33">
        <f t="shared" si="100"/>
        <v>69</v>
      </c>
      <c r="AT51" s="35"/>
    </row>
    <row r="52" spans="1:46" x14ac:dyDescent="0.35">
      <c r="A52" s="37" t="s">
        <v>49</v>
      </c>
      <c r="B52" s="32" t="s">
        <v>42</v>
      </c>
      <c r="C52" s="24" t="str">
        <f t="shared" ref="C52:C58" si="101">C51</f>
        <v>kgCO2/GJ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>
        <v>0</v>
      </c>
      <c r="AG52" s="24">
        <v>0</v>
      </c>
      <c r="AH52" s="24">
        <v>0</v>
      </c>
      <c r="AI52" s="24">
        <v>0</v>
      </c>
      <c r="AJ52" s="33">
        <f t="shared" si="100"/>
        <v>0</v>
      </c>
      <c r="AK52" s="33">
        <f t="shared" si="100"/>
        <v>0</v>
      </c>
      <c r="AL52" s="33">
        <f t="shared" si="100"/>
        <v>0</v>
      </c>
      <c r="AM52" s="33">
        <f t="shared" si="100"/>
        <v>0</v>
      </c>
      <c r="AN52" s="33">
        <f t="shared" si="100"/>
        <v>0</v>
      </c>
      <c r="AO52" s="33">
        <f t="shared" si="100"/>
        <v>0</v>
      </c>
      <c r="AP52" s="33">
        <f t="shared" si="100"/>
        <v>0</v>
      </c>
      <c r="AQ52" s="33">
        <f t="shared" si="100"/>
        <v>0</v>
      </c>
      <c r="AR52" s="33">
        <f t="shared" si="100"/>
        <v>0</v>
      </c>
      <c r="AS52" s="33">
        <f t="shared" si="100"/>
        <v>0</v>
      </c>
    </row>
    <row r="53" spans="1:46" x14ac:dyDescent="0.35">
      <c r="A53" s="37" t="s">
        <v>49</v>
      </c>
      <c r="B53" s="35" t="s">
        <v>43</v>
      </c>
      <c r="C53" s="25" t="str">
        <f t="shared" si="101"/>
        <v>kgCO2/GJ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33">
        <f t="shared" si="100"/>
        <v>0</v>
      </c>
      <c r="AK53" s="33">
        <f t="shared" si="100"/>
        <v>0</v>
      </c>
      <c r="AL53" s="33">
        <f t="shared" si="100"/>
        <v>0</v>
      </c>
      <c r="AM53" s="33">
        <f t="shared" si="100"/>
        <v>0</v>
      </c>
      <c r="AN53" s="33">
        <f t="shared" si="100"/>
        <v>0</v>
      </c>
      <c r="AO53" s="33">
        <f t="shared" si="100"/>
        <v>0</v>
      </c>
      <c r="AP53" s="33">
        <f t="shared" si="100"/>
        <v>0</v>
      </c>
      <c r="AQ53" s="33">
        <f t="shared" si="100"/>
        <v>0</v>
      </c>
      <c r="AR53" s="33">
        <f t="shared" si="100"/>
        <v>0</v>
      </c>
      <c r="AS53" s="33">
        <f t="shared" si="100"/>
        <v>0</v>
      </c>
    </row>
    <row r="54" spans="1:46" x14ac:dyDescent="0.35">
      <c r="A54" s="37" t="s">
        <v>49</v>
      </c>
      <c r="B54" s="32" t="s">
        <v>44</v>
      </c>
      <c r="C54" s="24" t="str">
        <f t="shared" si="101"/>
        <v>kgCO2/GJ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33">
        <f t="shared" si="100"/>
        <v>0</v>
      </c>
      <c r="AK54" s="33">
        <f t="shared" si="100"/>
        <v>0</v>
      </c>
      <c r="AL54" s="33">
        <f t="shared" si="100"/>
        <v>0</v>
      </c>
      <c r="AM54" s="33">
        <f t="shared" si="100"/>
        <v>0</v>
      </c>
      <c r="AN54" s="33">
        <f t="shared" si="100"/>
        <v>0</v>
      </c>
      <c r="AO54" s="33">
        <f t="shared" si="100"/>
        <v>0</v>
      </c>
      <c r="AP54" s="33">
        <f t="shared" si="100"/>
        <v>0</v>
      </c>
      <c r="AQ54" s="33">
        <f t="shared" si="100"/>
        <v>0</v>
      </c>
      <c r="AR54" s="33">
        <f t="shared" si="100"/>
        <v>0</v>
      </c>
      <c r="AS54" s="33">
        <f t="shared" si="100"/>
        <v>0</v>
      </c>
    </row>
    <row r="55" spans="1:46" x14ac:dyDescent="0.35">
      <c r="A55" s="37" t="s">
        <v>49</v>
      </c>
      <c r="B55" s="35" t="s">
        <v>45</v>
      </c>
      <c r="C55" s="25" t="str">
        <f t="shared" si="101"/>
        <v>kgCO2/GJ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33">
        <f t="shared" si="100"/>
        <v>0</v>
      </c>
      <c r="AK55" s="33">
        <f t="shared" si="100"/>
        <v>0</v>
      </c>
      <c r="AL55" s="33">
        <f t="shared" si="100"/>
        <v>0</v>
      </c>
      <c r="AM55" s="33">
        <f t="shared" si="100"/>
        <v>0</v>
      </c>
      <c r="AN55" s="33">
        <f t="shared" si="100"/>
        <v>0</v>
      </c>
      <c r="AO55" s="33">
        <f t="shared" si="100"/>
        <v>0</v>
      </c>
      <c r="AP55" s="33">
        <f t="shared" si="100"/>
        <v>0</v>
      </c>
      <c r="AQ55" s="33">
        <f t="shared" si="100"/>
        <v>0</v>
      </c>
      <c r="AR55" s="33">
        <f t="shared" si="100"/>
        <v>0</v>
      </c>
      <c r="AS55" s="33">
        <f t="shared" si="100"/>
        <v>0</v>
      </c>
    </row>
    <row r="56" spans="1:46" x14ac:dyDescent="0.35">
      <c r="A56" s="37" t="s">
        <v>49</v>
      </c>
      <c r="B56" s="32" t="s">
        <v>46</v>
      </c>
      <c r="C56" s="24" t="str">
        <f t="shared" si="101"/>
        <v>kgCO2/GJ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33">
        <f t="shared" si="100"/>
        <v>0</v>
      </c>
      <c r="AK56" s="33">
        <f t="shared" si="100"/>
        <v>0</v>
      </c>
      <c r="AL56" s="33">
        <f t="shared" si="100"/>
        <v>0</v>
      </c>
      <c r="AM56" s="33">
        <f t="shared" si="100"/>
        <v>0</v>
      </c>
      <c r="AN56" s="33">
        <f t="shared" si="100"/>
        <v>0</v>
      </c>
      <c r="AO56" s="33">
        <f t="shared" si="100"/>
        <v>0</v>
      </c>
      <c r="AP56" s="33">
        <f t="shared" si="100"/>
        <v>0</v>
      </c>
      <c r="AQ56" s="33">
        <f t="shared" si="100"/>
        <v>0</v>
      </c>
      <c r="AR56" s="33">
        <f t="shared" si="100"/>
        <v>0</v>
      </c>
      <c r="AS56" s="33">
        <f t="shared" si="100"/>
        <v>0</v>
      </c>
    </row>
    <row r="57" spans="1:46" x14ac:dyDescent="0.35">
      <c r="A57" s="37" t="s">
        <v>49</v>
      </c>
      <c r="B57" s="35" t="s">
        <v>47</v>
      </c>
      <c r="C57" s="25" t="str">
        <f t="shared" si="101"/>
        <v>kgCO2/GJ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33">
        <f t="shared" si="100"/>
        <v>0</v>
      </c>
      <c r="AK57" s="33">
        <f t="shared" si="100"/>
        <v>0</v>
      </c>
      <c r="AL57" s="33">
        <f t="shared" si="100"/>
        <v>0</v>
      </c>
      <c r="AM57" s="33">
        <f t="shared" si="100"/>
        <v>0</v>
      </c>
      <c r="AN57" s="33">
        <f t="shared" si="100"/>
        <v>0</v>
      </c>
      <c r="AO57" s="33">
        <f t="shared" si="100"/>
        <v>0</v>
      </c>
      <c r="AP57" s="33">
        <f t="shared" si="100"/>
        <v>0</v>
      </c>
      <c r="AQ57" s="33">
        <f t="shared" si="100"/>
        <v>0</v>
      </c>
      <c r="AR57" s="33">
        <f t="shared" si="100"/>
        <v>0</v>
      </c>
      <c r="AS57" s="33">
        <f t="shared" si="100"/>
        <v>0</v>
      </c>
    </row>
    <row r="58" spans="1:46" x14ac:dyDescent="0.35">
      <c r="A58" s="46" t="s">
        <v>49</v>
      </c>
      <c r="B58" s="43" t="s">
        <v>48</v>
      </c>
      <c r="C58" s="44" t="str">
        <f t="shared" si="101"/>
        <v>kgCO2/GJ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</v>
      </c>
      <c r="V58" s="47">
        <v>0</v>
      </c>
      <c r="W58" s="47">
        <v>0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0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>
        <v>0</v>
      </c>
      <c r="AJ58" s="45">
        <f t="shared" si="100"/>
        <v>0</v>
      </c>
      <c r="AK58" s="45">
        <f t="shared" si="100"/>
        <v>0</v>
      </c>
      <c r="AL58" s="45">
        <f t="shared" si="100"/>
        <v>0</v>
      </c>
      <c r="AM58" s="45">
        <f t="shared" si="100"/>
        <v>0</v>
      </c>
      <c r="AN58" s="45">
        <f t="shared" si="100"/>
        <v>0</v>
      </c>
      <c r="AO58" s="45">
        <f t="shared" si="100"/>
        <v>0</v>
      </c>
      <c r="AP58" s="45">
        <f t="shared" si="100"/>
        <v>0</v>
      </c>
      <c r="AQ58" s="45">
        <f t="shared" si="100"/>
        <v>0</v>
      </c>
      <c r="AR58" s="45">
        <f t="shared" si="100"/>
        <v>0</v>
      </c>
      <c r="AS58" s="45">
        <f t="shared" si="100"/>
        <v>0</v>
      </c>
    </row>
    <row r="59" spans="1:46" x14ac:dyDescent="0.35">
      <c r="A59" s="38" t="s">
        <v>50</v>
      </c>
      <c r="B59" s="32" t="s">
        <v>27</v>
      </c>
      <c r="C59" s="24" t="s">
        <v>13</v>
      </c>
      <c r="D59" s="33">
        <v>96</v>
      </c>
      <c r="E59" s="33">
        <f t="shared" ref="E59:AS59" si="102">D59</f>
        <v>96</v>
      </c>
      <c r="F59" s="33">
        <f t="shared" si="102"/>
        <v>96</v>
      </c>
      <c r="G59" s="33">
        <f t="shared" si="102"/>
        <v>96</v>
      </c>
      <c r="H59" s="33">
        <f t="shared" si="102"/>
        <v>96</v>
      </c>
      <c r="I59" s="33">
        <f t="shared" si="102"/>
        <v>96</v>
      </c>
      <c r="J59" s="33">
        <f t="shared" si="102"/>
        <v>96</v>
      </c>
      <c r="K59" s="33">
        <f t="shared" si="102"/>
        <v>96</v>
      </c>
      <c r="L59" s="33">
        <f t="shared" si="102"/>
        <v>96</v>
      </c>
      <c r="M59" s="33">
        <f t="shared" si="102"/>
        <v>96</v>
      </c>
      <c r="N59" s="33">
        <f t="shared" si="102"/>
        <v>96</v>
      </c>
      <c r="O59" s="33">
        <f t="shared" si="102"/>
        <v>96</v>
      </c>
      <c r="P59" s="33">
        <f t="shared" si="102"/>
        <v>96</v>
      </c>
      <c r="Q59" s="33">
        <f t="shared" si="102"/>
        <v>96</v>
      </c>
      <c r="R59" s="33">
        <f t="shared" si="102"/>
        <v>96</v>
      </c>
      <c r="S59" s="33">
        <f t="shared" si="102"/>
        <v>96</v>
      </c>
      <c r="T59" s="33">
        <f t="shared" si="102"/>
        <v>96</v>
      </c>
      <c r="U59" s="33">
        <f t="shared" si="102"/>
        <v>96</v>
      </c>
      <c r="V59" s="33">
        <f t="shared" si="102"/>
        <v>96</v>
      </c>
      <c r="W59" s="33">
        <f t="shared" si="102"/>
        <v>96</v>
      </c>
      <c r="X59" s="33">
        <f t="shared" si="102"/>
        <v>96</v>
      </c>
      <c r="Y59" s="33">
        <f t="shared" si="102"/>
        <v>96</v>
      </c>
      <c r="Z59" s="33">
        <f t="shared" si="102"/>
        <v>96</v>
      </c>
      <c r="AA59" s="33">
        <f t="shared" si="102"/>
        <v>96</v>
      </c>
      <c r="AB59" s="33">
        <f t="shared" si="102"/>
        <v>96</v>
      </c>
      <c r="AC59" s="33">
        <f t="shared" si="102"/>
        <v>96</v>
      </c>
      <c r="AD59" s="33">
        <f t="shared" si="102"/>
        <v>96</v>
      </c>
      <c r="AE59" s="33">
        <f t="shared" si="102"/>
        <v>96</v>
      </c>
      <c r="AF59" s="33">
        <f t="shared" si="102"/>
        <v>96</v>
      </c>
      <c r="AG59" s="33">
        <f t="shared" si="102"/>
        <v>96</v>
      </c>
      <c r="AH59" s="33">
        <f t="shared" si="102"/>
        <v>96</v>
      </c>
      <c r="AI59" s="33">
        <f t="shared" si="102"/>
        <v>96</v>
      </c>
      <c r="AJ59" s="33">
        <f t="shared" si="102"/>
        <v>96</v>
      </c>
      <c r="AK59" s="33">
        <f t="shared" si="102"/>
        <v>96</v>
      </c>
      <c r="AL59" s="33">
        <f t="shared" si="102"/>
        <v>96</v>
      </c>
      <c r="AM59" s="33">
        <f t="shared" si="102"/>
        <v>96</v>
      </c>
      <c r="AN59" s="33">
        <f t="shared" si="102"/>
        <v>96</v>
      </c>
      <c r="AO59" s="33">
        <f t="shared" si="102"/>
        <v>96</v>
      </c>
      <c r="AP59" s="33">
        <f t="shared" si="102"/>
        <v>96</v>
      </c>
      <c r="AQ59" s="33">
        <f t="shared" si="102"/>
        <v>96</v>
      </c>
      <c r="AR59" s="33">
        <f t="shared" si="102"/>
        <v>96</v>
      </c>
      <c r="AS59" s="33">
        <f t="shared" si="102"/>
        <v>96</v>
      </c>
      <c r="AT59" s="34" t="s">
        <v>28</v>
      </c>
    </row>
    <row r="60" spans="1:46" x14ac:dyDescent="0.35">
      <c r="A60" s="38" t="s">
        <v>50</v>
      </c>
      <c r="B60" s="35" t="s">
        <v>29</v>
      </c>
      <c r="C60" s="25" t="str">
        <f t="shared" ref="C60:C69" si="103">C59</f>
        <v>kgCO2/GJ</v>
      </c>
      <c r="D60" s="36">
        <f t="shared" ref="D60" si="104">D59</f>
        <v>96</v>
      </c>
      <c r="E60" s="36">
        <f t="shared" ref="E60" si="105">E59</f>
        <v>96</v>
      </c>
      <c r="F60" s="36">
        <f t="shared" ref="F60" si="106">F59</f>
        <v>96</v>
      </c>
      <c r="G60" s="36">
        <f t="shared" ref="G60" si="107">G59</f>
        <v>96</v>
      </c>
      <c r="H60" s="36">
        <f t="shared" ref="H60" si="108">H59</f>
        <v>96</v>
      </c>
      <c r="I60" s="36">
        <f t="shared" ref="I60" si="109">I59</f>
        <v>96</v>
      </c>
      <c r="J60" s="36">
        <f t="shared" ref="J60" si="110">J59</f>
        <v>96</v>
      </c>
      <c r="K60" s="36">
        <f t="shared" ref="K60" si="111">K59</f>
        <v>96</v>
      </c>
      <c r="L60" s="36">
        <f t="shared" ref="L60" si="112">L59</f>
        <v>96</v>
      </c>
      <c r="M60" s="36">
        <f t="shared" ref="M60" si="113">M59</f>
        <v>96</v>
      </c>
      <c r="N60" s="36">
        <f t="shared" ref="N60" si="114">N59</f>
        <v>96</v>
      </c>
      <c r="O60" s="36">
        <f t="shared" ref="O60" si="115">O59</f>
        <v>96</v>
      </c>
      <c r="P60" s="36">
        <f t="shared" ref="P60" si="116">P59</f>
        <v>96</v>
      </c>
      <c r="Q60" s="36">
        <f t="shared" ref="Q60" si="117">Q59</f>
        <v>96</v>
      </c>
      <c r="R60" s="36">
        <f t="shared" ref="R60" si="118">R59</f>
        <v>96</v>
      </c>
      <c r="S60" s="36">
        <f t="shared" ref="S60" si="119">S59</f>
        <v>96</v>
      </c>
      <c r="T60" s="36">
        <f t="shared" ref="T60" si="120">T59</f>
        <v>96</v>
      </c>
      <c r="U60" s="36">
        <f t="shared" ref="U60" si="121">U59</f>
        <v>96</v>
      </c>
      <c r="V60" s="36">
        <f t="shared" ref="V60" si="122">V59</f>
        <v>96</v>
      </c>
      <c r="W60" s="36">
        <f t="shared" ref="W60" si="123">W59</f>
        <v>96</v>
      </c>
      <c r="X60" s="36">
        <f t="shared" ref="X60" si="124">X59</f>
        <v>96</v>
      </c>
      <c r="Y60" s="36">
        <f t="shared" ref="Y60" si="125">Y59</f>
        <v>96</v>
      </c>
      <c r="Z60" s="36">
        <f t="shared" ref="Z60" si="126">Z59</f>
        <v>96</v>
      </c>
      <c r="AA60" s="36">
        <f t="shared" ref="AA60" si="127">AA59</f>
        <v>96</v>
      </c>
      <c r="AB60" s="36">
        <f t="shared" ref="AB60" si="128">AB59</f>
        <v>96</v>
      </c>
      <c r="AC60" s="36">
        <f t="shared" ref="AC60" si="129">AC59</f>
        <v>96</v>
      </c>
      <c r="AD60" s="36">
        <f t="shared" ref="AD60" si="130">AD59</f>
        <v>96</v>
      </c>
      <c r="AE60" s="36">
        <f t="shared" ref="AE60" si="131">AE59</f>
        <v>96</v>
      </c>
      <c r="AF60" s="36">
        <f t="shared" ref="AF60" si="132">AF59</f>
        <v>96</v>
      </c>
      <c r="AG60" s="36">
        <f t="shared" ref="AG60" si="133">AG59</f>
        <v>96</v>
      </c>
      <c r="AH60" s="36">
        <f t="shared" ref="AH60" si="134">AH59</f>
        <v>96</v>
      </c>
      <c r="AI60" s="36">
        <f t="shared" ref="AI60" si="135">AI59</f>
        <v>96</v>
      </c>
      <c r="AJ60" s="33">
        <f t="shared" ref="AJ60:AS60" si="136">AI60</f>
        <v>96</v>
      </c>
      <c r="AK60" s="33">
        <f t="shared" si="136"/>
        <v>96</v>
      </c>
      <c r="AL60" s="33">
        <f t="shared" si="136"/>
        <v>96</v>
      </c>
      <c r="AM60" s="33">
        <f t="shared" si="136"/>
        <v>96</v>
      </c>
      <c r="AN60" s="33">
        <f t="shared" si="136"/>
        <v>96</v>
      </c>
      <c r="AO60" s="33">
        <f t="shared" si="136"/>
        <v>96</v>
      </c>
      <c r="AP60" s="33">
        <f t="shared" si="136"/>
        <v>96</v>
      </c>
      <c r="AQ60" s="33">
        <f t="shared" si="136"/>
        <v>96</v>
      </c>
      <c r="AR60" s="33">
        <f t="shared" si="136"/>
        <v>96</v>
      </c>
      <c r="AS60" s="33">
        <f t="shared" si="136"/>
        <v>96</v>
      </c>
      <c r="AT60" s="35" t="s">
        <v>28</v>
      </c>
    </row>
    <row r="61" spans="1:46" x14ac:dyDescent="0.35">
      <c r="A61" s="38" t="s">
        <v>50</v>
      </c>
      <c r="B61" s="32" t="s">
        <v>30</v>
      </c>
      <c r="C61" s="24" t="str">
        <f t="shared" si="103"/>
        <v>kgCO2/GJ</v>
      </c>
      <c r="D61" s="41">
        <v>74</v>
      </c>
      <c r="E61" s="41">
        <v>74</v>
      </c>
      <c r="F61" s="41">
        <v>74</v>
      </c>
      <c r="G61" s="41">
        <v>74</v>
      </c>
      <c r="H61" s="41">
        <v>74</v>
      </c>
      <c r="I61" s="41">
        <v>74</v>
      </c>
      <c r="J61" s="41">
        <v>74</v>
      </c>
      <c r="K61" s="41">
        <v>74</v>
      </c>
      <c r="L61" s="41">
        <v>74</v>
      </c>
      <c r="M61" s="41">
        <v>74</v>
      </c>
      <c r="N61" s="41">
        <v>74</v>
      </c>
      <c r="O61" s="41">
        <v>74</v>
      </c>
      <c r="P61" s="41">
        <v>74</v>
      </c>
      <c r="Q61" s="41">
        <v>74</v>
      </c>
      <c r="R61" s="41">
        <v>74</v>
      </c>
      <c r="S61" s="41">
        <v>74</v>
      </c>
      <c r="T61" s="41">
        <v>74</v>
      </c>
      <c r="U61" s="41">
        <v>74</v>
      </c>
      <c r="V61" s="41">
        <v>74</v>
      </c>
      <c r="W61" s="41">
        <v>74</v>
      </c>
      <c r="X61" s="41">
        <v>74</v>
      </c>
      <c r="Y61" s="41">
        <v>74</v>
      </c>
      <c r="Z61" s="41">
        <v>74</v>
      </c>
      <c r="AA61" s="41">
        <v>74</v>
      </c>
      <c r="AB61" s="41">
        <v>74</v>
      </c>
      <c r="AC61" s="41">
        <v>74</v>
      </c>
      <c r="AD61" s="41">
        <v>74</v>
      </c>
      <c r="AE61" s="41">
        <v>74</v>
      </c>
      <c r="AF61" s="41">
        <v>74</v>
      </c>
      <c r="AG61" s="41">
        <v>74</v>
      </c>
      <c r="AH61" s="41">
        <v>74</v>
      </c>
      <c r="AI61" s="41">
        <v>74</v>
      </c>
      <c r="AJ61" s="41">
        <v>74</v>
      </c>
      <c r="AK61" s="41">
        <v>74</v>
      </c>
      <c r="AL61" s="41">
        <v>74</v>
      </c>
      <c r="AM61" s="41">
        <v>74</v>
      </c>
      <c r="AN61" s="41">
        <v>74</v>
      </c>
      <c r="AO61" s="41">
        <v>74</v>
      </c>
      <c r="AP61" s="41">
        <v>74</v>
      </c>
      <c r="AQ61" s="41">
        <v>74</v>
      </c>
      <c r="AR61" s="41">
        <v>74</v>
      </c>
      <c r="AS61" s="33">
        <f t="shared" ref="AS61" si="137">AR61</f>
        <v>74</v>
      </c>
      <c r="AT61" s="32" t="s">
        <v>31</v>
      </c>
    </row>
    <row r="62" spans="1:46" x14ac:dyDescent="0.35">
      <c r="A62" s="38" t="s">
        <v>50</v>
      </c>
      <c r="B62" s="35" t="s">
        <v>32</v>
      </c>
      <c r="C62" s="25" t="str">
        <f t="shared" si="103"/>
        <v>kgCO2/GJ</v>
      </c>
      <c r="D62" s="36">
        <v>74</v>
      </c>
      <c r="E62" s="36">
        <v>74</v>
      </c>
      <c r="F62" s="36">
        <v>74</v>
      </c>
      <c r="G62" s="36">
        <v>74</v>
      </c>
      <c r="H62" s="36">
        <v>74</v>
      </c>
      <c r="I62" s="36">
        <v>74</v>
      </c>
      <c r="J62" s="36">
        <v>74</v>
      </c>
      <c r="K62" s="36">
        <v>74</v>
      </c>
      <c r="L62" s="36">
        <v>74</v>
      </c>
      <c r="M62" s="36">
        <v>74</v>
      </c>
      <c r="N62" s="36">
        <v>74</v>
      </c>
      <c r="O62" s="36">
        <v>74</v>
      </c>
      <c r="P62" s="36">
        <v>74</v>
      </c>
      <c r="Q62" s="36">
        <v>74</v>
      </c>
      <c r="R62" s="36">
        <v>74</v>
      </c>
      <c r="S62" s="36">
        <v>74</v>
      </c>
      <c r="T62" s="36">
        <v>74</v>
      </c>
      <c r="U62" s="36">
        <v>74</v>
      </c>
      <c r="V62" s="36">
        <v>74</v>
      </c>
      <c r="W62" s="36">
        <v>74</v>
      </c>
      <c r="X62" s="36">
        <v>74</v>
      </c>
      <c r="Y62" s="36">
        <v>74</v>
      </c>
      <c r="Z62" s="36">
        <v>74</v>
      </c>
      <c r="AA62" s="36">
        <v>74</v>
      </c>
      <c r="AB62" s="36">
        <v>74</v>
      </c>
      <c r="AC62" s="36">
        <v>74</v>
      </c>
      <c r="AD62" s="36">
        <v>74</v>
      </c>
      <c r="AE62" s="36">
        <v>74</v>
      </c>
      <c r="AF62" s="36">
        <v>74</v>
      </c>
      <c r="AG62" s="36">
        <v>74</v>
      </c>
      <c r="AH62" s="36">
        <v>74</v>
      </c>
      <c r="AI62" s="36">
        <v>74</v>
      </c>
      <c r="AJ62" s="36">
        <v>74</v>
      </c>
      <c r="AK62" s="36">
        <v>74</v>
      </c>
      <c r="AL62" s="36">
        <v>74</v>
      </c>
      <c r="AM62" s="36">
        <v>74</v>
      </c>
      <c r="AN62" s="36">
        <v>74</v>
      </c>
      <c r="AO62" s="36">
        <v>74</v>
      </c>
      <c r="AP62" s="36">
        <v>74</v>
      </c>
      <c r="AQ62" s="36">
        <v>74</v>
      </c>
      <c r="AR62" s="36">
        <v>74</v>
      </c>
      <c r="AS62" s="33">
        <f t="shared" ref="AS62" si="138">AR62</f>
        <v>74</v>
      </c>
      <c r="AT62" s="35" t="s">
        <v>31</v>
      </c>
    </row>
    <row r="63" spans="1:46" x14ac:dyDescent="0.35">
      <c r="A63" s="38" t="s">
        <v>50</v>
      </c>
      <c r="B63" s="32" t="s">
        <v>33</v>
      </c>
      <c r="C63" s="24" t="str">
        <f t="shared" si="103"/>
        <v>kgCO2/GJ</v>
      </c>
      <c r="D63" s="41">
        <v>74</v>
      </c>
      <c r="E63" s="41">
        <v>74</v>
      </c>
      <c r="F63" s="41">
        <v>74</v>
      </c>
      <c r="G63" s="41">
        <v>74</v>
      </c>
      <c r="H63" s="41">
        <v>74</v>
      </c>
      <c r="I63" s="41">
        <v>74</v>
      </c>
      <c r="J63" s="41">
        <v>74</v>
      </c>
      <c r="K63" s="41">
        <v>74</v>
      </c>
      <c r="L63" s="41">
        <v>74</v>
      </c>
      <c r="M63" s="41">
        <v>74</v>
      </c>
      <c r="N63" s="41">
        <v>74</v>
      </c>
      <c r="O63" s="41">
        <v>74</v>
      </c>
      <c r="P63" s="41">
        <v>74</v>
      </c>
      <c r="Q63" s="41">
        <v>74</v>
      </c>
      <c r="R63" s="41">
        <v>74</v>
      </c>
      <c r="S63" s="41">
        <v>74</v>
      </c>
      <c r="T63" s="41">
        <v>74</v>
      </c>
      <c r="U63" s="41">
        <v>74</v>
      </c>
      <c r="V63" s="41">
        <v>74</v>
      </c>
      <c r="W63" s="41">
        <v>74</v>
      </c>
      <c r="X63" s="41">
        <v>74</v>
      </c>
      <c r="Y63" s="41">
        <v>74</v>
      </c>
      <c r="Z63" s="41">
        <v>74</v>
      </c>
      <c r="AA63" s="41">
        <v>74</v>
      </c>
      <c r="AB63" s="41">
        <v>74</v>
      </c>
      <c r="AC63" s="41">
        <v>74</v>
      </c>
      <c r="AD63" s="41">
        <v>74</v>
      </c>
      <c r="AE63" s="41">
        <v>74</v>
      </c>
      <c r="AF63" s="41">
        <v>74</v>
      </c>
      <c r="AG63" s="41">
        <v>74</v>
      </c>
      <c r="AH63" s="41">
        <v>74</v>
      </c>
      <c r="AI63" s="41">
        <v>74</v>
      </c>
      <c r="AJ63" s="33">
        <f t="shared" ref="AJ63:AS63" si="139">AI63</f>
        <v>74</v>
      </c>
      <c r="AK63" s="33">
        <f t="shared" si="139"/>
        <v>74</v>
      </c>
      <c r="AL63" s="33">
        <f t="shared" si="139"/>
        <v>74</v>
      </c>
      <c r="AM63" s="33">
        <f t="shared" si="139"/>
        <v>74</v>
      </c>
      <c r="AN63" s="33">
        <f t="shared" si="139"/>
        <v>74</v>
      </c>
      <c r="AO63" s="33">
        <f t="shared" si="139"/>
        <v>74</v>
      </c>
      <c r="AP63" s="33">
        <f t="shared" si="139"/>
        <v>74</v>
      </c>
      <c r="AQ63" s="33">
        <f t="shared" si="139"/>
        <v>74</v>
      </c>
      <c r="AR63" s="33">
        <f t="shared" si="139"/>
        <v>74</v>
      </c>
      <c r="AS63" s="33">
        <f t="shared" si="139"/>
        <v>74</v>
      </c>
      <c r="AT63" s="32"/>
    </row>
    <row r="64" spans="1:46" x14ac:dyDescent="0.35">
      <c r="A64" s="38" t="s">
        <v>50</v>
      </c>
      <c r="B64" s="35" t="s">
        <v>34</v>
      </c>
      <c r="C64" s="25" t="str">
        <f t="shared" si="103"/>
        <v>kgCO2/GJ</v>
      </c>
      <c r="D64" s="36">
        <v>56.16</v>
      </c>
      <c r="E64" s="36">
        <v>56.16</v>
      </c>
      <c r="F64" s="36">
        <v>56.16</v>
      </c>
      <c r="G64" s="36">
        <v>56.16</v>
      </c>
      <c r="H64" s="36">
        <v>56.16</v>
      </c>
      <c r="I64" s="36">
        <v>56.16</v>
      </c>
      <c r="J64" s="36">
        <v>56.16</v>
      </c>
      <c r="K64" s="36">
        <v>56.16</v>
      </c>
      <c r="L64" s="36">
        <v>56.16</v>
      </c>
      <c r="M64" s="36">
        <v>56.16</v>
      </c>
      <c r="N64" s="36">
        <v>56.16</v>
      </c>
      <c r="O64" s="36">
        <v>56.16</v>
      </c>
      <c r="P64" s="36">
        <v>56.16</v>
      </c>
      <c r="Q64" s="36">
        <v>56.16</v>
      </c>
      <c r="R64" s="36">
        <v>56.16</v>
      </c>
      <c r="S64" s="36">
        <v>56.16</v>
      </c>
      <c r="T64" s="36">
        <v>56.16</v>
      </c>
      <c r="U64" s="36">
        <v>56.16</v>
      </c>
      <c r="V64" s="36">
        <v>56.16</v>
      </c>
      <c r="W64" s="36">
        <v>56.16</v>
      </c>
      <c r="X64" s="36">
        <v>56.16</v>
      </c>
      <c r="Y64" s="36">
        <v>56.16</v>
      </c>
      <c r="Z64" s="36">
        <v>56.16</v>
      </c>
      <c r="AA64" s="36">
        <v>56.16</v>
      </c>
      <c r="AB64" s="36">
        <v>56.16</v>
      </c>
      <c r="AC64" s="36">
        <v>56.16</v>
      </c>
      <c r="AD64" s="36">
        <v>56.16</v>
      </c>
      <c r="AE64" s="36">
        <v>56.16</v>
      </c>
      <c r="AF64" s="36">
        <v>56.16</v>
      </c>
      <c r="AG64" s="36">
        <v>56.16</v>
      </c>
      <c r="AH64" s="36">
        <v>56.16</v>
      </c>
      <c r="AI64" s="36">
        <v>56.16</v>
      </c>
      <c r="AJ64" s="36">
        <v>56.16</v>
      </c>
      <c r="AK64" s="36">
        <v>56.16</v>
      </c>
      <c r="AL64" s="36">
        <v>56.16</v>
      </c>
      <c r="AM64" s="36">
        <v>56.16</v>
      </c>
      <c r="AN64" s="36">
        <v>56.16</v>
      </c>
      <c r="AO64" s="36">
        <v>56.16</v>
      </c>
      <c r="AP64" s="36">
        <v>56.16</v>
      </c>
      <c r="AQ64" s="36">
        <v>56.16</v>
      </c>
      <c r="AR64" s="36">
        <v>56.16</v>
      </c>
      <c r="AS64" s="36">
        <v>56.16</v>
      </c>
      <c r="AT64" s="35"/>
    </row>
    <row r="65" spans="1:46" x14ac:dyDescent="0.35">
      <c r="A65" s="38" t="s">
        <v>50</v>
      </c>
      <c r="B65" s="32" t="s">
        <v>35</v>
      </c>
      <c r="C65" s="24" t="str">
        <f t="shared" si="103"/>
        <v>kgCO2/GJ</v>
      </c>
      <c r="D65" s="41">
        <v>56.16</v>
      </c>
      <c r="E65" s="41">
        <v>56.16</v>
      </c>
      <c r="F65" s="41">
        <v>56.16</v>
      </c>
      <c r="G65" s="41">
        <v>56.16</v>
      </c>
      <c r="H65" s="41">
        <v>56.16</v>
      </c>
      <c r="I65" s="41">
        <v>56.16</v>
      </c>
      <c r="J65" s="41">
        <v>56.16</v>
      </c>
      <c r="K65" s="41">
        <v>56.16</v>
      </c>
      <c r="L65" s="41">
        <v>56.16</v>
      </c>
      <c r="M65" s="41">
        <v>56.16</v>
      </c>
      <c r="N65" s="41">
        <v>56.16</v>
      </c>
      <c r="O65" s="41">
        <v>56.16</v>
      </c>
      <c r="P65" s="41">
        <v>56.16</v>
      </c>
      <c r="Q65" s="41">
        <v>56.16</v>
      </c>
      <c r="R65" s="41">
        <v>56.16</v>
      </c>
      <c r="S65" s="41">
        <v>56.16</v>
      </c>
      <c r="T65" s="41">
        <v>56.16</v>
      </c>
      <c r="U65" s="41">
        <v>56.16</v>
      </c>
      <c r="V65" s="41">
        <v>56.16</v>
      </c>
      <c r="W65" s="41">
        <v>56.16</v>
      </c>
      <c r="X65" s="41">
        <v>56.16</v>
      </c>
      <c r="Y65" s="41">
        <v>74</v>
      </c>
      <c r="Z65" s="41">
        <v>74</v>
      </c>
      <c r="AA65" s="41">
        <v>74</v>
      </c>
      <c r="AB65" s="41">
        <v>74</v>
      </c>
      <c r="AC65" s="41">
        <v>74</v>
      </c>
      <c r="AD65" s="41">
        <v>74</v>
      </c>
      <c r="AE65" s="41">
        <v>74</v>
      </c>
      <c r="AF65" s="41">
        <v>74</v>
      </c>
      <c r="AG65" s="41">
        <v>74</v>
      </c>
      <c r="AH65" s="41">
        <v>74</v>
      </c>
      <c r="AI65" s="41">
        <v>74</v>
      </c>
      <c r="AJ65" s="33">
        <f t="shared" ref="AJ65:AS65" si="140">AI65</f>
        <v>74</v>
      </c>
      <c r="AK65" s="33">
        <f t="shared" si="140"/>
        <v>74</v>
      </c>
      <c r="AL65" s="33">
        <f t="shared" si="140"/>
        <v>74</v>
      </c>
      <c r="AM65" s="33">
        <f t="shared" si="140"/>
        <v>74</v>
      </c>
      <c r="AN65" s="33">
        <f t="shared" si="140"/>
        <v>74</v>
      </c>
      <c r="AO65" s="33">
        <f t="shared" si="140"/>
        <v>74</v>
      </c>
      <c r="AP65" s="33">
        <f t="shared" si="140"/>
        <v>74</v>
      </c>
      <c r="AQ65" s="33">
        <f t="shared" si="140"/>
        <v>74</v>
      </c>
      <c r="AR65" s="33">
        <f t="shared" si="140"/>
        <v>74</v>
      </c>
      <c r="AS65" s="33">
        <f t="shared" si="140"/>
        <v>74</v>
      </c>
      <c r="AT65" s="32" t="s">
        <v>36</v>
      </c>
    </row>
    <row r="66" spans="1:46" x14ac:dyDescent="0.35">
      <c r="A66" s="38" t="s">
        <v>50</v>
      </c>
      <c r="B66" s="35" t="s">
        <v>37</v>
      </c>
      <c r="C66" s="25" t="str">
        <f t="shared" si="103"/>
        <v>kgCO2/GJ</v>
      </c>
      <c r="D66" s="36">
        <v>56.16</v>
      </c>
      <c r="E66" s="36">
        <v>56.16</v>
      </c>
      <c r="F66" s="36">
        <v>56.16</v>
      </c>
      <c r="G66" s="36">
        <v>56.16</v>
      </c>
      <c r="H66" s="36">
        <v>56.16</v>
      </c>
      <c r="I66" s="36">
        <v>56.16</v>
      </c>
      <c r="J66" s="36">
        <v>56.16</v>
      </c>
      <c r="K66" s="36">
        <v>56.16</v>
      </c>
      <c r="L66" s="36">
        <v>56.16</v>
      </c>
      <c r="M66" s="36">
        <v>56.16</v>
      </c>
      <c r="N66" s="36">
        <v>56.16</v>
      </c>
      <c r="O66" s="36">
        <v>56.16</v>
      </c>
      <c r="P66" s="36">
        <v>56.16</v>
      </c>
      <c r="Q66" s="36">
        <v>56.16</v>
      </c>
      <c r="R66" s="36">
        <v>56.16</v>
      </c>
      <c r="S66" s="36">
        <v>56.16</v>
      </c>
      <c r="T66" s="36">
        <v>56.16</v>
      </c>
      <c r="U66" s="36">
        <v>56.16</v>
      </c>
      <c r="V66" s="36">
        <v>56.16</v>
      </c>
      <c r="W66" s="36">
        <v>56.16</v>
      </c>
      <c r="X66" s="36">
        <v>56.16</v>
      </c>
      <c r="Y66" s="36">
        <v>56.16</v>
      </c>
      <c r="Z66" s="36">
        <v>56.16</v>
      </c>
      <c r="AA66" s="36">
        <v>56.16</v>
      </c>
      <c r="AB66" s="36">
        <v>56.16</v>
      </c>
      <c r="AC66" s="36">
        <v>56.16</v>
      </c>
      <c r="AD66" s="41">
        <v>74</v>
      </c>
      <c r="AE66" s="41">
        <v>74</v>
      </c>
      <c r="AF66" s="41">
        <v>74</v>
      </c>
      <c r="AG66" s="41">
        <v>74</v>
      </c>
      <c r="AH66" s="41">
        <v>74</v>
      </c>
      <c r="AI66" s="41">
        <v>74</v>
      </c>
      <c r="AJ66" s="33">
        <f t="shared" ref="AJ66:AS66" si="141">AI66</f>
        <v>74</v>
      </c>
      <c r="AK66" s="33">
        <f t="shared" si="141"/>
        <v>74</v>
      </c>
      <c r="AL66" s="33">
        <f t="shared" si="141"/>
        <v>74</v>
      </c>
      <c r="AM66" s="33">
        <f t="shared" si="141"/>
        <v>74</v>
      </c>
      <c r="AN66" s="33">
        <f t="shared" si="141"/>
        <v>74</v>
      </c>
      <c r="AO66" s="33">
        <f t="shared" si="141"/>
        <v>74</v>
      </c>
      <c r="AP66" s="33">
        <f t="shared" si="141"/>
        <v>74</v>
      </c>
      <c r="AQ66" s="33">
        <f t="shared" si="141"/>
        <v>74</v>
      </c>
      <c r="AR66" s="33">
        <f t="shared" si="141"/>
        <v>74</v>
      </c>
      <c r="AS66" s="33">
        <f t="shared" si="141"/>
        <v>74</v>
      </c>
      <c r="AT66" s="35" t="s">
        <v>36</v>
      </c>
    </row>
    <row r="67" spans="1:46" x14ac:dyDescent="0.35">
      <c r="A67" s="38" t="s">
        <v>50</v>
      </c>
      <c r="B67" s="32" t="s">
        <v>38</v>
      </c>
      <c r="C67" s="24" t="str">
        <f t="shared" si="103"/>
        <v>kgCO2/GJ</v>
      </c>
      <c r="D67" s="41">
        <v>56.16</v>
      </c>
      <c r="E67" s="41">
        <v>56.16</v>
      </c>
      <c r="F67" s="41">
        <v>56.16</v>
      </c>
      <c r="G67" s="41">
        <v>56.16</v>
      </c>
      <c r="H67" s="41">
        <v>56.16</v>
      </c>
      <c r="I67" s="41">
        <v>56.16</v>
      </c>
      <c r="J67" s="41">
        <v>56.16</v>
      </c>
      <c r="K67" s="41">
        <v>56.16</v>
      </c>
      <c r="L67" s="41">
        <v>56.16</v>
      </c>
      <c r="M67" s="41">
        <v>56.16</v>
      </c>
      <c r="N67" s="41">
        <v>56.16</v>
      </c>
      <c r="O67" s="41">
        <v>56.16</v>
      </c>
      <c r="P67" s="41">
        <v>56.16</v>
      </c>
      <c r="Q67" s="41">
        <v>56.16</v>
      </c>
      <c r="R67" s="41">
        <v>56.16</v>
      </c>
      <c r="S67" s="41">
        <v>56.16</v>
      </c>
      <c r="T67" s="41">
        <v>56.16</v>
      </c>
      <c r="U67" s="41">
        <v>56.16</v>
      </c>
      <c r="V67" s="41">
        <v>56.16</v>
      </c>
      <c r="W67" s="41">
        <v>56.16</v>
      </c>
      <c r="X67" s="41">
        <v>56.16</v>
      </c>
      <c r="Y67" s="41">
        <v>56.16</v>
      </c>
      <c r="Z67" s="41">
        <v>56.16</v>
      </c>
      <c r="AA67" s="41">
        <v>56.16</v>
      </c>
      <c r="AB67" s="41">
        <v>56.16</v>
      </c>
      <c r="AC67" s="41">
        <v>56.16</v>
      </c>
      <c r="AD67" s="41">
        <v>56.16</v>
      </c>
      <c r="AE67" s="41">
        <v>56.16</v>
      </c>
      <c r="AF67" s="41">
        <v>56.16</v>
      </c>
      <c r="AG67" s="41">
        <v>56.16</v>
      </c>
      <c r="AH67" s="41">
        <v>56.16</v>
      </c>
      <c r="AI67" s="41">
        <v>74</v>
      </c>
      <c r="AJ67" s="33">
        <f t="shared" ref="AJ67:AS67" si="142">AI67</f>
        <v>74</v>
      </c>
      <c r="AK67" s="33">
        <f t="shared" si="142"/>
        <v>74</v>
      </c>
      <c r="AL67" s="33">
        <f t="shared" si="142"/>
        <v>74</v>
      </c>
      <c r="AM67" s="33">
        <f t="shared" si="142"/>
        <v>74</v>
      </c>
      <c r="AN67" s="33">
        <f t="shared" si="142"/>
        <v>74</v>
      </c>
      <c r="AO67" s="33">
        <f t="shared" si="142"/>
        <v>74</v>
      </c>
      <c r="AP67" s="33">
        <f t="shared" si="142"/>
        <v>74</v>
      </c>
      <c r="AQ67" s="33">
        <f t="shared" si="142"/>
        <v>74</v>
      </c>
      <c r="AR67" s="33">
        <f t="shared" si="142"/>
        <v>74</v>
      </c>
      <c r="AS67" s="33">
        <f t="shared" si="142"/>
        <v>74</v>
      </c>
      <c r="AT67" s="32" t="s">
        <v>36</v>
      </c>
    </row>
    <row r="68" spans="1:46" x14ac:dyDescent="0.35">
      <c r="A68" s="38" t="s">
        <v>50</v>
      </c>
      <c r="B68" s="35" t="s">
        <v>39</v>
      </c>
      <c r="C68" s="25" t="str">
        <f t="shared" si="103"/>
        <v>kgCO2/GJ</v>
      </c>
      <c r="D68" s="36">
        <v>56.16</v>
      </c>
      <c r="E68" s="36">
        <v>56.16</v>
      </c>
      <c r="F68" s="36">
        <v>56.16</v>
      </c>
      <c r="G68" s="36">
        <v>56.16</v>
      </c>
      <c r="H68" s="36">
        <v>56.16</v>
      </c>
      <c r="I68" s="36">
        <v>56.16</v>
      </c>
      <c r="J68" s="36">
        <v>56.16</v>
      </c>
      <c r="K68" s="36">
        <v>56.16</v>
      </c>
      <c r="L68" s="36">
        <v>56.16</v>
      </c>
      <c r="M68" s="36">
        <v>56.16</v>
      </c>
      <c r="N68" s="36">
        <v>56.16</v>
      </c>
      <c r="O68" s="36">
        <v>56.16</v>
      </c>
      <c r="P68" s="36">
        <v>56.16</v>
      </c>
      <c r="Q68" s="36">
        <v>56.16</v>
      </c>
      <c r="R68" s="36">
        <v>56.16</v>
      </c>
      <c r="S68" s="36">
        <v>56.16</v>
      </c>
      <c r="T68" s="36">
        <v>56.16</v>
      </c>
      <c r="U68" s="36">
        <v>56.16</v>
      </c>
      <c r="V68" s="36">
        <v>56.16</v>
      </c>
      <c r="W68" s="36">
        <v>56.16</v>
      </c>
      <c r="X68" s="36">
        <v>56.16</v>
      </c>
      <c r="Y68" s="36">
        <v>56.16</v>
      </c>
      <c r="Z68" s="36">
        <v>56.16</v>
      </c>
      <c r="AA68" s="36">
        <v>56.16</v>
      </c>
      <c r="AB68" s="36">
        <v>56.16</v>
      </c>
      <c r="AC68" s="36">
        <v>56.16</v>
      </c>
      <c r="AD68" s="36">
        <v>56.16</v>
      </c>
      <c r="AE68" s="36">
        <v>56.16</v>
      </c>
      <c r="AF68" s="36">
        <v>56.16</v>
      </c>
      <c r="AG68" s="36">
        <v>56.16</v>
      </c>
      <c r="AH68" s="36">
        <v>56.16</v>
      </c>
      <c r="AI68" s="36">
        <v>56.16</v>
      </c>
      <c r="AJ68" s="36">
        <v>56.16</v>
      </c>
      <c r="AK68" s="36">
        <v>56.16</v>
      </c>
      <c r="AL68" s="36">
        <v>56.16</v>
      </c>
      <c r="AM68" s="36">
        <v>56.16</v>
      </c>
      <c r="AN68" s="33">
        <f>AN67</f>
        <v>74</v>
      </c>
      <c r="AO68" s="33">
        <f t="shared" ref="AO68:AS68" si="143">AN68</f>
        <v>74</v>
      </c>
      <c r="AP68" s="33">
        <f t="shared" si="143"/>
        <v>74</v>
      </c>
      <c r="AQ68" s="33">
        <f t="shared" si="143"/>
        <v>74</v>
      </c>
      <c r="AR68" s="33">
        <f t="shared" si="143"/>
        <v>74</v>
      </c>
      <c r="AS68" s="33">
        <f t="shared" si="143"/>
        <v>74</v>
      </c>
      <c r="AT68" s="35" t="s">
        <v>36</v>
      </c>
    </row>
    <row r="69" spans="1:46" x14ac:dyDescent="0.35">
      <c r="A69" s="38" t="s">
        <v>50</v>
      </c>
      <c r="B69" s="32" t="s">
        <v>40</v>
      </c>
      <c r="C69" s="24" t="str">
        <f t="shared" si="103"/>
        <v>kgCO2/GJ</v>
      </c>
      <c r="D69" s="41">
        <v>56.16</v>
      </c>
      <c r="E69" s="41">
        <v>56.16</v>
      </c>
      <c r="F69" s="41">
        <v>56.16</v>
      </c>
      <c r="G69" s="41">
        <v>56.16</v>
      </c>
      <c r="H69" s="41">
        <v>56.16</v>
      </c>
      <c r="I69" s="41">
        <v>56.16</v>
      </c>
      <c r="J69" s="41">
        <v>56.16</v>
      </c>
      <c r="K69" s="41">
        <v>56.16</v>
      </c>
      <c r="L69" s="41">
        <v>56.16</v>
      </c>
      <c r="M69" s="41">
        <v>56.16</v>
      </c>
      <c r="N69" s="41">
        <v>56.16</v>
      </c>
      <c r="O69" s="41">
        <v>56.16</v>
      </c>
      <c r="P69" s="41">
        <v>56.16</v>
      </c>
      <c r="Q69" s="41">
        <v>56.16</v>
      </c>
      <c r="R69" s="41">
        <v>56.16</v>
      </c>
      <c r="S69" s="41">
        <v>56.16</v>
      </c>
      <c r="T69" s="41">
        <v>56.16</v>
      </c>
      <c r="U69" s="41">
        <v>56.16</v>
      </c>
      <c r="V69" s="41">
        <v>56.16</v>
      </c>
      <c r="W69" s="41">
        <v>56.16</v>
      </c>
      <c r="X69" s="41">
        <v>56.16</v>
      </c>
      <c r="Y69" s="41">
        <v>56.16</v>
      </c>
      <c r="Z69" s="41">
        <v>56.16</v>
      </c>
      <c r="AA69" s="41">
        <v>56.16</v>
      </c>
      <c r="AB69" s="41">
        <v>56.16</v>
      </c>
      <c r="AC69" s="41">
        <v>56.16</v>
      </c>
      <c r="AD69" s="41">
        <v>56.16</v>
      </c>
      <c r="AE69" s="41">
        <v>56.16</v>
      </c>
      <c r="AF69" s="41">
        <v>56.16</v>
      </c>
      <c r="AG69" s="41">
        <v>56.16</v>
      </c>
      <c r="AH69" s="41">
        <v>56.16</v>
      </c>
      <c r="AI69" s="41">
        <v>56.16</v>
      </c>
      <c r="AJ69" s="41">
        <v>56.16</v>
      </c>
      <c r="AK69" s="41">
        <v>56.16</v>
      </c>
      <c r="AL69" s="41">
        <v>56.16</v>
      </c>
      <c r="AM69" s="41">
        <v>56.16</v>
      </c>
      <c r="AN69" s="41">
        <v>56.16</v>
      </c>
      <c r="AO69" s="41">
        <v>56.16</v>
      </c>
      <c r="AP69" s="41">
        <v>56.16</v>
      </c>
      <c r="AQ69" s="41">
        <v>56.16</v>
      </c>
      <c r="AR69" s="41">
        <v>56.16</v>
      </c>
      <c r="AS69" s="33">
        <f>AS68</f>
        <v>74</v>
      </c>
      <c r="AT69" s="32" t="s">
        <v>36</v>
      </c>
    </row>
    <row r="70" spans="1:46" x14ac:dyDescent="0.35">
      <c r="A70" s="38" t="s">
        <v>50</v>
      </c>
      <c r="B70" s="35" t="s">
        <v>41</v>
      </c>
      <c r="C70" s="25" t="str">
        <f>C67</f>
        <v>kgCO2/GJ</v>
      </c>
      <c r="D70" s="36">
        <v>56.16</v>
      </c>
      <c r="E70" s="36">
        <v>56.16</v>
      </c>
      <c r="F70" s="36">
        <v>56.16</v>
      </c>
      <c r="G70" s="36">
        <v>56.16</v>
      </c>
      <c r="H70" s="36">
        <v>56.16</v>
      </c>
      <c r="I70" s="36">
        <v>56.16</v>
      </c>
      <c r="J70" s="36">
        <v>56.16</v>
      </c>
      <c r="K70" s="36">
        <v>56.16</v>
      </c>
      <c r="L70" s="36">
        <v>56.16</v>
      </c>
      <c r="M70" s="36">
        <v>56.16</v>
      </c>
      <c r="N70" s="36">
        <v>56.16</v>
      </c>
      <c r="O70" s="36">
        <v>56.16</v>
      </c>
      <c r="P70" s="36">
        <v>56.16</v>
      </c>
      <c r="Q70" s="36">
        <v>56.16</v>
      </c>
      <c r="R70" s="36">
        <v>56.16</v>
      </c>
      <c r="S70" s="36">
        <v>56.16</v>
      </c>
      <c r="T70" s="36">
        <v>56.16</v>
      </c>
      <c r="U70" s="36">
        <v>56.16</v>
      </c>
      <c r="V70" s="36">
        <v>56.16</v>
      </c>
      <c r="W70" s="36">
        <v>56.16</v>
      </c>
      <c r="X70" s="36">
        <v>56.16</v>
      </c>
      <c r="Y70" s="36">
        <f t="shared" ref="Y70:AS70" si="144">X70</f>
        <v>56.16</v>
      </c>
      <c r="Z70" s="36">
        <f t="shared" si="144"/>
        <v>56.16</v>
      </c>
      <c r="AA70" s="36">
        <f t="shared" si="144"/>
        <v>56.16</v>
      </c>
      <c r="AB70" s="36">
        <f t="shared" si="144"/>
        <v>56.16</v>
      </c>
      <c r="AC70" s="36">
        <f t="shared" si="144"/>
        <v>56.16</v>
      </c>
      <c r="AD70" s="36">
        <f t="shared" si="144"/>
        <v>56.16</v>
      </c>
      <c r="AE70" s="36">
        <f t="shared" si="144"/>
        <v>56.16</v>
      </c>
      <c r="AF70" s="36">
        <f t="shared" si="144"/>
        <v>56.16</v>
      </c>
      <c r="AG70" s="36">
        <f t="shared" si="144"/>
        <v>56.16</v>
      </c>
      <c r="AH70" s="36">
        <f t="shared" si="144"/>
        <v>56.16</v>
      </c>
      <c r="AI70" s="36">
        <f t="shared" si="144"/>
        <v>56.16</v>
      </c>
      <c r="AJ70" s="33">
        <f t="shared" si="144"/>
        <v>56.16</v>
      </c>
      <c r="AK70" s="33">
        <f t="shared" si="144"/>
        <v>56.16</v>
      </c>
      <c r="AL70" s="33">
        <f t="shared" si="144"/>
        <v>56.16</v>
      </c>
      <c r="AM70" s="33">
        <f t="shared" si="144"/>
        <v>56.16</v>
      </c>
      <c r="AN70" s="33">
        <f t="shared" si="144"/>
        <v>56.16</v>
      </c>
      <c r="AO70" s="33">
        <f t="shared" si="144"/>
        <v>56.16</v>
      </c>
      <c r="AP70" s="33">
        <f t="shared" si="144"/>
        <v>56.16</v>
      </c>
      <c r="AQ70" s="33">
        <f t="shared" si="144"/>
        <v>56.16</v>
      </c>
      <c r="AR70" s="33">
        <f t="shared" si="144"/>
        <v>56.16</v>
      </c>
      <c r="AS70" s="33">
        <f t="shared" si="144"/>
        <v>56.16</v>
      </c>
      <c r="AT70" s="35"/>
    </row>
    <row r="71" spans="1:46" x14ac:dyDescent="0.35">
      <c r="A71" s="38" t="s">
        <v>50</v>
      </c>
      <c r="B71" s="32" t="s">
        <v>42</v>
      </c>
      <c r="C71" s="24" t="str">
        <f t="shared" ref="C71:C77" si="145">C70</f>
        <v>kgCO2/GJ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0</v>
      </c>
      <c r="L71" s="41">
        <v>0</v>
      </c>
      <c r="M71" s="41">
        <v>0</v>
      </c>
      <c r="N71" s="41">
        <v>0</v>
      </c>
      <c r="O71" s="41">
        <v>0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0</v>
      </c>
      <c r="AB71" s="41">
        <v>0</v>
      </c>
      <c r="AC71" s="41">
        <v>0</v>
      </c>
      <c r="AD71" s="41">
        <v>0</v>
      </c>
      <c r="AE71" s="41">
        <v>0</v>
      </c>
      <c r="AF71" s="41">
        <v>0</v>
      </c>
      <c r="AG71" s="41">
        <v>0</v>
      </c>
      <c r="AH71" s="41">
        <v>0</v>
      </c>
      <c r="AI71" s="41">
        <v>0</v>
      </c>
      <c r="AJ71" s="33">
        <f t="shared" ref="AJ71:AS71" si="146">AI71</f>
        <v>0</v>
      </c>
      <c r="AK71" s="33">
        <f t="shared" si="146"/>
        <v>0</v>
      </c>
      <c r="AL71" s="33">
        <f t="shared" si="146"/>
        <v>0</v>
      </c>
      <c r="AM71" s="33">
        <f t="shared" si="146"/>
        <v>0</v>
      </c>
      <c r="AN71" s="33">
        <f t="shared" si="146"/>
        <v>0</v>
      </c>
      <c r="AO71" s="33">
        <f t="shared" si="146"/>
        <v>0</v>
      </c>
      <c r="AP71" s="33">
        <f t="shared" si="146"/>
        <v>0</v>
      </c>
      <c r="AQ71" s="33">
        <f t="shared" si="146"/>
        <v>0</v>
      </c>
      <c r="AR71" s="33">
        <f t="shared" si="146"/>
        <v>0</v>
      </c>
      <c r="AS71" s="33">
        <f t="shared" si="146"/>
        <v>0</v>
      </c>
    </row>
    <row r="72" spans="1:46" x14ac:dyDescent="0.35">
      <c r="A72" s="38" t="s">
        <v>50</v>
      </c>
      <c r="B72" s="35" t="s">
        <v>43</v>
      </c>
      <c r="C72" s="25" t="str">
        <f t="shared" si="145"/>
        <v>kgCO2/GJ</v>
      </c>
      <c r="D72" s="36">
        <v>0</v>
      </c>
      <c r="E72" s="36">
        <v>0</v>
      </c>
      <c r="F72" s="36">
        <v>0</v>
      </c>
      <c r="G72" s="36">
        <v>0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6">
        <v>0</v>
      </c>
      <c r="R72" s="36">
        <v>0</v>
      </c>
      <c r="S72" s="36">
        <v>0</v>
      </c>
      <c r="T72" s="36">
        <v>0</v>
      </c>
      <c r="U72" s="36">
        <v>0</v>
      </c>
      <c r="V72" s="36">
        <v>0</v>
      </c>
      <c r="W72" s="36">
        <v>0</v>
      </c>
      <c r="X72" s="36">
        <v>0</v>
      </c>
      <c r="Y72" s="36">
        <v>0</v>
      </c>
      <c r="Z72" s="36">
        <v>0</v>
      </c>
      <c r="AA72" s="36">
        <v>0</v>
      </c>
      <c r="AB72" s="36">
        <v>0</v>
      </c>
      <c r="AC72" s="36">
        <v>0</v>
      </c>
      <c r="AD72" s="36">
        <v>0</v>
      </c>
      <c r="AE72" s="36">
        <v>0</v>
      </c>
      <c r="AF72" s="36">
        <v>0</v>
      </c>
      <c r="AG72" s="36">
        <v>0</v>
      </c>
      <c r="AH72" s="36">
        <v>0</v>
      </c>
      <c r="AI72" s="36">
        <v>0</v>
      </c>
      <c r="AJ72" s="33">
        <f t="shared" ref="AJ72:AS72" si="147">AI72</f>
        <v>0</v>
      </c>
      <c r="AK72" s="33">
        <f t="shared" si="147"/>
        <v>0</v>
      </c>
      <c r="AL72" s="33">
        <f t="shared" si="147"/>
        <v>0</v>
      </c>
      <c r="AM72" s="33">
        <f t="shared" si="147"/>
        <v>0</v>
      </c>
      <c r="AN72" s="33">
        <f t="shared" si="147"/>
        <v>0</v>
      </c>
      <c r="AO72" s="33">
        <f t="shared" si="147"/>
        <v>0</v>
      </c>
      <c r="AP72" s="33">
        <f t="shared" si="147"/>
        <v>0</v>
      </c>
      <c r="AQ72" s="33">
        <f t="shared" si="147"/>
        <v>0</v>
      </c>
      <c r="AR72" s="33">
        <f t="shared" si="147"/>
        <v>0</v>
      </c>
      <c r="AS72" s="33">
        <f t="shared" si="147"/>
        <v>0</v>
      </c>
    </row>
    <row r="73" spans="1:46" x14ac:dyDescent="0.35">
      <c r="A73" s="38" t="s">
        <v>50</v>
      </c>
      <c r="B73" s="32" t="s">
        <v>44</v>
      </c>
      <c r="C73" s="24" t="str">
        <f t="shared" si="145"/>
        <v>kgCO2/GJ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33">
        <f t="shared" ref="AJ73:AS73" si="148">AI73</f>
        <v>0</v>
      </c>
      <c r="AK73" s="33">
        <f t="shared" si="148"/>
        <v>0</v>
      </c>
      <c r="AL73" s="33">
        <f t="shared" si="148"/>
        <v>0</v>
      </c>
      <c r="AM73" s="33">
        <f t="shared" si="148"/>
        <v>0</v>
      </c>
      <c r="AN73" s="33">
        <f t="shared" si="148"/>
        <v>0</v>
      </c>
      <c r="AO73" s="33">
        <f t="shared" si="148"/>
        <v>0</v>
      </c>
      <c r="AP73" s="33">
        <f t="shared" si="148"/>
        <v>0</v>
      </c>
      <c r="AQ73" s="33">
        <f t="shared" si="148"/>
        <v>0</v>
      </c>
      <c r="AR73" s="33">
        <f t="shared" si="148"/>
        <v>0</v>
      </c>
      <c r="AS73" s="33">
        <f t="shared" si="148"/>
        <v>0</v>
      </c>
    </row>
    <row r="74" spans="1:46" x14ac:dyDescent="0.35">
      <c r="A74" s="38" t="s">
        <v>50</v>
      </c>
      <c r="B74" s="35" t="s">
        <v>45</v>
      </c>
      <c r="C74" s="25" t="str">
        <f t="shared" si="145"/>
        <v>kgCO2/GJ</v>
      </c>
      <c r="D74" s="36">
        <v>0</v>
      </c>
      <c r="E74" s="36">
        <v>0</v>
      </c>
      <c r="F74" s="36">
        <v>0</v>
      </c>
      <c r="G74" s="36">
        <v>0</v>
      </c>
      <c r="H74" s="36">
        <v>0</v>
      </c>
      <c r="I74" s="36">
        <v>0</v>
      </c>
      <c r="J74" s="36">
        <v>0</v>
      </c>
      <c r="K74" s="36">
        <v>0</v>
      </c>
      <c r="L74" s="36">
        <v>0</v>
      </c>
      <c r="M74" s="36">
        <v>0</v>
      </c>
      <c r="N74" s="36">
        <v>0</v>
      </c>
      <c r="O74" s="36">
        <v>0</v>
      </c>
      <c r="P74" s="36">
        <v>0</v>
      </c>
      <c r="Q74" s="36">
        <v>0</v>
      </c>
      <c r="R74" s="36">
        <v>0</v>
      </c>
      <c r="S74" s="36">
        <v>0</v>
      </c>
      <c r="T74" s="36">
        <v>0</v>
      </c>
      <c r="U74" s="36">
        <v>0</v>
      </c>
      <c r="V74" s="36">
        <v>0</v>
      </c>
      <c r="W74" s="36">
        <v>0</v>
      </c>
      <c r="X74" s="36">
        <v>0</v>
      </c>
      <c r="Y74" s="36">
        <v>0</v>
      </c>
      <c r="Z74" s="36">
        <v>0</v>
      </c>
      <c r="AA74" s="36">
        <v>0</v>
      </c>
      <c r="AB74" s="36">
        <v>0</v>
      </c>
      <c r="AC74" s="36">
        <v>0</v>
      </c>
      <c r="AD74" s="36">
        <v>0</v>
      </c>
      <c r="AE74" s="36">
        <v>0</v>
      </c>
      <c r="AF74" s="36">
        <v>0</v>
      </c>
      <c r="AG74" s="36">
        <v>0</v>
      </c>
      <c r="AH74" s="36">
        <v>0</v>
      </c>
      <c r="AI74" s="36">
        <v>0</v>
      </c>
      <c r="AJ74" s="33">
        <f t="shared" ref="AJ74:AS74" si="149">AI74</f>
        <v>0</v>
      </c>
      <c r="AK74" s="33">
        <f t="shared" si="149"/>
        <v>0</v>
      </c>
      <c r="AL74" s="33">
        <f t="shared" si="149"/>
        <v>0</v>
      </c>
      <c r="AM74" s="33">
        <f t="shared" si="149"/>
        <v>0</v>
      </c>
      <c r="AN74" s="33">
        <f t="shared" si="149"/>
        <v>0</v>
      </c>
      <c r="AO74" s="33">
        <f t="shared" si="149"/>
        <v>0</v>
      </c>
      <c r="AP74" s="33">
        <f t="shared" si="149"/>
        <v>0</v>
      </c>
      <c r="AQ74" s="33">
        <f t="shared" si="149"/>
        <v>0</v>
      </c>
      <c r="AR74" s="33">
        <f t="shared" si="149"/>
        <v>0</v>
      </c>
      <c r="AS74" s="33">
        <f t="shared" si="149"/>
        <v>0</v>
      </c>
    </row>
    <row r="75" spans="1:46" x14ac:dyDescent="0.35">
      <c r="A75" s="38" t="s">
        <v>50</v>
      </c>
      <c r="B75" s="32" t="s">
        <v>46</v>
      </c>
      <c r="C75" s="24" t="str">
        <f t="shared" si="145"/>
        <v>kgCO2/GJ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  <c r="Z75" s="41">
        <v>0</v>
      </c>
      <c r="AA75" s="41">
        <v>0</v>
      </c>
      <c r="AB75" s="41">
        <v>0</v>
      </c>
      <c r="AC75" s="41">
        <v>0</v>
      </c>
      <c r="AD75" s="41">
        <v>0</v>
      </c>
      <c r="AE75" s="41">
        <v>0</v>
      </c>
      <c r="AF75" s="41">
        <v>0</v>
      </c>
      <c r="AG75" s="41">
        <v>0</v>
      </c>
      <c r="AH75" s="41">
        <v>0</v>
      </c>
      <c r="AI75" s="41">
        <v>0</v>
      </c>
      <c r="AJ75" s="33">
        <f t="shared" ref="AJ75:AS75" si="150">AI75</f>
        <v>0</v>
      </c>
      <c r="AK75" s="33">
        <f t="shared" si="150"/>
        <v>0</v>
      </c>
      <c r="AL75" s="33">
        <f t="shared" si="150"/>
        <v>0</v>
      </c>
      <c r="AM75" s="33">
        <f t="shared" si="150"/>
        <v>0</v>
      </c>
      <c r="AN75" s="33">
        <f t="shared" si="150"/>
        <v>0</v>
      </c>
      <c r="AO75" s="33">
        <f t="shared" si="150"/>
        <v>0</v>
      </c>
      <c r="AP75" s="33">
        <f t="shared" si="150"/>
        <v>0</v>
      </c>
      <c r="AQ75" s="33">
        <f t="shared" si="150"/>
        <v>0</v>
      </c>
      <c r="AR75" s="33">
        <f t="shared" si="150"/>
        <v>0</v>
      </c>
      <c r="AS75" s="33">
        <f t="shared" si="150"/>
        <v>0</v>
      </c>
    </row>
    <row r="76" spans="1:46" x14ac:dyDescent="0.35">
      <c r="A76" s="38" t="s">
        <v>50</v>
      </c>
      <c r="B76" s="35" t="s">
        <v>47</v>
      </c>
      <c r="C76" s="25" t="str">
        <f t="shared" si="145"/>
        <v>kgCO2/GJ</v>
      </c>
      <c r="D76" s="36">
        <v>0</v>
      </c>
      <c r="E76" s="36">
        <v>0</v>
      </c>
      <c r="F76" s="36">
        <v>0</v>
      </c>
      <c r="G76" s="36">
        <v>0</v>
      </c>
      <c r="H76" s="36">
        <v>0</v>
      </c>
      <c r="I76" s="36">
        <v>0</v>
      </c>
      <c r="J76" s="36">
        <v>0</v>
      </c>
      <c r="K76" s="36">
        <v>0</v>
      </c>
      <c r="L76" s="36">
        <v>0</v>
      </c>
      <c r="M76" s="36">
        <v>0</v>
      </c>
      <c r="N76" s="36">
        <v>0</v>
      </c>
      <c r="O76" s="36">
        <v>0</v>
      </c>
      <c r="P76" s="36">
        <v>0</v>
      </c>
      <c r="Q76" s="36">
        <v>0</v>
      </c>
      <c r="R76" s="36">
        <v>0</v>
      </c>
      <c r="S76" s="36">
        <v>0</v>
      </c>
      <c r="T76" s="36">
        <v>0</v>
      </c>
      <c r="U76" s="36">
        <v>0</v>
      </c>
      <c r="V76" s="36">
        <v>0</v>
      </c>
      <c r="W76" s="36">
        <v>0</v>
      </c>
      <c r="X76" s="36">
        <v>0</v>
      </c>
      <c r="Y76" s="36">
        <v>0</v>
      </c>
      <c r="Z76" s="36">
        <v>0</v>
      </c>
      <c r="AA76" s="36">
        <v>0</v>
      </c>
      <c r="AB76" s="36">
        <v>0</v>
      </c>
      <c r="AC76" s="36">
        <v>0</v>
      </c>
      <c r="AD76" s="36">
        <v>0</v>
      </c>
      <c r="AE76" s="36">
        <v>0</v>
      </c>
      <c r="AF76" s="36">
        <v>0</v>
      </c>
      <c r="AG76" s="36">
        <v>0</v>
      </c>
      <c r="AH76" s="36">
        <v>0</v>
      </c>
      <c r="AI76" s="36">
        <v>0</v>
      </c>
      <c r="AJ76" s="33">
        <f t="shared" ref="AJ76:AS76" si="151">AI76</f>
        <v>0</v>
      </c>
      <c r="AK76" s="33">
        <f t="shared" si="151"/>
        <v>0</v>
      </c>
      <c r="AL76" s="33">
        <f t="shared" si="151"/>
        <v>0</v>
      </c>
      <c r="AM76" s="33">
        <f t="shared" si="151"/>
        <v>0</v>
      </c>
      <c r="AN76" s="33">
        <f t="shared" si="151"/>
        <v>0</v>
      </c>
      <c r="AO76" s="33">
        <f t="shared" si="151"/>
        <v>0</v>
      </c>
      <c r="AP76" s="33">
        <f t="shared" si="151"/>
        <v>0</v>
      </c>
      <c r="AQ76" s="33">
        <f t="shared" si="151"/>
        <v>0</v>
      </c>
      <c r="AR76" s="33">
        <f t="shared" si="151"/>
        <v>0</v>
      </c>
      <c r="AS76" s="33">
        <f t="shared" si="151"/>
        <v>0</v>
      </c>
    </row>
    <row r="77" spans="1:46" x14ac:dyDescent="0.35">
      <c r="A77" s="48" t="s">
        <v>50</v>
      </c>
      <c r="B77" s="43" t="s">
        <v>48</v>
      </c>
      <c r="C77" s="44" t="str">
        <f t="shared" si="145"/>
        <v>kgCO2/GJ</v>
      </c>
      <c r="D77" s="47">
        <v>0</v>
      </c>
      <c r="E77" s="47">
        <v>0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v>0</v>
      </c>
      <c r="X77" s="47">
        <v>0</v>
      </c>
      <c r="Y77" s="47">
        <v>0</v>
      </c>
      <c r="Z77" s="47">
        <v>0</v>
      </c>
      <c r="AA77" s="47">
        <v>0</v>
      </c>
      <c r="AB77" s="47">
        <v>0</v>
      </c>
      <c r="AC77" s="47">
        <v>0</v>
      </c>
      <c r="AD77" s="47">
        <v>0</v>
      </c>
      <c r="AE77" s="47">
        <v>0</v>
      </c>
      <c r="AF77" s="47">
        <v>0</v>
      </c>
      <c r="AG77" s="47">
        <v>0</v>
      </c>
      <c r="AH77" s="47">
        <v>0</v>
      </c>
      <c r="AI77" s="47">
        <v>0</v>
      </c>
      <c r="AJ77" s="45">
        <f t="shared" ref="AJ77:AS86" si="152">AI77</f>
        <v>0</v>
      </c>
      <c r="AK77" s="45">
        <f t="shared" si="152"/>
        <v>0</v>
      </c>
      <c r="AL77" s="45">
        <f t="shared" si="152"/>
        <v>0</v>
      </c>
      <c r="AM77" s="45">
        <f t="shared" si="152"/>
        <v>0</v>
      </c>
      <c r="AN77" s="45">
        <f t="shared" si="152"/>
        <v>0</v>
      </c>
      <c r="AO77" s="45">
        <f t="shared" si="152"/>
        <v>0</v>
      </c>
      <c r="AP77" s="45">
        <f t="shared" si="152"/>
        <v>0</v>
      </c>
      <c r="AQ77" s="45">
        <f t="shared" si="152"/>
        <v>0</v>
      </c>
      <c r="AR77" s="45">
        <f t="shared" si="152"/>
        <v>0</v>
      </c>
      <c r="AS77" s="45">
        <f t="shared" si="152"/>
        <v>0</v>
      </c>
    </row>
    <row r="78" spans="1:46" x14ac:dyDescent="0.35">
      <c r="A78" s="23" t="s">
        <v>52</v>
      </c>
      <c r="B78" s="32" t="s">
        <v>27</v>
      </c>
      <c r="C78" s="24" t="s">
        <v>13</v>
      </c>
      <c r="D78" s="33">
        <v>96</v>
      </c>
      <c r="E78" s="33">
        <f t="shared" ref="E78" si="153">D78</f>
        <v>96</v>
      </c>
      <c r="F78" s="33">
        <f t="shared" ref="F78" si="154">E78</f>
        <v>96</v>
      </c>
      <c r="G78" s="33">
        <f t="shared" ref="G78" si="155">F78</f>
        <v>96</v>
      </c>
      <c r="H78" s="33">
        <f t="shared" ref="H78" si="156">G78</f>
        <v>96</v>
      </c>
      <c r="I78" s="33">
        <f t="shared" ref="I78" si="157">H78</f>
        <v>96</v>
      </c>
      <c r="J78" s="33">
        <f t="shared" ref="J78" si="158">I78</f>
        <v>96</v>
      </c>
      <c r="K78" s="33">
        <f t="shared" ref="K78" si="159">J78</f>
        <v>96</v>
      </c>
      <c r="L78" s="33">
        <f t="shared" ref="L78" si="160">K78</f>
        <v>96</v>
      </c>
      <c r="M78" s="33">
        <f t="shared" ref="M78" si="161">L78</f>
        <v>96</v>
      </c>
      <c r="N78" s="33">
        <f t="shared" ref="N78" si="162">M78</f>
        <v>96</v>
      </c>
      <c r="O78" s="33">
        <f t="shared" ref="O78" si="163">N78</f>
        <v>96</v>
      </c>
      <c r="P78" s="33">
        <f t="shared" ref="P78" si="164">O78</f>
        <v>96</v>
      </c>
      <c r="Q78" s="33">
        <f t="shared" ref="Q78" si="165">P78</f>
        <v>96</v>
      </c>
      <c r="R78" s="33">
        <f t="shared" ref="R78" si="166">Q78</f>
        <v>96</v>
      </c>
      <c r="S78" s="33">
        <f t="shared" ref="S78" si="167">R78</f>
        <v>96</v>
      </c>
      <c r="T78" s="33">
        <f t="shared" ref="T78" si="168">S78</f>
        <v>96</v>
      </c>
      <c r="U78" s="33">
        <f t="shared" ref="U78" si="169">T78</f>
        <v>96</v>
      </c>
      <c r="V78" s="33">
        <f t="shared" ref="V78" si="170">U78</f>
        <v>96</v>
      </c>
      <c r="W78" s="33">
        <f t="shared" ref="W78" si="171">V78</f>
        <v>96</v>
      </c>
      <c r="X78" s="33">
        <f t="shared" ref="X78" si="172">W78</f>
        <v>96</v>
      </c>
      <c r="Y78" s="33">
        <f t="shared" ref="Y78" si="173">X78</f>
        <v>96</v>
      </c>
      <c r="Z78" s="33">
        <f t="shared" ref="Z78" si="174">Y78</f>
        <v>96</v>
      </c>
      <c r="AA78" s="33">
        <f t="shared" ref="AA78" si="175">Z78</f>
        <v>96</v>
      </c>
      <c r="AB78" s="33">
        <f t="shared" ref="AB78" si="176">AA78</f>
        <v>96</v>
      </c>
      <c r="AC78" s="33">
        <f t="shared" ref="AC78" si="177">AB78</f>
        <v>96</v>
      </c>
      <c r="AD78" s="33">
        <f t="shared" ref="AD78" si="178">AC78</f>
        <v>96</v>
      </c>
      <c r="AE78" s="33">
        <f t="shared" ref="AE78" si="179">AD78</f>
        <v>96</v>
      </c>
      <c r="AF78" s="33">
        <f t="shared" ref="AF78" si="180">AE78</f>
        <v>96</v>
      </c>
      <c r="AG78" s="33">
        <f t="shared" ref="AG78" si="181">AF78</f>
        <v>96</v>
      </c>
      <c r="AH78" s="33">
        <f t="shared" ref="AH78" si="182">AG78</f>
        <v>96</v>
      </c>
      <c r="AI78" s="33">
        <f t="shared" ref="AI78" si="183">AH78</f>
        <v>96</v>
      </c>
      <c r="AJ78" s="33">
        <f t="shared" si="152"/>
        <v>96</v>
      </c>
      <c r="AK78" s="33">
        <f t="shared" si="152"/>
        <v>96</v>
      </c>
      <c r="AL78" s="33">
        <f t="shared" si="152"/>
        <v>96</v>
      </c>
      <c r="AM78" s="33">
        <f t="shared" si="152"/>
        <v>96</v>
      </c>
      <c r="AN78" s="33">
        <f t="shared" si="152"/>
        <v>96</v>
      </c>
      <c r="AO78" s="33">
        <f t="shared" si="152"/>
        <v>96</v>
      </c>
      <c r="AP78" s="33">
        <f t="shared" si="152"/>
        <v>96</v>
      </c>
      <c r="AQ78" s="33">
        <f t="shared" si="152"/>
        <v>96</v>
      </c>
      <c r="AR78" s="33">
        <f t="shared" si="152"/>
        <v>96</v>
      </c>
      <c r="AS78" s="33">
        <f t="shared" si="152"/>
        <v>96</v>
      </c>
      <c r="AT78" s="34" t="s">
        <v>28</v>
      </c>
    </row>
    <row r="79" spans="1:46" x14ac:dyDescent="0.35">
      <c r="A79" s="23" t="str">
        <f>A78</f>
        <v>FS_2040</v>
      </c>
      <c r="B79" s="35" t="s">
        <v>29</v>
      </c>
      <c r="C79" s="25" t="str">
        <f t="shared" ref="C79:AI88" si="184">C78</f>
        <v>kgCO2/GJ</v>
      </c>
      <c r="D79" s="36">
        <f t="shared" si="184"/>
        <v>96</v>
      </c>
      <c r="E79" s="36">
        <f t="shared" si="184"/>
        <v>96</v>
      </c>
      <c r="F79" s="36">
        <f t="shared" si="184"/>
        <v>96</v>
      </c>
      <c r="G79" s="36">
        <f t="shared" si="184"/>
        <v>96</v>
      </c>
      <c r="H79" s="36">
        <f t="shared" si="184"/>
        <v>96</v>
      </c>
      <c r="I79" s="36">
        <f t="shared" si="184"/>
        <v>96</v>
      </c>
      <c r="J79" s="36">
        <f t="shared" si="184"/>
        <v>96</v>
      </c>
      <c r="K79" s="36">
        <f t="shared" si="184"/>
        <v>96</v>
      </c>
      <c r="L79" s="36">
        <f t="shared" si="184"/>
        <v>96</v>
      </c>
      <c r="M79" s="36">
        <f t="shared" si="184"/>
        <v>96</v>
      </c>
      <c r="N79" s="36">
        <f t="shared" si="184"/>
        <v>96</v>
      </c>
      <c r="O79" s="36">
        <f t="shared" si="184"/>
        <v>96</v>
      </c>
      <c r="P79" s="36">
        <f t="shared" si="184"/>
        <v>96</v>
      </c>
      <c r="Q79" s="36">
        <f t="shared" si="184"/>
        <v>96</v>
      </c>
      <c r="R79" s="36">
        <f t="shared" si="184"/>
        <v>96</v>
      </c>
      <c r="S79" s="36">
        <f t="shared" si="184"/>
        <v>96</v>
      </c>
      <c r="T79" s="36">
        <f t="shared" si="184"/>
        <v>96</v>
      </c>
      <c r="U79" s="36">
        <f t="shared" si="184"/>
        <v>96</v>
      </c>
      <c r="V79" s="36">
        <f t="shared" si="184"/>
        <v>96</v>
      </c>
      <c r="W79" s="36">
        <f t="shared" si="184"/>
        <v>96</v>
      </c>
      <c r="X79" s="36">
        <f t="shared" si="184"/>
        <v>96</v>
      </c>
      <c r="Y79" s="36">
        <f t="shared" si="184"/>
        <v>96</v>
      </c>
      <c r="Z79" s="36">
        <f t="shared" si="184"/>
        <v>96</v>
      </c>
      <c r="AA79" s="36">
        <f t="shared" si="184"/>
        <v>96</v>
      </c>
      <c r="AB79" s="36">
        <f t="shared" si="184"/>
        <v>96</v>
      </c>
      <c r="AC79" s="36">
        <f t="shared" si="184"/>
        <v>96</v>
      </c>
      <c r="AD79" s="36">
        <f t="shared" si="184"/>
        <v>96</v>
      </c>
      <c r="AE79" s="36">
        <f t="shared" si="184"/>
        <v>96</v>
      </c>
      <c r="AF79" s="36">
        <f t="shared" si="184"/>
        <v>96</v>
      </c>
      <c r="AG79" s="36">
        <f t="shared" si="184"/>
        <v>96</v>
      </c>
      <c r="AH79" s="36">
        <f t="shared" si="184"/>
        <v>96</v>
      </c>
      <c r="AI79" s="36">
        <f t="shared" si="184"/>
        <v>96</v>
      </c>
      <c r="AJ79" s="33">
        <f t="shared" si="152"/>
        <v>96</v>
      </c>
      <c r="AK79" s="33">
        <f t="shared" si="152"/>
        <v>96</v>
      </c>
      <c r="AL79" s="33">
        <f t="shared" si="152"/>
        <v>96</v>
      </c>
      <c r="AM79" s="33">
        <f t="shared" si="152"/>
        <v>96</v>
      </c>
      <c r="AN79" s="33">
        <f t="shared" si="152"/>
        <v>96</v>
      </c>
      <c r="AO79" s="33">
        <f t="shared" si="152"/>
        <v>96</v>
      </c>
      <c r="AP79" s="33">
        <f t="shared" si="152"/>
        <v>96</v>
      </c>
      <c r="AQ79" s="33">
        <f t="shared" si="152"/>
        <v>96</v>
      </c>
      <c r="AR79" s="33">
        <f t="shared" si="152"/>
        <v>96</v>
      </c>
      <c r="AS79" s="33">
        <f t="shared" si="152"/>
        <v>96</v>
      </c>
      <c r="AT79" s="35" t="s">
        <v>28</v>
      </c>
    </row>
    <row r="80" spans="1:46" x14ac:dyDescent="0.35">
      <c r="A80" s="23" t="str">
        <f t="shared" ref="A80:A96" si="185">A79</f>
        <v>FS_2040</v>
      </c>
      <c r="B80" s="32" t="s">
        <v>30</v>
      </c>
      <c r="C80" s="24" t="str">
        <f t="shared" si="184"/>
        <v>kgCO2/GJ</v>
      </c>
      <c r="D80" s="24">
        <v>74</v>
      </c>
      <c r="E80" s="24">
        <v>74</v>
      </c>
      <c r="F80" s="24">
        <v>74</v>
      </c>
      <c r="G80" s="24">
        <v>74</v>
      </c>
      <c r="H80" s="24">
        <v>74</v>
      </c>
      <c r="I80" s="24">
        <v>74</v>
      </c>
      <c r="J80" s="24">
        <v>74</v>
      </c>
      <c r="K80" s="24">
        <v>74</v>
      </c>
      <c r="L80" s="24">
        <v>74</v>
      </c>
      <c r="M80" s="24">
        <v>74</v>
      </c>
      <c r="N80" s="24">
        <v>74</v>
      </c>
      <c r="O80" s="24">
        <v>74</v>
      </c>
      <c r="P80" s="24">
        <v>74</v>
      </c>
      <c r="Q80" s="24">
        <v>74</v>
      </c>
      <c r="R80" s="24">
        <v>74</v>
      </c>
      <c r="S80" s="24">
        <v>74</v>
      </c>
      <c r="T80" s="24">
        <v>74</v>
      </c>
      <c r="U80" s="24">
        <v>74</v>
      </c>
      <c r="V80" s="24">
        <v>74</v>
      </c>
      <c r="W80" s="24">
        <v>74</v>
      </c>
      <c r="X80" s="24">
        <v>74</v>
      </c>
      <c r="Y80" s="57">
        <v>0</v>
      </c>
      <c r="Z80" s="57">
        <v>0</v>
      </c>
      <c r="AA80" s="57">
        <v>0</v>
      </c>
      <c r="AB80" s="57">
        <v>0</v>
      </c>
      <c r="AC80" s="57">
        <v>0</v>
      </c>
      <c r="AD80" s="57">
        <v>0</v>
      </c>
      <c r="AE80" s="57">
        <v>0</v>
      </c>
      <c r="AF80" s="57">
        <v>0</v>
      </c>
      <c r="AG80" s="57">
        <v>0</v>
      </c>
      <c r="AH80" s="57">
        <v>0</v>
      </c>
      <c r="AI80" s="57">
        <v>0</v>
      </c>
      <c r="AJ80" s="58">
        <f t="shared" si="152"/>
        <v>0</v>
      </c>
      <c r="AK80" s="58">
        <f t="shared" si="152"/>
        <v>0</v>
      </c>
      <c r="AL80" s="58">
        <f t="shared" si="152"/>
        <v>0</v>
      </c>
      <c r="AM80" s="58">
        <f t="shared" si="152"/>
        <v>0</v>
      </c>
      <c r="AN80" s="58">
        <f t="shared" si="152"/>
        <v>0</v>
      </c>
      <c r="AO80" s="58">
        <f t="shared" si="152"/>
        <v>0</v>
      </c>
      <c r="AP80" s="58">
        <f t="shared" si="152"/>
        <v>0</v>
      </c>
      <c r="AQ80" s="58">
        <f t="shared" si="152"/>
        <v>0</v>
      </c>
      <c r="AR80" s="58">
        <f t="shared" si="152"/>
        <v>0</v>
      </c>
      <c r="AS80" s="58">
        <f t="shared" si="152"/>
        <v>0</v>
      </c>
      <c r="AT80" s="32" t="s">
        <v>31</v>
      </c>
    </row>
    <row r="81" spans="1:46" x14ac:dyDescent="0.35">
      <c r="A81" s="23" t="str">
        <f t="shared" si="185"/>
        <v>FS_2040</v>
      </c>
      <c r="B81" s="35" t="s">
        <v>32</v>
      </c>
      <c r="C81" s="25" t="str">
        <f t="shared" si="184"/>
        <v>kgCO2/GJ</v>
      </c>
      <c r="D81" s="25">
        <v>74</v>
      </c>
      <c r="E81" s="25">
        <v>74</v>
      </c>
      <c r="F81" s="25">
        <v>74</v>
      </c>
      <c r="G81" s="25">
        <v>74</v>
      </c>
      <c r="H81" s="25">
        <v>74</v>
      </c>
      <c r="I81" s="25">
        <v>74</v>
      </c>
      <c r="J81" s="25">
        <v>74</v>
      </c>
      <c r="K81" s="25">
        <v>74</v>
      </c>
      <c r="L81" s="25">
        <v>74</v>
      </c>
      <c r="M81" s="25">
        <v>74</v>
      </c>
      <c r="N81" s="25">
        <v>74</v>
      </c>
      <c r="O81" s="25">
        <v>74</v>
      </c>
      <c r="P81" s="25">
        <v>74</v>
      </c>
      <c r="Q81" s="25">
        <v>74</v>
      </c>
      <c r="R81" s="25">
        <v>74</v>
      </c>
      <c r="S81" s="25">
        <v>74</v>
      </c>
      <c r="T81" s="25">
        <v>74</v>
      </c>
      <c r="U81" s="25">
        <v>74</v>
      </c>
      <c r="V81" s="25">
        <v>74</v>
      </c>
      <c r="W81" s="25">
        <v>74</v>
      </c>
      <c r="X81" s="25">
        <v>74</v>
      </c>
      <c r="Y81" s="59">
        <v>0</v>
      </c>
      <c r="Z81" s="59">
        <v>0</v>
      </c>
      <c r="AA81" s="59">
        <v>0</v>
      </c>
      <c r="AB81" s="59">
        <v>0</v>
      </c>
      <c r="AC81" s="59">
        <v>0</v>
      </c>
      <c r="AD81" s="59">
        <v>0</v>
      </c>
      <c r="AE81" s="59">
        <v>0</v>
      </c>
      <c r="AF81" s="59">
        <v>0</v>
      </c>
      <c r="AG81" s="59">
        <v>0</v>
      </c>
      <c r="AH81" s="59">
        <v>0</v>
      </c>
      <c r="AI81" s="59">
        <v>0</v>
      </c>
      <c r="AJ81" s="58">
        <f t="shared" si="152"/>
        <v>0</v>
      </c>
      <c r="AK81" s="58">
        <f t="shared" si="152"/>
        <v>0</v>
      </c>
      <c r="AL81" s="58">
        <f t="shared" si="152"/>
        <v>0</v>
      </c>
      <c r="AM81" s="58">
        <f t="shared" si="152"/>
        <v>0</v>
      </c>
      <c r="AN81" s="58">
        <f t="shared" si="152"/>
        <v>0</v>
      </c>
      <c r="AO81" s="58">
        <f t="shared" si="152"/>
        <v>0</v>
      </c>
      <c r="AP81" s="58">
        <f t="shared" si="152"/>
        <v>0</v>
      </c>
      <c r="AQ81" s="58">
        <f t="shared" si="152"/>
        <v>0</v>
      </c>
      <c r="AR81" s="58">
        <f t="shared" si="152"/>
        <v>0</v>
      </c>
      <c r="AS81" s="58">
        <f t="shared" si="152"/>
        <v>0</v>
      </c>
      <c r="AT81" s="35" t="s">
        <v>31</v>
      </c>
    </row>
    <row r="82" spans="1:46" x14ac:dyDescent="0.35">
      <c r="A82" s="23" t="str">
        <f t="shared" si="185"/>
        <v>FS_2040</v>
      </c>
      <c r="B82" s="32" t="s">
        <v>33</v>
      </c>
      <c r="C82" s="24" t="str">
        <f t="shared" si="184"/>
        <v>kgCO2/GJ</v>
      </c>
      <c r="D82" s="24">
        <v>74</v>
      </c>
      <c r="E82" s="24">
        <v>74</v>
      </c>
      <c r="F82" s="24">
        <v>74</v>
      </c>
      <c r="G82" s="24">
        <v>74</v>
      </c>
      <c r="H82" s="24">
        <v>74</v>
      </c>
      <c r="I82" s="24">
        <v>74</v>
      </c>
      <c r="J82" s="24">
        <v>74</v>
      </c>
      <c r="K82" s="24">
        <v>74</v>
      </c>
      <c r="L82" s="24">
        <v>74</v>
      </c>
      <c r="M82" s="24">
        <v>74</v>
      </c>
      <c r="N82" s="24">
        <v>74</v>
      </c>
      <c r="O82" s="24">
        <v>74</v>
      </c>
      <c r="P82" s="24">
        <v>74</v>
      </c>
      <c r="Q82" s="24">
        <v>74</v>
      </c>
      <c r="R82" s="24">
        <v>74</v>
      </c>
      <c r="S82" s="24">
        <v>74</v>
      </c>
      <c r="T82" s="24">
        <v>74</v>
      </c>
      <c r="U82" s="24">
        <v>74</v>
      </c>
      <c r="V82" s="24">
        <v>74</v>
      </c>
      <c r="W82" s="24">
        <v>74</v>
      </c>
      <c r="X82" s="24">
        <v>74</v>
      </c>
      <c r="Y82" s="24">
        <v>74</v>
      </c>
      <c r="Z82" s="24">
        <v>74</v>
      </c>
      <c r="AA82" s="24">
        <v>74</v>
      </c>
      <c r="AB82" s="24">
        <v>74</v>
      </c>
      <c r="AC82" s="24">
        <v>74</v>
      </c>
      <c r="AD82" s="24">
        <v>74</v>
      </c>
      <c r="AE82" s="24">
        <v>74</v>
      </c>
      <c r="AF82" s="24">
        <v>74</v>
      </c>
      <c r="AG82" s="24">
        <v>74</v>
      </c>
      <c r="AH82" s="24">
        <v>74</v>
      </c>
      <c r="AI82" s="24">
        <v>74</v>
      </c>
      <c r="AJ82" s="33">
        <f t="shared" si="152"/>
        <v>74</v>
      </c>
      <c r="AK82" s="33">
        <f t="shared" si="152"/>
        <v>74</v>
      </c>
      <c r="AL82" s="33">
        <f t="shared" si="152"/>
        <v>74</v>
      </c>
      <c r="AM82" s="33">
        <f t="shared" si="152"/>
        <v>74</v>
      </c>
      <c r="AN82" s="33">
        <f t="shared" si="152"/>
        <v>74</v>
      </c>
      <c r="AO82" s="33">
        <f t="shared" si="152"/>
        <v>74</v>
      </c>
      <c r="AP82" s="33">
        <f t="shared" si="152"/>
        <v>74</v>
      </c>
      <c r="AQ82" s="33">
        <f t="shared" si="152"/>
        <v>74</v>
      </c>
      <c r="AR82" s="33">
        <f t="shared" si="152"/>
        <v>74</v>
      </c>
      <c r="AS82" s="33">
        <f t="shared" si="152"/>
        <v>74</v>
      </c>
      <c r="AT82" s="32"/>
    </row>
    <row r="83" spans="1:46" x14ac:dyDescent="0.35">
      <c r="A83" s="23" t="str">
        <f t="shared" si="185"/>
        <v>FS_2040</v>
      </c>
      <c r="B83" s="35" t="s">
        <v>34</v>
      </c>
      <c r="C83" s="25" t="str">
        <f t="shared" si="184"/>
        <v>kgCO2/GJ</v>
      </c>
      <c r="D83" s="25">
        <v>69</v>
      </c>
      <c r="E83" s="25">
        <v>69</v>
      </c>
      <c r="F83" s="25">
        <v>69</v>
      </c>
      <c r="G83" s="25">
        <v>69</v>
      </c>
      <c r="H83" s="25">
        <v>69</v>
      </c>
      <c r="I83" s="25">
        <v>69</v>
      </c>
      <c r="J83" s="25">
        <v>69</v>
      </c>
      <c r="K83" s="25">
        <v>69</v>
      </c>
      <c r="L83" s="25">
        <v>69</v>
      </c>
      <c r="M83" s="25">
        <v>69</v>
      </c>
      <c r="N83" s="25">
        <v>69</v>
      </c>
      <c r="O83" s="25">
        <v>69</v>
      </c>
      <c r="P83" s="25">
        <v>69</v>
      </c>
      <c r="Q83" s="25">
        <v>69</v>
      </c>
      <c r="R83" s="25">
        <v>69</v>
      </c>
      <c r="S83" s="25">
        <v>69</v>
      </c>
      <c r="T83" s="25">
        <v>69</v>
      </c>
      <c r="U83" s="25">
        <v>69</v>
      </c>
      <c r="V83" s="25">
        <v>69</v>
      </c>
      <c r="W83" s="25">
        <v>69</v>
      </c>
      <c r="X83" s="25">
        <v>69</v>
      </c>
      <c r="Y83" s="25">
        <v>69</v>
      </c>
      <c r="Z83" s="25">
        <v>69</v>
      </c>
      <c r="AA83" s="25">
        <v>69</v>
      </c>
      <c r="AB83" s="25">
        <v>69</v>
      </c>
      <c r="AC83" s="25">
        <v>69</v>
      </c>
      <c r="AD83" s="25">
        <v>69</v>
      </c>
      <c r="AE83" s="25">
        <v>69</v>
      </c>
      <c r="AF83" s="25">
        <v>69</v>
      </c>
      <c r="AG83" s="25">
        <v>69</v>
      </c>
      <c r="AH83" s="25">
        <v>69</v>
      </c>
      <c r="AI83" s="25">
        <v>69</v>
      </c>
      <c r="AJ83" s="33">
        <f t="shared" si="152"/>
        <v>69</v>
      </c>
      <c r="AK83" s="33">
        <f t="shared" si="152"/>
        <v>69</v>
      </c>
      <c r="AL83" s="33">
        <f t="shared" si="152"/>
        <v>69</v>
      </c>
      <c r="AM83" s="33">
        <f t="shared" si="152"/>
        <v>69</v>
      </c>
      <c r="AN83" s="33">
        <f t="shared" si="152"/>
        <v>69</v>
      </c>
      <c r="AO83" s="33">
        <f t="shared" si="152"/>
        <v>69</v>
      </c>
      <c r="AP83" s="33">
        <f t="shared" si="152"/>
        <v>69</v>
      </c>
      <c r="AQ83" s="33">
        <f t="shared" si="152"/>
        <v>69</v>
      </c>
      <c r="AR83" s="33">
        <f t="shared" si="152"/>
        <v>69</v>
      </c>
      <c r="AS83" s="33">
        <f t="shared" si="152"/>
        <v>69</v>
      </c>
      <c r="AT83" s="35"/>
    </row>
    <row r="84" spans="1:46" x14ac:dyDescent="0.35">
      <c r="A84" s="23" t="str">
        <f t="shared" si="185"/>
        <v>FS_2040</v>
      </c>
      <c r="B84" s="32" t="s">
        <v>35</v>
      </c>
      <c r="C84" s="24" t="str">
        <f t="shared" si="184"/>
        <v>kgCO2/GJ</v>
      </c>
      <c r="D84" s="24">
        <v>69</v>
      </c>
      <c r="E84" s="24">
        <v>69</v>
      </c>
      <c r="F84" s="24">
        <v>69</v>
      </c>
      <c r="G84" s="24">
        <v>69</v>
      </c>
      <c r="H84" s="24">
        <v>69</v>
      </c>
      <c r="I84" s="24">
        <v>69</v>
      </c>
      <c r="J84" s="24">
        <v>69</v>
      </c>
      <c r="K84" s="24">
        <v>69</v>
      </c>
      <c r="L84" s="24">
        <v>69</v>
      </c>
      <c r="M84" s="24">
        <v>69</v>
      </c>
      <c r="N84" s="24">
        <v>69</v>
      </c>
      <c r="O84" s="24">
        <v>69</v>
      </c>
      <c r="P84" s="24">
        <v>69</v>
      </c>
      <c r="Q84" s="24">
        <v>69</v>
      </c>
      <c r="R84" s="24">
        <v>69</v>
      </c>
      <c r="S84" s="24">
        <v>69</v>
      </c>
      <c r="T84" s="24">
        <v>69</v>
      </c>
      <c r="U84" s="24">
        <v>69</v>
      </c>
      <c r="V84" s="24">
        <v>69</v>
      </c>
      <c r="W84" s="24">
        <v>69</v>
      </c>
      <c r="X84" s="24">
        <v>69</v>
      </c>
      <c r="Y84" s="57">
        <v>0</v>
      </c>
      <c r="Z84" s="57">
        <v>0</v>
      </c>
      <c r="AA84" s="57">
        <v>0</v>
      </c>
      <c r="AB84" s="57">
        <v>0</v>
      </c>
      <c r="AC84" s="57">
        <v>0</v>
      </c>
      <c r="AD84" s="57">
        <v>0</v>
      </c>
      <c r="AE84" s="57">
        <v>0</v>
      </c>
      <c r="AF84" s="57">
        <v>0</v>
      </c>
      <c r="AG84" s="57">
        <v>0</v>
      </c>
      <c r="AH84" s="57">
        <v>0</v>
      </c>
      <c r="AI84" s="57">
        <v>0</v>
      </c>
      <c r="AJ84" s="58">
        <f t="shared" si="152"/>
        <v>0</v>
      </c>
      <c r="AK84" s="58">
        <f t="shared" si="152"/>
        <v>0</v>
      </c>
      <c r="AL84" s="58">
        <f t="shared" si="152"/>
        <v>0</v>
      </c>
      <c r="AM84" s="58">
        <f t="shared" si="152"/>
        <v>0</v>
      </c>
      <c r="AN84" s="58">
        <f t="shared" si="152"/>
        <v>0</v>
      </c>
      <c r="AO84" s="58">
        <f t="shared" si="152"/>
        <v>0</v>
      </c>
      <c r="AP84" s="58">
        <f t="shared" si="152"/>
        <v>0</v>
      </c>
      <c r="AQ84" s="58">
        <f t="shared" si="152"/>
        <v>0</v>
      </c>
      <c r="AR84" s="58">
        <f t="shared" si="152"/>
        <v>0</v>
      </c>
      <c r="AS84" s="58">
        <f t="shared" si="152"/>
        <v>0</v>
      </c>
      <c r="AT84" s="32" t="s">
        <v>36</v>
      </c>
    </row>
    <row r="85" spans="1:46" x14ac:dyDescent="0.35">
      <c r="A85" s="23" t="str">
        <f t="shared" si="185"/>
        <v>FS_2040</v>
      </c>
      <c r="B85" s="35" t="s">
        <v>37</v>
      </c>
      <c r="C85" s="25" t="str">
        <f t="shared" si="184"/>
        <v>kgCO2/GJ</v>
      </c>
      <c r="D85" s="25">
        <v>69</v>
      </c>
      <c r="E85" s="25">
        <v>69</v>
      </c>
      <c r="F85" s="25">
        <v>69</v>
      </c>
      <c r="G85" s="25">
        <v>69</v>
      </c>
      <c r="H85" s="25">
        <v>69</v>
      </c>
      <c r="I85" s="25">
        <v>69</v>
      </c>
      <c r="J85" s="25">
        <v>69</v>
      </c>
      <c r="K85" s="25">
        <v>69</v>
      </c>
      <c r="L85" s="25">
        <v>69</v>
      </c>
      <c r="M85" s="25">
        <v>69</v>
      </c>
      <c r="N85" s="25">
        <v>69</v>
      </c>
      <c r="O85" s="25">
        <v>69</v>
      </c>
      <c r="P85" s="25">
        <v>69</v>
      </c>
      <c r="Q85" s="25">
        <v>69</v>
      </c>
      <c r="R85" s="25">
        <v>69</v>
      </c>
      <c r="S85" s="25">
        <v>69</v>
      </c>
      <c r="T85" s="25">
        <v>69</v>
      </c>
      <c r="U85" s="25">
        <v>69</v>
      </c>
      <c r="V85" s="25">
        <v>69</v>
      </c>
      <c r="W85" s="25">
        <v>69</v>
      </c>
      <c r="X85" s="25">
        <v>69</v>
      </c>
      <c r="Y85" s="25">
        <v>69</v>
      </c>
      <c r="Z85" s="25">
        <v>69</v>
      </c>
      <c r="AA85" s="25">
        <v>69</v>
      </c>
      <c r="AB85" s="25">
        <v>69</v>
      </c>
      <c r="AC85" s="25">
        <v>69</v>
      </c>
      <c r="AD85" s="59">
        <v>0</v>
      </c>
      <c r="AE85" s="59">
        <v>0</v>
      </c>
      <c r="AF85" s="59">
        <v>0</v>
      </c>
      <c r="AG85" s="59">
        <v>0</v>
      </c>
      <c r="AH85" s="59">
        <v>0</v>
      </c>
      <c r="AI85" s="59">
        <v>0</v>
      </c>
      <c r="AJ85" s="58">
        <f t="shared" si="152"/>
        <v>0</v>
      </c>
      <c r="AK85" s="58">
        <f t="shared" si="152"/>
        <v>0</v>
      </c>
      <c r="AL85" s="58">
        <f t="shared" si="152"/>
        <v>0</v>
      </c>
      <c r="AM85" s="58">
        <f t="shared" si="152"/>
        <v>0</v>
      </c>
      <c r="AN85" s="58">
        <f t="shared" si="152"/>
        <v>0</v>
      </c>
      <c r="AO85" s="58">
        <f t="shared" si="152"/>
        <v>0</v>
      </c>
      <c r="AP85" s="58">
        <f t="shared" si="152"/>
        <v>0</v>
      </c>
      <c r="AQ85" s="58">
        <f t="shared" si="152"/>
        <v>0</v>
      </c>
      <c r="AR85" s="58">
        <f t="shared" si="152"/>
        <v>0</v>
      </c>
      <c r="AS85" s="58">
        <f t="shared" si="152"/>
        <v>0</v>
      </c>
      <c r="AT85" s="35" t="s">
        <v>36</v>
      </c>
    </row>
    <row r="86" spans="1:46" x14ac:dyDescent="0.35">
      <c r="A86" s="23" t="str">
        <f t="shared" si="185"/>
        <v>FS_2040</v>
      </c>
      <c r="B86" s="32" t="s">
        <v>38</v>
      </c>
      <c r="C86" s="24" t="str">
        <f t="shared" si="184"/>
        <v>kgCO2/GJ</v>
      </c>
      <c r="D86" s="24">
        <v>69</v>
      </c>
      <c r="E86" s="24">
        <v>69</v>
      </c>
      <c r="F86" s="24">
        <v>69</v>
      </c>
      <c r="G86" s="24">
        <v>69</v>
      </c>
      <c r="H86" s="24">
        <v>69</v>
      </c>
      <c r="I86" s="24">
        <v>69</v>
      </c>
      <c r="J86" s="24">
        <v>69</v>
      </c>
      <c r="K86" s="24">
        <v>69</v>
      </c>
      <c r="L86" s="24">
        <v>69</v>
      </c>
      <c r="M86" s="24">
        <v>69</v>
      </c>
      <c r="N86" s="24">
        <v>69</v>
      </c>
      <c r="O86" s="24">
        <v>69</v>
      </c>
      <c r="P86" s="24">
        <v>69</v>
      </c>
      <c r="Q86" s="24">
        <v>69</v>
      </c>
      <c r="R86" s="24">
        <v>69</v>
      </c>
      <c r="S86" s="24">
        <v>69</v>
      </c>
      <c r="T86" s="24">
        <v>69</v>
      </c>
      <c r="U86" s="24">
        <v>69</v>
      </c>
      <c r="V86" s="24">
        <v>69</v>
      </c>
      <c r="W86" s="24">
        <v>69</v>
      </c>
      <c r="X86" s="24">
        <v>69</v>
      </c>
      <c r="Y86" s="24">
        <v>69</v>
      </c>
      <c r="Z86" s="24">
        <v>69</v>
      </c>
      <c r="AA86" s="24">
        <v>69</v>
      </c>
      <c r="AB86" s="24">
        <v>69</v>
      </c>
      <c r="AC86" s="24">
        <v>69</v>
      </c>
      <c r="AD86" s="24">
        <v>69</v>
      </c>
      <c r="AE86" s="24">
        <v>69</v>
      </c>
      <c r="AF86" s="24">
        <v>69</v>
      </c>
      <c r="AG86" s="24">
        <v>69</v>
      </c>
      <c r="AH86" s="24">
        <v>69</v>
      </c>
      <c r="AI86" s="57">
        <v>0</v>
      </c>
      <c r="AJ86" s="58">
        <f t="shared" si="152"/>
        <v>0</v>
      </c>
      <c r="AK86" s="58">
        <f t="shared" si="152"/>
        <v>0</v>
      </c>
      <c r="AL86" s="58">
        <f t="shared" si="152"/>
        <v>0</v>
      </c>
      <c r="AM86" s="58">
        <f t="shared" si="152"/>
        <v>0</v>
      </c>
      <c r="AN86" s="58">
        <f t="shared" si="152"/>
        <v>0</v>
      </c>
      <c r="AO86" s="58">
        <f t="shared" si="152"/>
        <v>0</v>
      </c>
      <c r="AP86" s="58">
        <f t="shared" si="152"/>
        <v>0</v>
      </c>
      <c r="AQ86" s="58">
        <f t="shared" si="152"/>
        <v>0</v>
      </c>
      <c r="AR86" s="58">
        <f t="shared" si="152"/>
        <v>0</v>
      </c>
      <c r="AS86" s="58">
        <f t="shared" si="152"/>
        <v>0</v>
      </c>
      <c r="AT86" s="32" t="s">
        <v>36</v>
      </c>
    </row>
    <row r="87" spans="1:46" x14ac:dyDescent="0.35">
      <c r="A87" s="23" t="str">
        <f t="shared" si="185"/>
        <v>FS_2040</v>
      </c>
      <c r="B87" s="35" t="s">
        <v>39</v>
      </c>
      <c r="C87" s="25" t="str">
        <f t="shared" si="184"/>
        <v>kgCO2/GJ</v>
      </c>
      <c r="D87" s="25">
        <v>69</v>
      </c>
      <c r="E87" s="25">
        <v>69</v>
      </c>
      <c r="F87" s="25">
        <v>69</v>
      </c>
      <c r="G87" s="25">
        <v>69</v>
      </c>
      <c r="H87" s="25">
        <v>69</v>
      </c>
      <c r="I87" s="25">
        <v>69</v>
      </c>
      <c r="J87" s="25">
        <v>69</v>
      </c>
      <c r="K87" s="25">
        <v>69</v>
      </c>
      <c r="L87" s="25">
        <v>69</v>
      </c>
      <c r="M87" s="25">
        <v>69</v>
      </c>
      <c r="N87" s="25">
        <v>69</v>
      </c>
      <c r="O87" s="25">
        <v>69</v>
      </c>
      <c r="P87" s="25">
        <v>69</v>
      </c>
      <c r="Q87" s="25">
        <v>69</v>
      </c>
      <c r="R87" s="25">
        <v>69</v>
      </c>
      <c r="S87" s="25">
        <v>69</v>
      </c>
      <c r="T87" s="25">
        <v>69</v>
      </c>
      <c r="U87" s="25">
        <v>69</v>
      </c>
      <c r="V87" s="25">
        <v>69</v>
      </c>
      <c r="W87" s="25">
        <v>69</v>
      </c>
      <c r="X87" s="25">
        <v>69</v>
      </c>
      <c r="Y87" s="25">
        <v>69</v>
      </c>
      <c r="Z87" s="25">
        <v>69</v>
      </c>
      <c r="AA87" s="25">
        <v>69</v>
      </c>
      <c r="AB87" s="25">
        <v>69</v>
      </c>
      <c r="AC87" s="25">
        <v>69</v>
      </c>
      <c r="AD87" s="25">
        <v>69</v>
      </c>
      <c r="AE87" s="25">
        <v>69</v>
      </c>
      <c r="AF87" s="25">
        <v>69</v>
      </c>
      <c r="AG87" s="25">
        <v>69</v>
      </c>
      <c r="AH87" s="25">
        <v>69</v>
      </c>
      <c r="AI87" s="25">
        <v>69</v>
      </c>
      <c r="AJ87" s="25">
        <v>69</v>
      </c>
      <c r="AK87" s="25">
        <v>69</v>
      </c>
      <c r="AL87" s="25">
        <v>69</v>
      </c>
      <c r="AM87" s="25">
        <v>69</v>
      </c>
      <c r="AN87" s="58">
        <v>0</v>
      </c>
      <c r="AO87" s="58">
        <f>AN87</f>
        <v>0</v>
      </c>
      <c r="AP87" s="58">
        <f>AO87</f>
        <v>0</v>
      </c>
      <c r="AQ87" s="58">
        <f>AP87</f>
        <v>0</v>
      </c>
      <c r="AR87" s="58">
        <f>AQ87</f>
        <v>0</v>
      </c>
      <c r="AS87" s="58">
        <f>AR87</f>
        <v>0</v>
      </c>
      <c r="AT87" s="35" t="s">
        <v>36</v>
      </c>
    </row>
    <row r="88" spans="1:46" x14ac:dyDescent="0.35">
      <c r="A88" s="23" t="str">
        <f t="shared" si="185"/>
        <v>FS_2040</v>
      </c>
      <c r="B88" s="32" t="s">
        <v>40</v>
      </c>
      <c r="C88" s="24" t="str">
        <f t="shared" si="184"/>
        <v>kgCO2/GJ</v>
      </c>
      <c r="D88" s="24">
        <v>69</v>
      </c>
      <c r="E88" s="24">
        <v>69</v>
      </c>
      <c r="F88" s="24">
        <v>69</v>
      </c>
      <c r="G88" s="24">
        <v>69</v>
      </c>
      <c r="H88" s="24">
        <v>69</v>
      </c>
      <c r="I88" s="24">
        <v>69</v>
      </c>
      <c r="J88" s="24">
        <v>69</v>
      </c>
      <c r="K88" s="24">
        <v>69</v>
      </c>
      <c r="L88" s="24">
        <v>69</v>
      </c>
      <c r="M88" s="24">
        <v>69</v>
      </c>
      <c r="N88" s="24">
        <v>69</v>
      </c>
      <c r="O88" s="24">
        <v>69</v>
      </c>
      <c r="P88" s="24">
        <v>69</v>
      </c>
      <c r="Q88" s="24">
        <v>69</v>
      </c>
      <c r="R88" s="24">
        <v>69</v>
      </c>
      <c r="S88" s="24">
        <v>69</v>
      </c>
      <c r="T88" s="24">
        <v>69</v>
      </c>
      <c r="U88" s="24">
        <v>69</v>
      </c>
      <c r="V88" s="24">
        <v>69</v>
      </c>
      <c r="W88" s="24">
        <v>69</v>
      </c>
      <c r="X88" s="24">
        <v>69</v>
      </c>
      <c r="Y88" s="24">
        <v>69</v>
      </c>
      <c r="Z88" s="24">
        <v>69</v>
      </c>
      <c r="AA88" s="24">
        <v>69</v>
      </c>
      <c r="AB88" s="24">
        <v>69</v>
      </c>
      <c r="AC88" s="24">
        <v>69</v>
      </c>
      <c r="AD88" s="24">
        <v>69</v>
      </c>
      <c r="AE88" s="24">
        <v>69</v>
      </c>
      <c r="AF88" s="24">
        <v>69</v>
      </c>
      <c r="AG88" s="24">
        <v>69</v>
      </c>
      <c r="AH88" s="24">
        <v>69</v>
      </c>
      <c r="AI88" s="24">
        <v>69</v>
      </c>
      <c r="AJ88" s="24">
        <v>69</v>
      </c>
      <c r="AK88" s="33">
        <f t="shared" ref="AK88:AK105" si="186">AJ88</f>
        <v>69</v>
      </c>
      <c r="AL88" s="33">
        <f t="shared" ref="AL88:AL105" si="187">AK88</f>
        <v>69</v>
      </c>
      <c r="AM88" s="33">
        <f t="shared" ref="AM88:AM105" si="188">AL88</f>
        <v>69</v>
      </c>
      <c r="AN88" s="33">
        <f t="shared" ref="AN88:AN105" si="189">AM88</f>
        <v>69</v>
      </c>
      <c r="AO88" s="33">
        <f t="shared" ref="AO88:AO105" si="190">AN88</f>
        <v>69</v>
      </c>
      <c r="AP88" s="33">
        <f t="shared" ref="AP88:AP105" si="191">AO88</f>
        <v>69</v>
      </c>
      <c r="AQ88" s="33">
        <f t="shared" ref="AQ88:AQ105" si="192">AP88</f>
        <v>69</v>
      </c>
      <c r="AR88" s="33">
        <f t="shared" ref="AR88:AR105" si="193">AQ88</f>
        <v>69</v>
      </c>
      <c r="AS88" s="58">
        <v>0</v>
      </c>
      <c r="AT88" s="32" t="s">
        <v>36</v>
      </c>
    </row>
    <row r="89" spans="1:46" x14ac:dyDescent="0.35">
      <c r="A89" s="23" t="str">
        <f t="shared" si="185"/>
        <v>FS_2040</v>
      </c>
      <c r="B89" s="35" t="s">
        <v>41</v>
      </c>
      <c r="C89" s="25" t="str">
        <f>C86</f>
        <v>kgCO2/GJ</v>
      </c>
      <c r="D89" s="25">
        <v>69</v>
      </c>
      <c r="E89" s="25">
        <v>69</v>
      </c>
      <c r="F89" s="25">
        <v>69</v>
      </c>
      <c r="G89" s="25">
        <v>69</v>
      </c>
      <c r="H89" s="25">
        <v>69</v>
      </c>
      <c r="I89" s="25">
        <v>69</v>
      </c>
      <c r="J89" s="25">
        <v>69</v>
      </c>
      <c r="K89" s="25">
        <v>69</v>
      </c>
      <c r="L89" s="25">
        <v>69</v>
      </c>
      <c r="M89" s="25">
        <v>69</v>
      </c>
      <c r="N89" s="25">
        <v>69</v>
      </c>
      <c r="O89" s="25">
        <v>69</v>
      </c>
      <c r="P89" s="25">
        <v>69</v>
      </c>
      <c r="Q89" s="25">
        <v>69</v>
      </c>
      <c r="R89" s="25">
        <v>69</v>
      </c>
      <c r="S89" s="25">
        <v>69</v>
      </c>
      <c r="T89" s="25">
        <v>69</v>
      </c>
      <c r="U89" s="25">
        <v>69</v>
      </c>
      <c r="V89" s="25">
        <v>69</v>
      </c>
      <c r="W89" s="25">
        <v>69</v>
      </c>
      <c r="X89" s="25">
        <v>69</v>
      </c>
      <c r="Y89" s="25">
        <f t="shared" ref="Y89" si="194">X89</f>
        <v>69</v>
      </c>
      <c r="Z89" s="25">
        <f t="shared" ref="Z89" si="195">Y89</f>
        <v>69</v>
      </c>
      <c r="AA89" s="25">
        <f t="shared" ref="AA89" si="196">Z89</f>
        <v>69</v>
      </c>
      <c r="AB89" s="25">
        <f t="shared" ref="AB89" si="197">AA89</f>
        <v>69</v>
      </c>
      <c r="AC89" s="25">
        <f t="shared" ref="AC89" si="198">AB89</f>
        <v>69</v>
      </c>
      <c r="AD89" s="25">
        <f t="shared" ref="AD89" si="199">AC89</f>
        <v>69</v>
      </c>
      <c r="AE89" s="25">
        <f t="shared" ref="AE89" si="200">AD89</f>
        <v>69</v>
      </c>
      <c r="AF89" s="25">
        <f t="shared" ref="AF89" si="201">AE89</f>
        <v>69</v>
      </c>
      <c r="AG89" s="25">
        <f t="shared" ref="AG89" si="202">AF89</f>
        <v>69</v>
      </c>
      <c r="AH89" s="25">
        <f t="shared" ref="AH89" si="203">AG89</f>
        <v>69</v>
      </c>
      <c r="AI89" s="25">
        <f t="shared" ref="AI89" si="204">AH89</f>
        <v>69</v>
      </c>
      <c r="AJ89" s="33">
        <f t="shared" ref="AJ89:AJ105" si="205">AI89</f>
        <v>69</v>
      </c>
      <c r="AK89" s="33">
        <f t="shared" si="186"/>
        <v>69</v>
      </c>
      <c r="AL89" s="33">
        <f t="shared" si="187"/>
        <v>69</v>
      </c>
      <c r="AM89" s="33">
        <f t="shared" si="188"/>
        <v>69</v>
      </c>
      <c r="AN89" s="33">
        <f t="shared" si="189"/>
        <v>69</v>
      </c>
      <c r="AO89" s="33">
        <f t="shared" si="190"/>
        <v>69</v>
      </c>
      <c r="AP89" s="33">
        <f t="shared" si="191"/>
        <v>69</v>
      </c>
      <c r="AQ89" s="33">
        <f t="shared" si="192"/>
        <v>69</v>
      </c>
      <c r="AR89" s="33">
        <f t="shared" si="193"/>
        <v>69</v>
      </c>
      <c r="AS89" s="33">
        <f t="shared" ref="AS89:AS105" si="206">AR89</f>
        <v>69</v>
      </c>
      <c r="AT89" s="35"/>
    </row>
    <row r="90" spans="1:46" x14ac:dyDescent="0.35">
      <c r="A90" s="23" t="str">
        <f t="shared" si="185"/>
        <v>FS_2040</v>
      </c>
      <c r="B90" s="32" t="s">
        <v>42</v>
      </c>
      <c r="C90" s="24" t="str">
        <f t="shared" ref="C90:C96" si="207">C89</f>
        <v>kgCO2/GJ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  <c r="AF90" s="24">
        <v>0</v>
      </c>
      <c r="AG90" s="24">
        <v>0</v>
      </c>
      <c r="AH90" s="24">
        <v>0</v>
      </c>
      <c r="AI90" s="24">
        <v>0</v>
      </c>
      <c r="AJ90" s="33">
        <f t="shared" si="205"/>
        <v>0</v>
      </c>
      <c r="AK90" s="33">
        <f t="shared" si="186"/>
        <v>0</v>
      </c>
      <c r="AL90" s="33">
        <f t="shared" si="187"/>
        <v>0</v>
      </c>
      <c r="AM90" s="33">
        <f t="shared" si="188"/>
        <v>0</v>
      </c>
      <c r="AN90" s="33">
        <f t="shared" si="189"/>
        <v>0</v>
      </c>
      <c r="AO90" s="33">
        <f t="shared" si="190"/>
        <v>0</v>
      </c>
      <c r="AP90" s="33">
        <f t="shared" si="191"/>
        <v>0</v>
      </c>
      <c r="AQ90" s="33">
        <f t="shared" si="192"/>
        <v>0</v>
      </c>
      <c r="AR90" s="33">
        <f t="shared" si="193"/>
        <v>0</v>
      </c>
      <c r="AS90" s="33">
        <f t="shared" si="206"/>
        <v>0</v>
      </c>
    </row>
    <row r="91" spans="1:46" x14ac:dyDescent="0.35">
      <c r="A91" s="23" t="str">
        <f t="shared" si="185"/>
        <v>FS_2040</v>
      </c>
      <c r="B91" s="35" t="s">
        <v>43</v>
      </c>
      <c r="C91" s="25" t="str">
        <f t="shared" si="207"/>
        <v>kgCO2/GJ</v>
      </c>
      <c r="D91" s="25">
        <v>0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5">
        <v>0</v>
      </c>
      <c r="V91" s="25">
        <v>0</v>
      </c>
      <c r="W91" s="25">
        <v>0</v>
      </c>
      <c r="X91" s="25">
        <v>0</v>
      </c>
      <c r="Y91" s="25">
        <v>0</v>
      </c>
      <c r="Z91" s="25">
        <v>0</v>
      </c>
      <c r="AA91" s="25">
        <v>0</v>
      </c>
      <c r="AB91" s="25">
        <v>0</v>
      </c>
      <c r="AC91" s="25">
        <v>0</v>
      </c>
      <c r="AD91" s="25">
        <v>0</v>
      </c>
      <c r="AE91" s="25">
        <v>0</v>
      </c>
      <c r="AF91" s="25">
        <v>0</v>
      </c>
      <c r="AG91" s="25">
        <v>0</v>
      </c>
      <c r="AH91" s="25">
        <v>0</v>
      </c>
      <c r="AI91" s="25">
        <v>0</v>
      </c>
      <c r="AJ91" s="33">
        <f t="shared" si="205"/>
        <v>0</v>
      </c>
      <c r="AK91" s="33">
        <f t="shared" si="186"/>
        <v>0</v>
      </c>
      <c r="AL91" s="33">
        <f t="shared" si="187"/>
        <v>0</v>
      </c>
      <c r="AM91" s="33">
        <f t="shared" si="188"/>
        <v>0</v>
      </c>
      <c r="AN91" s="33">
        <f t="shared" si="189"/>
        <v>0</v>
      </c>
      <c r="AO91" s="33">
        <f t="shared" si="190"/>
        <v>0</v>
      </c>
      <c r="AP91" s="33">
        <f t="shared" si="191"/>
        <v>0</v>
      </c>
      <c r="AQ91" s="33">
        <f t="shared" si="192"/>
        <v>0</v>
      </c>
      <c r="AR91" s="33">
        <f t="shared" si="193"/>
        <v>0</v>
      </c>
      <c r="AS91" s="33">
        <f t="shared" si="206"/>
        <v>0</v>
      </c>
    </row>
    <row r="92" spans="1:46" x14ac:dyDescent="0.35">
      <c r="A92" s="23" t="str">
        <f t="shared" si="185"/>
        <v>FS_2040</v>
      </c>
      <c r="B92" s="32" t="s">
        <v>44</v>
      </c>
      <c r="C92" s="24" t="str">
        <f t="shared" si="207"/>
        <v>kgCO2/GJ</v>
      </c>
      <c r="D92" s="24">
        <v>0</v>
      </c>
      <c r="E92" s="24">
        <v>0</v>
      </c>
      <c r="F92" s="24">
        <v>0</v>
      </c>
      <c r="G92" s="24">
        <v>0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>
        <v>0</v>
      </c>
      <c r="AG92" s="24">
        <v>0</v>
      </c>
      <c r="AH92" s="24">
        <v>0</v>
      </c>
      <c r="AI92" s="24">
        <v>0</v>
      </c>
      <c r="AJ92" s="33">
        <f t="shared" si="205"/>
        <v>0</v>
      </c>
      <c r="AK92" s="33">
        <f t="shared" si="186"/>
        <v>0</v>
      </c>
      <c r="AL92" s="33">
        <f t="shared" si="187"/>
        <v>0</v>
      </c>
      <c r="AM92" s="33">
        <f t="shared" si="188"/>
        <v>0</v>
      </c>
      <c r="AN92" s="33">
        <f t="shared" si="189"/>
        <v>0</v>
      </c>
      <c r="AO92" s="33">
        <f t="shared" si="190"/>
        <v>0</v>
      </c>
      <c r="AP92" s="33">
        <f t="shared" si="191"/>
        <v>0</v>
      </c>
      <c r="AQ92" s="33">
        <f t="shared" si="192"/>
        <v>0</v>
      </c>
      <c r="AR92" s="33">
        <f t="shared" si="193"/>
        <v>0</v>
      </c>
      <c r="AS92" s="33">
        <f t="shared" si="206"/>
        <v>0</v>
      </c>
    </row>
    <row r="93" spans="1:46" x14ac:dyDescent="0.35">
      <c r="A93" s="23" t="str">
        <f t="shared" si="185"/>
        <v>FS_2040</v>
      </c>
      <c r="B93" s="35" t="s">
        <v>45</v>
      </c>
      <c r="C93" s="25" t="str">
        <f t="shared" si="207"/>
        <v>kgCO2/GJ</v>
      </c>
      <c r="D93" s="25">
        <v>0</v>
      </c>
      <c r="E93" s="25">
        <v>0</v>
      </c>
      <c r="F93" s="25">
        <v>0</v>
      </c>
      <c r="G93" s="25">
        <v>0</v>
      </c>
      <c r="H93" s="25">
        <v>0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  <c r="V93" s="25">
        <v>0</v>
      </c>
      <c r="W93" s="25">
        <v>0</v>
      </c>
      <c r="X93" s="25">
        <v>0</v>
      </c>
      <c r="Y93" s="25">
        <v>0</v>
      </c>
      <c r="Z93" s="25">
        <v>0</v>
      </c>
      <c r="AA93" s="25">
        <v>0</v>
      </c>
      <c r="AB93" s="25">
        <v>0</v>
      </c>
      <c r="AC93" s="25">
        <v>0</v>
      </c>
      <c r="AD93" s="25">
        <v>0</v>
      </c>
      <c r="AE93" s="25">
        <v>0</v>
      </c>
      <c r="AF93" s="25">
        <v>0</v>
      </c>
      <c r="AG93" s="25">
        <v>0</v>
      </c>
      <c r="AH93" s="25">
        <v>0</v>
      </c>
      <c r="AI93" s="25">
        <v>0</v>
      </c>
      <c r="AJ93" s="33">
        <f t="shared" si="205"/>
        <v>0</v>
      </c>
      <c r="AK93" s="33">
        <f t="shared" si="186"/>
        <v>0</v>
      </c>
      <c r="AL93" s="33">
        <f t="shared" si="187"/>
        <v>0</v>
      </c>
      <c r="AM93" s="33">
        <f t="shared" si="188"/>
        <v>0</v>
      </c>
      <c r="AN93" s="33">
        <f t="shared" si="189"/>
        <v>0</v>
      </c>
      <c r="AO93" s="33">
        <f t="shared" si="190"/>
        <v>0</v>
      </c>
      <c r="AP93" s="33">
        <f t="shared" si="191"/>
        <v>0</v>
      </c>
      <c r="AQ93" s="33">
        <f t="shared" si="192"/>
        <v>0</v>
      </c>
      <c r="AR93" s="33">
        <f t="shared" si="193"/>
        <v>0</v>
      </c>
      <c r="AS93" s="33">
        <f t="shared" si="206"/>
        <v>0</v>
      </c>
    </row>
    <row r="94" spans="1:46" x14ac:dyDescent="0.35">
      <c r="A94" s="23" t="str">
        <f t="shared" si="185"/>
        <v>FS_2040</v>
      </c>
      <c r="B94" s="32" t="s">
        <v>46</v>
      </c>
      <c r="C94" s="24" t="str">
        <f t="shared" si="207"/>
        <v>kgCO2/GJ</v>
      </c>
      <c r="D94" s="24">
        <v>0</v>
      </c>
      <c r="E94" s="24">
        <v>0</v>
      </c>
      <c r="F94" s="24">
        <v>0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>
        <v>0</v>
      </c>
      <c r="AG94" s="24">
        <v>0</v>
      </c>
      <c r="AH94" s="24">
        <v>0</v>
      </c>
      <c r="AI94" s="24">
        <v>0</v>
      </c>
      <c r="AJ94" s="33">
        <f t="shared" si="205"/>
        <v>0</v>
      </c>
      <c r="AK94" s="33">
        <f t="shared" si="186"/>
        <v>0</v>
      </c>
      <c r="AL94" s="33">
        <f t="shared" si="187"/>
        <v>0</v>
      </c>
      <c r="AM94" s="33">
        <f t="shared" si="188"/>
        <v>0</v>
      </c>
      <c r="AN94" s="33">
        <f t="shared" si="189"/>
        <v>0</v>
      </c>
      <c r="AO94" s="33">
        <f t="shared" si="190"/>
        <v>0</v>
      </c>
      <c r="AP94" s="33">
        <f t="shared" si="191"/>
        <v>0</v>
      </c>
      <c r="AQ94" s="33">
        <f t="shared" si="192"/>
        <v>0</v>
      </c>
      <c r="AR94" s="33">
        <f t="shared" si="193"/>
        <v>0</v>
      </c>
      <c r="AS94" s="33">
        <f t="shared" si="206"/>
        <v>0</v>
      </c>
    </row>
    <row r="95" spans="1:46" x14ac:dyDescent="0.35">
      <c r="A95" s="23" t="str">
        <f t="shared" si="185"/>
        <v>FS_2040</v>
      </c>
      <c r="B95" s="35" t="s">
        <v>47</v>
      </c>
      <c r="C95" s="25" t="str">
        <f t="shared" si="207"/>
        <v>kgCO2/GJ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25">
        <v>0</v>
      </c>
      <c r="Q95" s="25">
        <v>0</v>
      </c>
      <c r="R95" s="25">
        <v>0</v>
      </c>
      <c r="S95" s="25">
        <v>0</v>
      </c>
      <c r="T95" s="25">
        <v>0</v>
      </c>
      <c r="U95" s="25">
        <v>0</v>
      </c>
      <c r="V95" s="25">
        <v>0</v>
      </c>
      <c r="W95" s="25">
        <v>0</v>
      </c>
      <c r="X95" s="25">
        <v>0</v>
      </c>
      <c r="Y95" s="25">
        <v>0</v>
      </c>
      <c r="Z95" s="25">
        <v>0</v>
      </c>
      <c r="AA95" s="25">
        <v>0</v>
      </c>
      <c r="AB95" s="25">
        <v>0</v>
      </c>
      <c r="AC95" s="25">
        <v>0</v>
      </c>
      <c r="AD95" s="25">
        <v>0</v>
      </c>
      <c r="AE95" s="25">
        <v>0</v>
      </c>
      <c r="AF95" s="25">
        <v>0</v>
      </c>
      <c r="AG95" s="25">
        <v>0</v>
      </c>
      <c r="AH95" s="25">
        <v>0</v>
      </c>
      <c r="AI95" s="25">
        <v>0</v>
      </c>
      <c r="AJ95" s="33">
        <f t="shared" si="205"/>
        <v>0</v>
      </c>
      <c r="AK95" s="33">
        <f t="shared" si="186"/>
        <v>0</v>
      </c>
      <c r="AL95" s="33">
        <f t="shared" si="187"/>
        <v>0</v>
      </c>
      <c r="AM95" s="33">
        <f t="shared" si="188"/>
        <v>0</v>
      </c>
      <c r="AN95" s="33">
        <f t="shared" si="189"/>
        <v>0</v>
      </c>
      <c r="AO95" s="33">
        <f t="shared" si="190"/>
        <v>0</v>
      </c>
      <c r="AP95" s="33">
        <f t="shared" si="191"/>
        <v>0</v>
      </c>
      <c r="AQ95" s="33">
        <f t="shared" si="192"/>
        <v>0</v>
      </c>
      <c r="AR95" s="33">
        <f t="shared" si="193"/>
        <v>0</v>
      </c>
      <c r="AS95" s="33">
        <f t="shared" si="206"/>
        <v>0</v>
      </c>
    </row>
    <row r="96" spans="1:46" x14ac:dyDescent="0.35">
      <c r="A96" s="42" t="str">
        <f t="shared" si="185"/>
        <v>FS_2040</v>
      </c>
      <c r="B96" s="43" t="s">
        <v>48</v>
      </c>
      <c r="C96" s="44" t="str">
        <f t="shared" si="207"/>
        <v>kgCO2/GJ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4">
        <v>0</v>
      </c>
      <c r="U96" s="44">
        <v>0</v>
      </c>
      <c r="V96" s="44">
        <v>0</v>
      </c>
      <c r="W96" s="44">
        <v>0</v>
      </c>
      <c r="X96" s="44">
        <v>0</v>
      </c>
      <c r="Y96" s="44">
        <v>0</v>
      </c>
      <c r="Z96" s="44">
        <v>0</v>
      </c>
      <c r="AA96" s="44">
        <v>0</v>
      </c>
      <c r="AB96" s="44">
        <v>0</v>
      </c>
      <c r="AC96" s="44">
        <v>0</v>
      </c>
      <c r="AD96" s="44">
        <v>0</v>
      </c>
      <c r="AE96" s="44">
        <v>0</v>
      </c>
      <c r="AF96" s="44">
        <v>0</v>
      </c>
      <c r="AG96" s="44">
        <v>0</v>
      </c>
      <c r="AH96" s="44">
        <v>0</v>
      </c>
      <c r="AI96" s="44">
        <v>0</v>
      </c>
      <c r="AJ96" s="45">
        <f t="shared" si="205"/>
        <v>0</v>
      </c>
      <c r="AK96" s="45">
        <f t="shared" si="186"/>
        <v>0</v>
      </c>
      <c r="AL96" s="45">
        <f t="shared" si="187"/>
        <v>0</v>
      </c>
      <c r="AM96" s="45">
        <f t="shared" si="188"/>
        <v>0</v>
      </c>
      <c r="AN96" s="45">
        <f t="shared" si="189"/>
        <v>0</v>
      </c>
      <c r="AO96" s="45">
        <f t="shared" si="190"/>
        <v>0</v>
      </c>
      <c r="AP96" s="45">
        <f t="shared" si="191"/>
        <v>0</v>
      </c>
      <c r="AQ96" s="45">
        <f t="shared" si="192"/>
        <v>0</v>
      </c>
      <c r="AR96" s="45">
        <f t="shared" si="193"/>
        <v>0</v>
      </c>
      <c r="AS96" s="45">
        <f t="shared" si="206"/>
        <v>0</v>
      </c>
    </row>
    <row r="97" spans="1:46" x14ac:dyDescent="0.35">
      <c r="A97" s="51" t="s">
        <v>53</v>
      </c>
      <c r="B97" s="32" t="s">
        <v>27</v>
      </c>
      <c r="C97" s="24" t="s">
        <v>13</v>
      </c>
      <c r="D97" s="33">
        <v>96</v>
      </c>
      <c r="E97" s="33">
        <f t="shared" ref="E97" si="208">D97</f>
        <v>96</v>
      </c>
      <c r="F97" s="33">
        <f t="shared" ref="F97" si="209">E97</f>
        <v>96</v>
      </c>
      <c r="G97" s="33">
        <f t="shared" ref="G97" si="210">F97</f>
        <v>96</v>
      </c>
      <c r="H97" s="33">
        <f t="shared" ref="H97" si="211">G97</f>
        <v>96</v>
      </c>
      <c r="I97" s="33">
        <f t="shared" ref="I97" si="212">H97</f>
        <v>96</v>
      </c>
      <c r="J97" s="33">
        <f t="shared" ref="J97" si="213">I97</f>
        <v>96</v>
      </c>
      <c r="K97" s="33">
        <f t="shared" ref="K97" si="214">J97</f>
        <v>96</v>
      </c>
      <c r="L97" s="33">
        <f t="shared" ref="L97" si="215">K97</f>
        <v>96</v>
      </c>
      <c r="M97" s="33">
        <f t="shared" ref="M97" si="216">L97</f>
        <v>96</v>
      </c>
      <c r="N97" s="33">
        <f t="shared" ref="N97" si="217">M97</f>
        <v>96</v>
      </c>
      <c r="O97" s="33">
        <f t="shared" ref="O97" si="218">N97</f>
        <v>96</v>
      </c>
      <c r="P97" s="33">
        <f t="shared" ref="P97" si="219">O97</f>
        <v>96</v>
      </c>
      <c r="Q97" s="33">
        <f t="shared" ref="Q97" si="220">P97</f>
        <v>96</v>
      </c>
      <c r="R97" s="33">
        <f t="shared" ref="R97" si="221">Q97</f>
        <v>96</v>
      </c>
      <c r="S97" s="33">
        <f t="shared" ref="S97" si="222">R97</f>
        <v>96</v>
      </c>
      <c r="T97" s="33">
        <f t="shared" ref="T97" si="223">S97</f>
        <v>96</v>
      </c>
      <c r="U97" s="33">
        <f t="shared" ref="U97" si="224">T97</f>
        <v>96</v>
      </c>
      <c r="V97" s="33">
        <f t="shared" ref="V97" si="225">U97</f>
        <v>96</v>
      </c>
      <c r="W97" s="33">
        <f t="shared" ref="W97" si="226">V97</f>
        <v>96</v>
      </c>
      <c r="X97" s="33">
        <f t="shared" ref="X97" si="227">W97</f>
        <v>96</v>
      </c>
      <c r="Y97" s="33">
        <f t="shared" ref="Y97" si="228">X97</f>
        <v>96</v>
      </c>
      <c r="Z97" s="33">
        <f t="shared" ref="Z97" si="229">Y97</f>
        <v>96</v>
      </c>
      <c r="AA97" s="33">
        <f t="shared" ref="AA97" si="230">Z97</f>
        <v>96</v>
      </c>
      <c r="AB97" s="33">
        <f t="shared" ref="AB97" si="231">AA97</f>
        <v>96</v>
      </c>
      <c r="AC97" s="33">
        <f t="shared" ref="AC97" si="232">AB97</f>
        <v>96</v>
      </c>
      <c r="AD97" s="33">
        <f t="shared" ref="AD97" si="233">AC97</f>
        <v>96</v>
      </c>
      <c r="AE97" s="33">
        <f t="shared" ref="AE97" si="234">AD97</f>
        <v>96</v>
      </c>
      <c r="AF97" s="33">
        <f t="shared" ref="AF97" si="235">AE97</f>
        <v>96</v>
      </c>
      <c r="AG97" s="33">
        <f t="shared" ref="AG97" si="236">AF97</f>
        <v>96</v>
      </c>
      <c r="AH97" s="33">
        <f t="shared" ref="AH97" si="237">AG97</f>
        <v>96</v>
      </c>
      <c r="AI97" s="33">
        <f t="shared" ref="AI97" si="238">AH97</f>
        <v>96</v>
      </c>
      <c r="AJ97" s="33">
        <f t="shared" si="205"/>
        <v>96</v>
      </c>
      <c r="AK97" s="33">
        <f t="shared" si="186"/>
        <v>96</v>
      </c>
      <c r="AL97" s="33">
        <f t="shared" si="187"/>
        <v>96</v>
      </c>
      <c r="AM97" s="33">
        <f t="shared" si="188"/>
        <v>96</v>
      </c>
      <c r="AN97" s="33">
        <f t="shared" si="189"/>
        <v>96</v>
      </c>
      <c r="AO97" s="33">
        <f t="shared" si="190"/>
        <v>96</v>
      </c>
      <c r="AP97" s="33">
        <f t="shared" si="191"/>
        <v>96</v>
      </c>
      <c r="AQ97" s="33">
        <f t="shared" si="192"/>
        <v>96</v>
      </c>
      <c r="AR97" s="33">
        <f t="shared" si="193"/>
        <v>96</v>
      </c>
      <c r="AS97" s="33">
        <f t="shared" si="206"/>
        <v>96</v>
      </c>
      <c r="AT97" s="34" t="s">
        <v>28</v>
      </c>
    </row>
    <row r="98" spans="1:46" x14ac:dyDescent="0.35">
      <c r="A98" s="51" t="str">
        <f>A97</f>
        <v>FS_2045</v>
      </c>
      <c r="B98" s="35" t="s">
        <v>29</v>
      </c>
      <c r="C98" s="25" t="str">
        <f t="shared" ref="C98:AI98" si="239">C97</f>
        <v>kgCO2/GJ</v>
      </c>
      <c r="D98" s="36">
        <f t="shared" si="239"/>
        <v>96</v>
      </c>
      <c r="E98" s="36">
        <f t="shared" si="239"/>
        <v>96</v>
      </c>
      <c r="F98" s="36">
        <f t="shared" si="239"/>
        <v>96</v>
      </c>
      <c r="G98" s="36">
        <f t="shared" si="239"/>
        <v>96</v>
      </c>
      <c r="H98" s="36">
        <f t="shared" si="239"/>
        <v>96</v>
      </c>
      <c r="I98" s="36">
        <f t="shared" si="239"/>
        <v>96</v>
      </c>
      <c r="J98" s="36">
        <f t="shared" si="239"/>
        <v>96</v>
      </c>
      <c r="K98" s="36">
        <f t="shared" si="239"/>
        <v>96</v>
      </c>
      <c r="L98" s="36">
        <f t="shared" si="239"/>
        <v>96</v>
      </c>
      <c r="M98" s="36">
        <f t="shared" si="239"/>
        <v>96</v>
      </c>
      <c r="N98" s="36">
        <f t="shared" si="239"/>
        <v>96</v>
      </c>
      <c r="O98" s="36">
        <f t="shared" si="239"/>
        <v>96</v>
      </c>
      <c r="P98" s="36">
        <f t="shared" si="239"/>
        <v>96</v>
      </c>
      <c r="Q98" s="36">
        <f t="shared" si="239"/>
        <v>96</v>
      </c>
      <c r="R98" s="36">
        <f t="shared" si="239"/>
        <v>96</v>
      </c>
      <c r="S98" s="36">
        <f t="shared" si="239"/>
        <v>96</v>
      </c>
      <c r="T98" s="36">
        <f t="shared" si="239"/>
        <v>96</v>
      </c>
      <c r="U98" s="36">
        <f t="shared" si="239"/>
        <v>96</v>
      </c>
      <c r="V98" s="36">
        <f t="shared" si="239"/>
        <v>96</v>
      </c>
      <c r="W98" s="36">
        <f t="shared" si="239"/>
        <v>96</v>
      </c>
      <c r="X98" s="36">
        <f t="shared" si="239"/>
        <v>96</v>
      </c>
      <c r="Y98" s="36">
        <f t="shared" si="239"/>
        <v>96</v>
      </c>
      <c r="Z98" s="36">
        <f t="shared" si="239"/>
        <v>96</v>
      </c>
      <c r="AA98" s="36">
        <f t="shared" si="239"/>
        <v>96</v>
      </c>
      <c r="AB98" s="36">
        <f t="shared" si="239"/>
        <v>96</v>
      </c>
      <c r="AC98" s="36">
        <f t="shared" si="239"/>
        <v>96</v>
      </c>
      <c r="AD98" s="36">
        <f t="shared" si="239"/>
        <v>96</v>
      </c>
      <c r="AE98" s="36">
        <f t="shared" si="239"/>
        <v>96</v>
      </c>
      <c r="AF98" s="36">
        <f t="shared" si="239"/>
        <v>96</v>
      </c>
      <c r="AG98" s="36">
        <f t="shared" si="239"/>
        <v>96</v>
      </c>
      <c r="AH98" s="36">
        <f t="shared" si="239"/>
        <v>96</v>
      </c>
      <c r="AI98" s="36">
        <f t="shared" si="239"/>
        <v>96</v>
      </c>
      <c r="AJ98" s="33">
        <f t="shared" si="205"/>
        <v>96</v>
      </c>
      <c r="AK98" s="33">
        <f t="shared" si="186"/>
        <v>96</v>
      </c>
      <c r="AL98" s="33">
        <f t="shared" si="187"/>
        <v>96</v>
      </c>
      <c r="AM98" s="33">
        <f t="shared" si="188"/>
        <v>96</v>
      </c>
      <c r="AN98" s="33">
        <f t="shared" si="189"/>
        <v>96</v>
      </c>
      <c r="AO98" s="33">
        <f t="shared" si="190"/>
        <v>96</v>
      </c>
      <c r="AP98" s="33">
        <f t="shared" si="191"/>
        <v>96</v>
      </c>
      <c r="AQ98" s="33">
        <f t="shared" si="192"/>
        <v>96</v>
      </c>
      <c r="AR98" s="33">
        <f t="shared" si="193"/>
        <v>96</v>
      </c>
      <c r="AS98" s="33">
        <f t="shared" si="206"/>
        <v>96</v>
      </c>
      <c r="AT98" s="35" t="s">
        <v>28</v>
      </c>
    </row>
    <row r="99" spans="1:46" x14ac:dyDescent="0.35">
      <c r="A99" s="51" t="str">
        <f t="shared" ref="A99:A115" si="240">A98</f>
        <v>FS_2045</v>
      </c>
      <c r="B99" s="32" t="s">
        <v>30</v>
      </c>
      <c r="C99" s="24" t="str">
        <f t="shared" ref="C99" si="241">C98</f>
        <v>kgCO2/GJ</v>
      </c>
      <c r="D99" s="24">
        <v>74</v>
      </c>
      <c r="E99" s="24">
        <v>74</v>
      </c>
      <c r="F99" s="24">
        <v>74</v>
      </c>
      <c r="G99" s="24">
        <v>74</v>
      </c>
      <c r="H99" s="24">
        <v>74</v>
      </c>
      <c r="I99" s="24">
        <v>74</v>
      </c>
      <c r="J99" s="24">
        <v>74</v>
      </c>
      <c r="K99" s="24">
        <v>74</v>
      </c>
      <c r="L99" s="24">
        <v>74</v>
      </c>
      <c r="M99" s="24">
        <v>74</v>
      </c>
      <c r="N99" s="24">
        <v>74</v>
      </c>
      <c r="O99" s="24">
        <v>74</v>
      </c>
      <c r="P99" s="24">
        <v>74</v>
      </c>
      <c r="Q99" s="24">
        <v>74</v>
      </c>
      <c r="R99" s="24">
        <v>74</v>
      </c>
      <c r="S99" s="24">
        <v>74</v>
      </c>
      <c r="T99" s="24">
        <v>74</v>
      </c>
      <c r="U99" s="24">
        <v>74</v>
      </c>
      <c r="V99" s="24">
        <v>74</v>
      </c>
      <c r="W99" s="24">
        <v>74</v>
      </c>
      <c r="X99" s="24">
        <v>74</v>
      </c>
      <c r="Y99" s="24">
        <v>74</v>
      </c>
      <c r="Z99" s="24">
        <v>74</v>
      </c>
      <c r="AA99" s="24">
        <v>74</v>
      </c>
      <c r="AB99" s="24">
        <v>74</v>
      </c>
      <c r="AC99" s="24">
        <v>74</v>
      </c>
      <c r="AD99" s="57">
        <v>0</v>
      </c>
      <c r="AE99" s="57">
        <v>0</v>
      </c>
      <c r="AF99" s="57">
        <v>0</v>
      </c>
      <c r="AG99" s="57">
        <v>0</v>
      </c>
      <c r="AH99" s="57">
        <v>0</v>
      </c>
      <c r="AI99" s="57">
        <v>0</v>
      </c>
      <c r="AJ99" s="58">
        <f t="shared" si="205"/>
        <v>0</v>
      </c>
      <c r="AK99" s="58">
        <f t="shared" si="186"/>
        <v>0</v>
      </c>
      <c r="AL99" s="58">
        <f t="shared" si="187"/>
        <v>0</v>
      </c>
      <c r="AM99" s="58">
        <f t="shared" si="188"/>
        <v>0</v>
      </c>
      <c r="AN99" s="58">
        <f t="shared" si="189"/>
        <v>0</v>
      </c>
      <c r="AO99" s="58">
        <f t="shared" si="190"/>
        <v>0</v>
      </c>
      <c r="AP99" s="58">
        <f t="shared" si="191"/>
        <v>0</v>
      </c>
      <c r="AQ99" s="58">
        <f t="shared" si="192"/>
        <v>0</v>
      </c>
      <c r="AR99" s="58">
        <f t="shared" si="193"/>
        <v>0</v>
      </c>
      <c r="AS99" s="58">
        <f t="shared" si="206"/>
        <v>0</v>
      </c>
      <c r="AT99" s="32" t="s">
        <v>31</v>
      </c>
    </row>
    <row r="100" spans="1:46" x14ac:dyDescent="0.35">
      <c r="A100" s="51" t="str">
        <f t="shared" si="240"/>
        <v>FS_2045</v>
      </c>
      <c r="B100" s="35" t="s">
        <v>32</v>
      </c>
      <c r="C100" s="25" t="str">
        <f t="shared" ref="C100" si="242">C99</f>
        <v>kgCO2/GJ</v>
      </c>
      <c r="D100" s="25">
        <v>74</v>
      </c>
      <c r="E100" s="25">
        <v>74</v>
      </c>
      <c r="F100" s="25">
        <v>74</v>
      </c>
      <c r="G100" s="25">
        <v>74</v>
      </c>
      <c r="H100" s="25">
        <v>74</v>
      </c>
      <c r="I100" s="25">
        <v>74</v>
      </c>
      <c r="J100" s="25">
        <v>74</v>
      </c>
      <c r="K100" s="25">
        <v>74</v>
      </c>
      <c r="L100" s="25">
        <v>74</v>
      </c>
      <c r="M100" s="25">
        <v>74</v>
      </c>
      <c r="N100" s="25">
        <v>74</v>
      </c>
      <c r="O100" s="25">
        <v>74</v>
      </c>
      <c r="P100" s="25">
        <v>74</v>
      </c>
      <c r="Q100" s="25">
        <v>74</v>
      </c>
      <c r="R100" s="25">
        <v>74</v>
      </c>
      <c r="S100" s="25">
        <v>74</v>
      </c>
      <c r="T100" s="25">
        <v>74</v>
      </c>
      <c r="U100" s="25">
        <v>74</v>
      </c>
      <c r="V100" s="25">
        <v>74</v>
      </c>
      <c r="W100" s="25">
        <v>74</v>
      </c>
      <c r="X100" s="25">
        <v>74</v>
      </c>
      <c r="Y100" s="25">
        <v>74</v>
      </c>
      <c r="Z100" s="25">
        <v>74</v>
      </c>
      <c r="AA100" s="25">
        <v>74</v>
      </c>
      <c r="AB100" s="25">
        <v>74</v>
      </c>
      <c r="AC100" s="25">
        <v>74</v>
      </c>
      <c r="AD100" s="59">
        <v>0</v>
      </c>
      <c r="AE100" s="59">
        <v>0</v>
      </c>
      <c r="AF100" s="59">
        <v>0</v>
      </c>
      <c r="AG100" s="59">
        <v>0</v>
      </c>
      <c r="AH100" s="59">
        <v>0</v>
      </c>
      <c r="AI100" s="59">
        <v>0</v>
      </c>
      <c r="AJ100" s="58">
        <f t="shared" si="205"/>
        <v>0</v>
      </c>
      <c r="AK100" s="58">
        <f t="shared" si="186"/>
        <v>0</v>
      </c>
      <c r="AL100" s="58">
        <f t="shared" si="187"/>
        <v>0</v>
      </c>
      <c r="AM100" s="58">
        <f t="shared" si="188"/>
        <v>0</v>
      </c>
      <c r="AN100" s="58">
        <f t="shared" si="189"/>
        <v>0</v>
      </c>
      <c r="AO100" s="58">
        <f t="shared" si="190"/>
        <v>0</v>
      </c>
      <c r="AP100" s="58">
        <f t="shared" si="191"/>
        <v>0</v>
      </c>
      <c r="AQ100" s="58">
        <f t="shared" si="192"/>
        <v>0</v>
      </c>
      <c r="AR100" s="58">
        <f t="shared" si="193"/>
        <v>0</v>
      </c>
      <c r="AS100" s="58">
        <f t="shared" si="206"/>
        <v>0</v>
      </c>
      <c r="AT100" s="35" t="s">
        <v>31</v>
      </c>
    </row>
    <row r="101" spans="1:46" x14ac:dyDescent="0.35">
      <c r="A101" s="51" t="str">
        <f t="shared" si="240"/>
        <v>FS_2045</v>
      </c>
      <c r="B101" s="32" t="s">
        <v>33</v>
      </c>
      <c r="C101" s="24" t="str">
        <f t="shared" ref="C101" si="243">C100</f>
        <v>kgCO2/GJ</v>
      </c>
      <c r="D101" s="24">
        <v>74</v>
      </c>
      <c r="E101" s="24">
        <v>74</v>
      </c>
      <c r="F101" s="24">
        <v>74</v>
      </c>
      <c r="G101" s="24">
        <v>74</v>
      </c>
      <c r="H101" s="24">
        <v>74</v>
      </c>
      <c r="I101" s="24">
        <v>74</v>
      </c>
      <c r="J101" s="24">
        <v>74</v>
      </c>
      <c r="K101" s="24">
        <v>74</v>
      </c>
      <c r="L101" s="24">
        <v>74</v>
      </c>
      <c r="M101" s="24">
        <v>74</v>
      </c>
      <c r="N101" s="24">
        <v>74</v>
      </c>
      <c r="O101" s="24">
        <v>74</v>
      </c>
      <c r="P101" s="24">
        <v>74</v>
      </c>
      <c r="Q101" s="24">
        <v>74</v>
      </c>
      <c r="R101" s="24">
        <v>74</v>
      </c>
      <c r="S101" s="24">
        <v>74</v>
      </c>
      <c r="T101" s="24">
        <v>74</v>
      </c>
      <c r="U101" s="24">
        <v>74</v>
      </c>
      <c r="V101" s="24">
        <v>74</v>
      </c>
      <c r="W101" s="24">
        <v>74</v>
      </c>
      <c r="X101" s="24">
        <v>74</v>
      </c>
      <c r="Y101" s="24">
        <v>74</v>
      </c>
      <c r="Z101" s="24">
        <v>74</v>
      </c>
      <c r="AA101" s="24">
        <v>74</v>
      </c>
      <c r="AB101" s="24">
        <v>74</v>
      </c>
      <c r="AC101" s="24">
        <v>74</v>
      </c>
      <c r="AD101" s="24">
        <v>74</v>
      </c>
      <c r="AE101" s="24">
        <v>74</v>
      </c>
      <c r="AF101" s="24">
        <v>74</v>
      </c>
      <c r="AG101" s="24">
        <v>74</v>
      </c>
      <c r="AH101" s="24">
        <v>74</v>
      </c>
      <c r="AI101" s="24">
        <v>74</v>
      </c>
      <c r="AJ101" s="33">
        <f t="shared" si="205"/>
        <v>74</v>
      </c>
      <c r="AK101" s="33">
        <f t="shared" si="186"/>
        <v>74</v>
      </c>
      <c r="AL101" s="33">
        <f t="shared" si="187"/>
        <v>74</v>
      </c>
      <c r="AM101" s="33">
        <f t="shared" si="188"/>
        <v>74</v>
      </c>
      <c r="AN101" s="33">
        <f t="shared" si="189"/>
        <v>74</v>
      </c>
      <c r="AO101" s="33">
        <f t="shared" si="190"/>
        <v>74</v>
      </c>
      <c r="AP101" s="33">
        <f t="shared" si="191"/>
        <v>74</v>
      </c>
      <c r="AQ101" s="33">
        <f t="shared" si="192"/>
        <v>74</v>
      </c>
      <c r="AR101" s="33">
        <f t="shared" si="193"/>
        <v>74</v>
      </c>
      <c r="AS101" s="33">
        <f t="shared" si="206"/>
        <v>74</v>
      </c>
      <c r="AT101" s="32"/>
    </row>
    <row r="102" spans="1:46" x14ac:dyDescent="0.35">
      <c r="A102" s="51" t="str">
        <f t="shared" si="240"/>
        <v>FS_2045</v>
      </c>
      <c r="B102" s="35" t="s">
        <v>34</v>
      </c>
      <c r="C102" s="25" t="str">
        <f t="shared" ref="C102" si="244">C101</f>
        <v>kgCO2/GJ</v>
      </c>
      <c r="D102" s="25">
        <v>69</v>
      </c>
      <c r="E102" s="25">
        <v>69</v>
      </c>
      <c r="F102" s="25">
        <v>69</v>
      </c>
      <c r="G102" s="25">
        <v>69</v>
      </c>
      <c r="H102" s="25">
        <v>69</v>
      </c>
      <c r="I102" s="25">
        <v>69</v>
      </c>
      <c r="J102" s="25">
        <v>69</v>
      </c>
      <c r="K102" s="25">
        <v>69</v>
      </c>
      <c r="L102" s="25">
        <v>69</v>
      </c>
      <c r="M102" s="25">
        <v>69</v>
      </c>
      <c r="N102" s="25">
        <v>69</v>
      </c>
      <c r="O102" s="25">
        <v>69</v>
      </c>
      <c r="P102" s="25">
        <v>69</v>
      </c>
      <c r="Q102" s="25">
        <v>69</v>
      </c>
      <c r="R102" s="25">
        <v>69</v>
      </c>
      <c r="S102" s="25">
        <v>69</v>
      </c>
      <c r="T102" s="25">
        <v>69</v>
      </c>
      <c r="U102" s="25">
        <v>69</v>
      </c>
      <c r="V102" s="25">
        <v>69</v>
      </c>
      <c r="W102" s="25">
        <v>69</v>
      </c>
      <c r="X102" s="25">
        <v>69</v>
      </c>
      <c r="Y102" s="25">
        <v>69</v>
      </c>
      <c r="Z102" s="25">
        <v>69</v>
      </c>
      <c r="AA102" s="25">
        <v>69</v>
      </c>
      <c r="AB102" s="25">
        <v>69</v>
      </c>
      <c r="AC102" s="25">
        <v>69</v>
      </c>
      <c r="AD102" s="25">
        <v>69</v>
      </c>
      <c r="AE102" s="25">
        <v>69</v>
      </c>
      <c r="AF102" s="25">
        <v>69</v>
      </c>
      <c r="AG102" s="25">
        <v>69</v>
      </c>
      <c r="AH102" s="25">
        <v>69</v>
      </c>
      <c r="AI102" s="25">
        <v>69</v>
      </c>
      <c r="AJ102" s="33">
        <f t="shared" si="205"/>
        <v>69</v>
      </c>
      <c r="AK102" s="33">
        <f t="shared" si="186"/>
        <v>69</v>
      </c>
      <c r="AL102" s="33">
        <f t="shared" si="187"/>
        <v>69</v>
      </c>
      <c r="AM102" s="33">
        <f t="shared" si="188"/>
        <v>69</v>
      </c>
      <c r="AN102" s="33">
        <f t="shared" si="189"/>
        <v>69</v>
      </c>
      <c r="AO102" s="33">
        <f t="shared" si="190"/>
        <v>69</v>
      </c>
      <c r="AP102" s="33">
        <f t="shared" si="191"/>
        <v>69</v>
      </c>
      <c r="AQ102" s="33">
        <f t="shared" si="192"/>
        <v>69</v>
      </c>
      <c r="AR102" s="33">
        <f t="shared" si="193"/>
        <v>69</v>
      </c>
      <c r="AS102" s="33">
        <f t="shared" si="206"/>
        <v>69</v>
      </c>
      <c r="AT102" s="35"/>
    </row>
    <row r="103" spans="1:46" x14ac:dyDescent="0.35">
      <c r="A103" s="51" t="str">
        <f t="shared" si="240"/>
        <v>FS_2045</v>
      </c>
      <c r="B103" s="32" t="s">
        <v>35</v>
      </c>
      <c r="C103" s="24" t="str">
        <f t="shared" ref="C103" si="245">C102</f>
        <v>kgCO2/GJ</v>
      </c>
      <c r="D103" s="24">
        <v>69</v>
      </c>
      <c r="E103" s="24">
        <v>69</v>
      </c>
      <c r="F103" s="24">
        <v>69</v>
      </c>
      <c r="G103" s="24">
        <v>69</v>
      </c>
      <c r="H103" s="24">
        <v>69</v>
      </c>
      <c r="I103" s="24">
        <v>69</v>
      </c>
      <c r="J103" s="24">
        <v>69</v>
      </c>
      <c r="K103" s="24">
        <v>69</v>
      </c>
      <c r="L103" s="24">
        <v>69</v>
      </c>
      <c r="M103" s="24">
        <v>69</v>
      </c>
      <c r="N103" s="24">
        <v>69</v>
      </c>
      <c r="O103" s="24">
        <v>69</v>
      </c>
      <c r="P103" s="24">
        <v>69</v>
      </c>
      <c r="Q103" s="24">
        <v>69</v>
      </c>
      <c r="R103" s="24">
        <v>69</v>
      </c>
      <c r="S103" s="24">
        <v>69</v>
      </c>
      <c r="T103" s="24">
        <v>69</v>
      </c>
      <c r="U103" s="24">
        <v>69</v>
      </c>
      <c r="V103" s="24">
        <v>69</v>
      </c>
      <c r="W103" s="24">
        <v>69</v>
      </c>
      <c r="X103" s="24">
        <v>69</v>
      </c>
      <c r="Y103" s="24">
        <v>69</v>
      </c>
      <c r="Z103" s="24">
        <v>69</v>
      </c>
      <c r="AA103" s="24">
        <v>69</v>
      </c>
      <c r="AB103" s="24">
        <v>69</v>
      </c>
      <c r="AC103" s="24">
        <v>69</v>
      </c>
      <c r="AD103" s="57">
        <v>0</v>
      </c>
      <c r="AE103" s="57">
        <v>0</v>
      </c>
      <c r="AF103" s="57">
        <v>0</v>
      </c>
      <c r="AG103" s="57">
        <v>0</v>
      </c>
      <c r="AH103" s="57">
        <v>0</v>
      </c>
      <c r="AI103" s="57">
        <v>0</v>
      </c>
      <c r="AJ103" s="58">
        <f t="shared" si="205"/>
        <v>0</v>
      </c>
      <c r="AK103" s="58">
        <f t="shared" si="186"/>
        <v>0</v>
      </c>
      <c r="AL103" s="58">
        <f t="shared" si="187"/>
        <v>0</v>
      </c>
      <c r="AM103" s="58">
        <f t="shared" si="188"/>
        <v>0</v>
      </c>
      <c r="AN103" s="58">
        <f t="shared" si="189"/>
        <v>0</v>
      </c>
      <c r="AO103" s="58">
        <f t="shared" si="190"/>
        <v>0</v>
      </c>
      <c r="AP103" s="58">
        <f t="shared" si="191"/>
        <v>0</v>
      </c>
      <c r="AQ103" s="58">
        <f t="shared" si="192"/>
        <v>0</v>
      </c>
      <c r="AR103" s="58">
        <f t="shared" si="193"/>
        <v>0</v>
      </c>
      <c r="AS103" s="58">
        <f t="shared" si="206"/>
        <v>0</v>
      </c>
      <c r="AT103" s="32" t="s">
        <v>36</v>
      </c>
    </row>
    <row r="104" spans="1:46" x14ac:dyDescent="0.35">
      <c r="A104" s="51" t="str">
        <f t="shared" si="240"/>
        <v>FS_2045</v>
      </c>
      <c r="B104" s="35" t="s">
        <v>37</v>
      </c>
      <c r="C104" s="25" t="str">
        <f t="shared" ref="C104" si="246">C103</f>
        <v>kgCO2/GJ</v>
      </c>
      <c r="D104" s="25">
        <v>69</v>
      </c>
      <c r="E104" s="25">
        <v>69</v>
      </c>
      <c r="F104" s="25">
        <v>69</v>
      </c>
      <c r="G104" s="25">
        <v>69</v>
      </c>
      <c r="H104" s="25">
        <v>69</v>
      </c>
      <c r="I104" s="25">
        <v>69</v>
      </c>
      <c r="J104" s="25">
        <v>69</v>
      </c>
      <c r="K104" s="25">
        <v>69</v>
      </c>
      <c r="L104" s="25">
        <v>69</v>
      </c>
      <c r="M104" s="25">
        <v>69</v>
      </c>
      <c r="N104" s="25">
        <v>69</v>
      </c>
      <c r="O104" s="25">
        <v>69</v>
      </c>
      <c r="P104" s="25">
        <v>69</v>
      </c>
      <c r="Q104" s="25">
        <v>69</v>
      </c>
      <c r="R104" s="25">
        <v>69</v>
      </c>
      <c r="S104" s="25">
        <v>69</v>
      </c>
      <c r="T104" s="25">
        <v>69</v>
      </c>
      <c r="U104" s="25">
        <v>69</v>
      </c>
      <c r="V104" s="25">
        <v>69</v>
      </c>
      <c r="W104" s="25">
        <v>69</v>
      </c>
      <c r="X104" s="25">
        <v>69</v>
      </c>
      <c r="Y104" s="25">
        <v>69</v>
      </c>
      <c r="Z104" s="25">
        <v>69</v>
      </c>
      <c r="AA104" s="25">
        <v>69</v>
      </c>
      <c r="AB104" s="25">
        <v>69</v>
      </c>
      <c r="AC104" s="25">
        <v>69</v>
      </c>
      <c r="AD104" s="59">
        <v>0</v>
      </c>
      <c r="AE104" s="59">
        <v>0</v>
      </c>
      <c r="AF104" s="59">
        <v>0</v>
      </c>
      <c r="AG104" s="59">
        <v>0</v>
      </c>
      <c r="AH104" s="59">
        <v>0</v>
      </c>
      <c r="AI104" s="59">
        <v>0</v>
      </c>
      <c r="AJ104" s="58">
        <f t="shared" si="205"/>
        <v>0</v>
      </c>
      <c r="AK104" s="58">
        <f t="shared" si="186"/>
        <v>0</v>
      </c>
      <c r="AL104" s="58">
        <f t="shared" si="187"/>
        <v>0</v>
      </c>
      <c r="AM104" s="58">
        <f t="shared" si="188"/>
        <v>0</v>
      </c>
      <c r="AN104" s="58">
        <f t="shared" si="189"/>
        <v>0</v>
      </c>
      <c r="AO104" s="58">
        <f t="shared" si="190"/>
        <v>0</v>
      </c>
      <c r="AP104" s="58">
        <f t="shared" si="191"/>
        <v>0</v>
      </c>
      <c r="AQ104" s="58">
        <f t="shared" si="192"/>
        <v>0</v>
      </c>
      <c r="AR104" s="58">
        <f t="shared" si="193"/>
        <v>0</v>
      </c>
      <c r="AS104" s="58">
        <f t="shared" si="206"/>
        <v>0</v>
      </c>
      <c r="AT104" s="35" t="s">
        <v>36</v>
      </c>
    </row>
    <row r="105" spans="1:46" x14ac:dyDescent="0.35">
      <c r="A105" s="51" t="str">
        <f t="shared" si="240"/>
        <v>FS_2045</v>
      </c>
      <c r="B105" s="32" t="s">
        <v>38</v>
      </c>
      <c r="C105" s="24" t="str">
        <f t="shared" ref="C105" si="247">C104</f>
        <v>kgCO2/GJ</v>
      </c>
      <c r="D105" s="24">
        <v>69</v>
      </c>
      <c r="E105" s="24">
        <v>69</v>
      </c>
      <c r="F105" s="24">
        <v>69</v>
      </c>
      <c r="G105" s="24">
        <v>69</v>
      </c>
      <c r="H105" s="24">
        <v>69</v>
      </c>
      <c r="I105" s="24">
        <v>69</v>
      </c>
      <c r="J105" s="24">
        <v>69</v>
      </c>
      <c r="K105" s="24">
        <v>69</v>
      </c>
      <c r="L105" s="24">
        <v>69</v>
      </c>
      <c r="M105" s="24">
        <v>69</v>
      </c>
      <c r="N105" s="24">
        <v>69</v>
      </c>
      <c r="O105" s="24">
        <v>69</v>
      </c>
      <c r="P105" s="24">
        <v>69</v>
      </c>
      <c r="Q105" s="24">
        <v>69</v>
      </c>
      <c r="R105" s="24">
        <v>69</v>
      </c>
      <c r="S105" s="24">
        <v>69</v>
      </c>
      <c r="T105" s="24">
        <v>69</v>
      </c>
      <c r="U105" s="24">
        <v>69</v>
      </c>
      <c r="V105" s="24">
        <v>69</v>
      </c>
      <c r="W105" s="24">
        <v>69</v>
      </c>
      <c r="X105" s="24">
        <v>69</v>
      </c>
      <c r="Y105" s="24">
        <v>69</v>
      </c>
      <c r="Z105" s="24">
        <v>69</v>
      </c>
      <c r="AA105" s="24">
        <v>69</v>
      </c>
      <c r="AB105" s="24">
        <v>69</v>
      </c>
      <c r="AC105" s="24">
        <v>69</v>
      </c>
      <c r="AD105" s="24">
        <v>69</v>
      </c>
      <c r="AE105" s="24">
        <v>69</v>
      </c>
      <c r="AF105" s="24">
        <v>69</v>
      </c>
      <c r="AG105" s="24">
        <v>69</v>
      </c>
      <c r="AH105" s="24">
        <v>69</v>
      </c>
      <c r="AI105" s="57">
        <v>0</v>
      </c>
      <c r="AJ105" s="58">
        <f t="shared" si="205"/>
        <v>0</v>
      </c>
      <c r="AK105" s="58">
        <f t="shared" si="186"/>
        <v>0</v>
      </c>
      <c r="AL105" s="58">
        <f t="shared" si="187"/>
        <v>0</v>
      </c>
      <c r="AM105" s="58">
        <f t="shared" si="188"/>
        <v>0</v>
      </c>
      <c r="AN105" s="58">
        <f t="shared" si="189"/>
        <v>0</v>
      </c>
      <c r="AO105" s="58">
        <f t="shared" si="190"/>
        <v>0</v>
      </c>
      <c r="AP105" s="58">
        <f t="shared" si="191"/>
        <v>0</v>
      </c>
      <c r="AQ105" s="58">
        <f t="shared" si="192"/>
        <v>0</v>
      </c>
      <c r="AR105" s="58">
        <f t="shared" si="193"/>
        <v>0</v>
      </c>
      <c r="AS105" s="58">
        <f t="shared" si="206"/>
        <v>0</v>
      </c>
      <c r="AT105" s="32" t="s">
        <v>36</v>
      </c>
    </row>
    <row r="106" spans="1:46" x14ac:dyDescent="0.35">
      <c r="A106" s="51" t="str">
        <f t="shared" si="240"/>
        <v>FS_2045</v>
      </c>
      <c r="B106" s="35" t="s">
        <v>39</v>
      </c>
      <c r="C106" s="25" t="str">
        <f t="shared" ref="C106" si="248">C105</f>
        <v>kgCO2/GJ</v>
      </c>
      <c r="D106" s="25">
        <v>69</v>
      </c>
      <c r="E106" s="25">
        <v>69</v>
      </c>
      <c r="F106" s="25">
        <v>69</v>
      </c>
      <c r="G106" s="25">
        <v>69</v>
      </c>
      <c r="H106" s="25">
        <v>69</v>
      </c>
      <c r="I106" s="25">
        <v>69</v>
      </c>
      <c r="J106" s="25">
        <v>69</v>
      </c>
      <c r="K106" s="25">
        <v>69</v>
      </c>
      <c r="L106" s="25">
        <v>69</v>
      </c>
      <c r="M106" s="25">
        <v>69</v>
      </c>
      <c r="N106" s="25">
        <v>69</v>
      </c>
      <c r="O106" s="25">
        <v>69</v>
      </c>
      <c r="P106" s="25">
        <v>69</v>
      </c>
      <c r="Q106" s="25">
        <v>69</v>
      </c>
      <c r="R106" s="25">
        <v>69</v>
      </c>
      <c r="S106" s="25">
        <v>69</v>
      </c>
      <c r="T106" s="25">
        <v>69</v>
      </c>
      <c r="U106" s="25">
        <v>69</v>
      </c>
      <c r="V106" s="25">
        <v>69</v>
      </c>
      <c r="W106" s="25">
        <v>69</v>
      </c>
      <c r="X106" s="25">
        <v>69</v>
      </c>
      <c r="Y106" s="25">
        <v>69</v>
      </c>
      <c r="Z106" s="25">
        <v>69</v>
      </c>
      <c r="AA106" s="25">
        <v>69</v>
      </c>
      <c r="AB106" s="25">
        <v>69</v>
      </c>
      <c r="AC106" s="25">
        <v>69</v>
      </c>
      <c r="AD106" s="25">
        <v>69</v>
      </c>
      <c r="AE106" s="25">
        <v>69</v>
      </c>
      <c r="AF106" s="25">
        <v>69</v>
      </c>
      <c r="AG106" s="25">
        <v>69</v>
      </c>
      <c r="AH106" s="25">
        <v>69</v>
      </c>
      <c r="AI106" s="25">
        <v>69</v>
      </c>
      <c r="AJ106" s="25">
        <v>69</v>
      </c>
      <c r="AK106" s="25">
        <v>69</v>
      </c>
      <c r="AL106" s="25">
        <v>69</v>
      </c>
      <c r="AM106" s="25">
        <v>69</v>
      </c>
      <c r="AN106" s="58">
        <v>0</v>
      </c>
      <c r="AO106" s="58">
        <f>AN106</f>
        <v>0</v>
      </c>
      <c r="AP106" s="58">
        <f>AO106</f>
        <v>0</v>
      </c>
      <c r="AQ106" s="58">
        <f>AP106</f>
        <v>0</v>
      </c>
      <c r="AR106" s="58">
        <f>AQ106</f>
        <v>0</v>
      </c>
      <c r="AS106" s="58">
        <f>AR106</f>
        <v>0</v>
      </c>
      <c r="AT106" s="35" t="s">
        <v>36</v>
      </c>
    </row>
    <row r="107" spans="1:46" x14ac:dyDescent="0.35">
      <c r="A107" s="51" t="str">
        <f t="shared" si="240"/>
        <v>FS_2045</v>
      </c>
      <c r="B107" s="32" t="s">
        <v>40</v>
      </c>
      <c r="C107" s="24" t="str">
        <f t="shared" ref="C107" si="249">C106</f>
        <v>kgCO2/GJ</v>
      </c>
      <c r="D107" s="24">
        <v>69</v>
      </c>
      <c r="E107" s="24">
        <v>69</v>
      </c>
      <c r="F107" s="24">
        <v>69</v>
      </c>
      <c r="G107" s="24">
        <v>69</v>
      </c>
      <c r="H107" s="24">
        <v>69</v>
      </c>
      <c r="I107" s="24">
        <v>69</v>
      </c>
      <c r="J107" s="24">
        <v>69</v>
      </c>
      <c r="K107" s="24">
        <v>69</v>
      </c>
      <c r="L107" s="24">
        <v>69</v>
      </c>
      <c r="M107" s="24">
        <v>69</v>
      </c>
      <c r="N107" s="24">
        <v>69</v>
      </c>
      <c r="O107" s="24">
        <v>69</v>
      </c>
      <c r="P107" s="24">
        <v>69</v>
      </c>
      <c r="Q107" s="24">
        <v>69</v>
      </c>
      <c r="R107" s="24">
        <v>69</v>
      </c>
      <c r="S107" s="24">
        <v>69</v>
      </c>
      <c r="T107" s="24">
        <v>69</v>
      </c>
      <c r="U107" s="24">
        <v>69</v>
      </c>
      <c r="V107" s="24">
        <v>69</v>
      </c>
      <c r="W107" s="24">
        <v>69</v>
      </c>
      <c r="X107" s="24">
        <v>69</v>
      </c>
      <c r="Y107" s="24">
        <v>69</v>
      </c>
      <c r="Z107" s="24">
        <v>69</v>
      </c>
      <c r="AA107" s="24">
        <v>69</v>
      </c>
      <c r="AB107" s="24">
        <v>69</v>
      </c>
      <c r="AC107" s="24">
        <v>69</v>
      </c>
      <c r="AD107" s="24">
        <v>69</v>
      </c>
      <c r="AE107" s="24">
        <v>69</v>
      </c>
      <c r="AF107" s="24">
        <v>69</v>
      </c>
      <c r="AG107" s="24">
        <v>69</v>
      </c>
      <c r="AH107" s="24">
        <v>69</v>
      </c>
      <c r="AI107" s="24">
        <v>69</v>
      </c>
      <c r="AJ107" s="24">
        <v>69</v>
      </c>
      <c r="AK107" s="33">
        <f t="shared" ref="AK107:AK124" si="250">AJ107</f>
        <v>69</v>
      </c>
      <c r="AL107" s="33">
        <f t="shared" ref="AL107:AL124" si="251">AK107</f>
        <v>69</v>
      </c>
      <c r="AM107" s="33">
        <f t="shared" ref="AM107:AM124" si="252">AL107</f>
        <v>69</v>
      </c>
      <c r="AN107" s="33">
        <f t="shared" ref="AN107:AN124" si="253">AM107</f>
        <v>69</v>
      </c>
      <c r="AO107" s="33">
        <f t="shared" ref="AO107:AO124" si="254">AN107</f>
        <v>69</v>
      </c>
      <c r="AP107" s="33">
        <f t="shared" ref="AP107:AP124" si="255">AO107</f>
        <v>69</v>
      </c>
      <c r="AQ107" s="33">
        <f t="shared" ref="AQ107:AQ124" si="256">AP107</f>
        <v>69</v>
      </c>
      <c r="AR107" s="33">
        <f t="shared" ref="AR107:AR124" si="257">AQ107</f>
        <v>69</v>
      </c>
      <c r="AS107" s="58">
        <v>0</v>
      </c>
      <c r="AT107" s="32" t="s">
        <v>36</v>
      </c>
    </row>
    <row r="108" spans="1:46" x14ac:dyDescent="0.35">
      <c r="A108" s="51" t="str">
        <f t="shared" si="240"/>
        <v>FS_2045</v>
      </c>
      <c r="B108" s="35" t="s">
        <v>41</v>
      </c>
      <c r="C108" s="25" t="str">
        <f>C105</f>
        <v>kgCO2/GJ</v>
      </c>
      <c r="D108" s="25">
        <v>69</v>
      </c>
      <c r="E108" s="25">
        <v>69</v>
      </c>
      <c r="F108" s="25">
        <v>69</v>
      </c>
      <c r="G108" s="25">
        <v>69</v>
      </c>
      <c r="H108" s="25">
        <v>69</v>
      </c>
      <c r="I108" s="25">
        <v>69</v>
      </c>
      <c r="J108" s="25">
        <v>69</v>
      </c>
      <c r="K108" s="25">
        <v>69</v>
      </c>
      <c r="L108" s="25">
        <v>69</v>
      </c>
      <c r="M108" s="25">
        <v>69</v>
      </c>
      <c r="N108" s="25">
        <v>69</v>
      </c>
      <c r="O108" s="25">
        <v>69</v>
      </c>
      <c r="P108" s="25">
        <v>69</v>
      </c>
      <c r="Q108" s="25">
        <v>69</v>
      </c>
      <c r="R108" s="25">
        <v>69</v>
      </c>
      <c r="S108" s="25">
        <v>69</v>
      </c>
      <c r="T108" s="25">
        <v>69</v>
      </c>
      <c r="U108" s="25">
        <v>69</v>
      </c>
      <c r="V108" s="25">
        <v>69</v>
      </c>
      <c r="W108" s="25">
        <v>69</v>
      </c>
      <c r="X108" s="25">
        <v>69</v>
      </c>
      <c r="Y108" s="25">
        <f t="shared" ref="Y108" si="258">X108</f>
        <v>69</v>
      </c>
      <c r="Z108" s="25">
        <f t="shared" ref="Z108" si="259">Y108</f>
        <v>69</v>
      </c>
      <c r="AA108" s="25">
        <f t="shared" ref="AA108" si="260">Z108</f>
        <v>69</v>
      </c>
      <c r="AB108" s="25">
        <f t="shared" ref="AB108" si="261">AA108</f>
        <v>69</v>
      </c>
      <c r="AC108" s="25">
        <f t="shared" ref="AC108" si="262">AB108</f>
        <v>69</v>
      </c>
      <c r="AD108" s="25">
        <f t="shared" ref="AD108" si="263">AC108</f>
        <v>69</v>
      </c>
      <c r="AE108" s="25">
        <f t="shared" ref="AE108" si="264">AD108</f>
        <v>69</v>
      </c>
      <c r="AF108" s="25">
        <f t="shared" ref="AF108" si="265">AE108</f>
        <v>69</v>
      </c>
      <c r="AG108" s="25">
        <f t="shared" ref="AG108" si="266">AF108</f>
        <v>69</v>
      </c>
      <c r="AH108" s="25">
        <f t="shared" ref="AH108" si="267">AG108</f>
        <v>69</v>
      </c>
      <c r="AI108" s="25">
        <f t="shared" ref="AI108" si="268">AH108</f>
        <v>69</v>
      </c>
      <c r="AJ108" s="33">
        <f t="shared" ref="AJ108:AJ124" si="269">AI108</f>
        <v>69</v>
      </c>
      <c r="AK108" s="33">
        <f t="shared" si="250"/>
        <v>69</v>
      </c>
      <c r="AL108" s="33">
        <f t="shared" si="251"/>
        <v>69</v>
      </c>
      <c r="AM108" s="33">
        <f t="shared" si="252"/>
        <v>69</v>
      </c>
      <c r="AN108" s="33">
        <f t="shared" si="253"/>
        <v>69</v>
      </c>
      <c r="AO108" s="33">
        <f t="shared" si="254"/>
        <v>69</v>
      </c>
      <c r="AP108" s="33">
        <f t="shared" si="255"/>
        <v>69</v>
      </c>
      <c r="AQ108" s="33">
        <f t="shared" si="256"/>
        <v>69</v>
      </c>
      <c r="AR108" s="33">
        <f t="shared" si="257"/>
        <v>69</v>
      </c>
      <c r="AS108" s="33">
        <f t="shared" ref="AS108:AS124" si="270">AR108</f>
        <v>69</v>
      </c>
      <c r="AT108" s="35"/>
    </row>
    <row r="109" spans="1:46" x14ac:dyDescent="0.35">
      <c r="A109" s="51" t="str">
        <f t="shared" si="240"/>
        <v>FS_2045</v>
      </c>
      <c r="B109" s="32" t="s">
        <v>42</v>
      </c>
      <c r="C109" s="24" t="str">
        <f t="shared" ref="C109:C115" si="271">C108</f>
        <v>kgCO2/GJ</v>
      </c>
      <c r="D109" s="24">
        <v>0</v>
      </c>
      <c r="E109" s="24">
        <v>0</v>
      </c>
      <c r="F109" s="24">
        <v>0</v>
      </c>
      <c r="G109" s="24">
        <v>0</v>
      </c>
      <c r="H109" s="24">
        <v>0</v>
      </c>
      <c r="I109" s="24">
        <v>0</v>
      </c>
      <c r="J109" s="24">
        <v>0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24">
        <v>0</v>
      </c>
      <c r="AD109" s="24">
        <v>0</v>
      </c>
      <c r="AE109" s="24">
        <v>0</v>
      </c>
      <c r="AF109" s="24">
        <v>0</v>
      </c>
      <c r="AG109" s="24">
        <v>0</v>
      </c>
      <c r="AH109" s="24">
        <v>0</v>
      </c>
      <c r="AI109" s="24">
        <v>0</v>
      </c>
      <c r="AJ109" s="33">
        <f t="shared" si="269"/>
        <v>0</v>
      </c>
      <c r="AK109" s="33">
        <f t="shared" si="250"/>
        <v>0</v>
      </c>
      <c r="AL109" s="33">
        <f t="shared" si="251"/>
        <v>0</v>
      </c>
      <c r="AM109" s="33">
        <f t="shared" si="252"/>
        <v>0</v>
      </c>
      <c r="AN109" s="33">
        <f t="shared" si="253"/>
        <v>0</v>
      </c>
      <c r="AO109" s="33">
        <f t="shared" si="254"/>
        <v>0</v>
      </c>
      <c r="AP109" s="33">
        <f t="shared" si="255"/>
        <v>0</v>
      </c>
      <c r="AQ109" s="33">
        <f t="shared" si="256"/>
        <v>0</v>
      </c>
      <c r="AR109" s="33">
        <f t="shared" si="257"/>
        <v>0</v>
      </c>
      <c r="AS109" s="33">
        <f t="shared" si="270"/>
        <v>0</v>
      </c>
    </row>
    <row r="110" spans="1:46" x14ac:dyDescent="0.35">
      <c r="A110" s="51" t="str">
        <f t="shared" si="240"/>
        <v>FS_2045</v>
      </c>
      <c r="B110" s="35" t="s">
        <v>43</v>
      </c>
      <c r="C110" s="25" t="str">
        <f t="shared" si="271"/>
        <v>kgCO2/GJ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  <c r="V110" s="25">
        <v>0</v>
      </c>
      <c r="W110" s="25">
        <v>0</v>
      </c>
      <c r="X110" s="25">
        <v>0</v>
      </c>
      <c r="Y110" s="25">
        <v>0</v>
      </c>
      <c r="Z110" s="25">
        <v>0</v>
      </c>
      <c r="AA110" s="25">
        <v>0</v>
      </c>
      <c r="AB110" s="25">
        <v>0</v>
      </c>
      <c r="AC110" s="25">
        <v>0</v>
      </c>
      <c r="AD110" s="25">
        <v>0</v>
      </c>
      <c r="AE110" s="25">
        <v>0</v>
      </c>
      <c r="AF110" s="25">
        <v>0</v>
      </c>
      <c r="AG110" s="25">
        <v>0</v>
      </c>
      <c r="AH110" s="25">
        <v>0</v>
      </c>
      <c r="AI110" s="25">
        <v>0</v>
      </c>
      <c r="AJ110" s="33">
        <f t="shared" si="269"/>
        <v>0</v>
      </c>
      <c r="AK110" s="33">
        <f t="shared" si="250"/>
        <v>0</v>
      </c>
      <c r="AL110" s="33">
        <f t="shared" si="251"/>
        <v>0</v>
      </c>
      <c r="AM110" s="33">
        <f t="shared" si="252"/>
        <v>0</v>
      </c>
      <c r="AN110" s="33">
        <f t="shared" si="253"/>
        <v>0</v>
      </c>
      <c r="AO110" s="33">
        <f t="shared" si="254"/>
        <v>0</v>
      </c>
      <c r="AP110" s="33">
        <f t="shared" si="255"/>
        <v>0</v>
      </c>
      <c r="AQ110" s="33">
        <f t="shared" si="256"/>
        <v>0</v>
      </c>
      <c r="AR110" s="33">
        <f t="shared" si="257"/>
        <v>0</v>
      </c>
      <c r="AS110" s="33">
        <f t="shared" si="270"/>
        <v>0</v>
      </c>
    </row>
    <row r="111" spans="1:46" x14ac:dyDescent="0.35">
      <c r="A111" s="51" t="str">
        <f t="shared" si="240"/>
        <v>FS_2045</v>
      </c>
      <c r="B111" s="32" t="s">
        <v>44</v>
      </c>
      <c r="C111" s="24" t="str">
        <f t="shared" si="271"/>
        <v>kgCO2/GJ</v>
      </c>
      <c r="D111" s="24">
        <v>0</v>
      </c>
      <c r="E111" s="24">
        <v>0</v>
      </c>
      <c r="F111" s="24">
        <v>0</v>
      </c>
      <c r="G111" s="24">
        <v>0</v>
      </c>
      <c r="H111" s="24">
        <v>0</v>
      </c>
      <c r="I111" s="24">
        <v>0</v>
      </c>
      <c r="J111" s="24">
        <v>0</v>
      </c>
      <c r="K111" s="24">
        <v>0</v>
      </c>
      <c r="L111" s="24">
        <v>0</v>
      </c>
      <c r="M111" s="24">
        <v>0</v>
      </c>
      <c r="N111" s="24">
        <v>0</v>
      </c>
      <c r="O111" s="24"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0</v>
      </c>
      <c r="AE111" s="24">
        <v>0</v>
      </c>
      <c r="AF111" s="24">
        <v>0</v>
      </c>
      <c r="AG111" s="24">
        <v>0</v>
      </c>
      <c r="AH111" s="24">
        <v>0</v>
      </c>
      <c r="AI111" s="24">
        <v>0</v>
      </c>
      <c r="AJ111" s="33">
        <f t="shared" si="269"/>
        <v>0</v>
      </c>
      <c r="AK111" s="33">
        <f t="shared" si="250"/>
        <v>0</v>
      </c>
      <c r="AL111" s="33">
        <f t="shared" si="251"/>
        <v>0</v>
      </c>
      <c r="AM111" s="33">
        <f t="shared" si="252"/>
        <v>0</v>
      </c>
      <c r="AN111" s="33">
        <f t="shared" si="253"/>
        <v>0</v>
      </c>
      <c r="AO111" s="33">
        <f t="shared" si="254"/>
        <v>0</v>
      </c>
      <c r="AP111" s="33">
        <f t="shared" si="255"/>
        <v>0</v>
      </c>
      <c r="AQ111" s="33">
        <f t="shared" si="256"/>
        <v>0</v>
      </c>
      <c r="AR111" s="33">
        <f t="shared" si="257"/>
        <v>0</v>
      </c>
      <c r="AS111" s="33">
        <f t="shared" si="270"/>
        <v>0</v>
      </c>
    </row>
    <row r="112" spans="1:46" x14ac:dyDescent="0.35">
      <c r="A112" s="51" t="str">
        <f t="shared" si="240"/>
        <v>FS_2045</v>
      </c>
      <c r="B112" s="35" t="s">
        <v>45</v>
      </c>
      <c r="C112" s="25" t="str">
        <f t="shared" si="271"/>
        <v>kgCO2/GJ</v>
      </c>
      <c r="D112" s="25">
        <v>0</v>
      </c>
      <c r="E112" s="25">
        <v>0</v>
      </c>
      <c r="F112" s="25">
        <v>0</v>
      </c>
      <c r="G112" s="25">
        <v>0</v>
      </c>
      <c r="H112" s="25">
        <v>0</v>
      </c>
      <c r="I112" s="25">
        <v>0</v>
      </c>
      <c r="J112" s="25">
        <v>0</v>
      </c>
      <c r="K112" s="25">
        <v>0</v>
      </c>
      <c r="L112" s="25">
        <v>0</v>
      </c>
      <c r="M112" s="25">
        <v>0</v>
      </c>
      <c r="N112" s="25">
        <v>0</v>
      </c>
      <c r="O112" s="25">
        <v>0</v>
      </c>
      <c r="P112" s="25">
        <v>0</v>
      </c>
      <c r="Q112" s="25">
        <v>0</v>
      </c>
      <c r="R112" s="25">
        <v>0</v>
      </c>
      <c r="S112" s="25">
        <v>0</v>
      </c>
      <c r="T112" s="25">
        <v>0</v>
      </c>
      <c r="U112" s="25">
        <v>0</v>
      </c>
      <c r="V112" s="25">
        <v>0</v>
      </c>
      <c r="W112" s="25">
        <v>0</v>
      </c>
      <c r="X112" s="25">
        <v>0</v>
      </c>
      <c r="Y112" s="25">
        <v>0</v>
      </c>
      <c r="Z112" s="25">
        <v>0</v>
      </c>
      <c r="AA112" s="25">
        <v>0</v>
      </c>
      <c r="AB112" s="25">
        <v>0</v>
      </c>
      <c r="AC112" s="25">
        <v>0</v>
      </c>
      <c r="AD112" s="25">
        <v>0</v>
      </c>
      <c r="AE112" s="25">
        <v>0</v>
      </c>
      <c r="AF112" s="25">
        <v>0</v>
      </c>
      <c r="AG112" s="25">
        <v>0</v>
      </c>
      <c r="AH112" s="25">
        <v>0</v>
      </c>
      <c r="AI112" s="25">
        <v>0</v>
      </c>
      <c r="AJ112" s="33">
        <f t="shared" si="269"/>
        <v>0</v>
      </c>
      <c r="AK112" s="33">
        <f t="shared" si="250"/>
        <v>0</v>
      </c>
      <c r="AL112" s="33">
        <f t="shared" si="251"/>
        <v>0</v>
      </c>
      <c r="AM112" s="33">
        <f t="shared" si="252"/>
        <v>0</v>
      </c>
      <c r="AN112" s="33">
        <f t="shared" si="253"/>
        <v>0</v>
      </c>
      <c r="AO112" s="33">
        <f t="shared" si="254"/>
        <v>0</v>
      </c>
      <c r="AP112" s="33">
        <f t="shared" si="255"/>
        <v>0</v>
      </c>
      <c r="AQ112" s="33">
        <f t="shared" si="256"/>
        <v>0</v>
      </c>
      <c r="AR112" s="33">
        <f t="shared" si="257"/>
        <v>0</v>
      </c>
      <c r="AS112" s="33">
        <f t="shared" si="270"/>
        <v>0</v>
      </c>
    </row>
    <row r="113" spans="1:46" x14ac:dyDescent="0.35">
      <c r="A113" s="51" t="str">
        <f t="shared" si="240"/>
        <v>FS_2045</v>
      </c>
      <c r="B113" s="32" t="s">
        <v>46</v>
      </c>
      <c r="C113" s="24" t="str">
        <f t="shared" si="271"/>
        <v>kgCO2/GJ</v>
      </c>
      <c r="D113" s="24">
        <v>0</v>
      </c>
      <c r="E113" s="24">
        <v>0</v>
      </c>
      <c r="F113" s="24">
        <v>0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0</v>
      </c>
      <c r="AC113" s="24">
        <v>0</v>
      </c>
      <c r="AD113" s="24">
        <v>0</v>
      </c>
      <c r="AE113" s="24">
        <v>0</v>
      </c>
      <c r="AF113" s="24">
        <v>0</v>
      </c>
      <c r="AG113" s="24">
        <v>0</v>
      </c>
      <c r="AH113" s="24">
        <v>0</v>
      </c>
      <c r="AI113" s="24">
        <v>0</v>
      </c>
      <c r="AJ113" s="33">
        <f t="shared" si="269"/>
        <v>0</v>
      </c>
      <c r="AK113" s="33">
        <f t="shared" si="250"/>
        <v>0</v>
      </c>
      <c r="AL113" s="33">
        <f t="shared" si="251"/>
        <v>0</v>
      </c>
      <c r="AM113" s="33">
        <f t="shared" si="252"/>
        <v>0</v>
      </c>
      <c r="AN113" s="33">
        <f t="shared" si="253"/>
        <v>0</v>
      </c>
      <c r="AO113" s="33">
        <f t="shared" si="254"/>
        <v>0</v>
      </c>
      <c r="AP113" s="33">
        <f t="shared" si="255"/>
        <v>0</v>
      </c>
      <c r="AQ113" s="33">
        <f t="shared" si="256"/>
        <v>0</v>
      </c>
      <c r="AR113" s="33">
        <f t="shared" si="257"/>
        <v>0</v>
      </c>
      <c r="AS113" s="33">
        <f t="shared" si="270"/>
        <v>0</v>
      </c>
    </row>
    <row r="114" spans="1:46" x14ac:dyDescent="0.35">
      <c r="A114" s="51" t="str">
        <f t="shared" si="240"/>
        <v>FS_2045</v>
      </c>
      <c r="B114" s="35" t="s">
        <v>47</v>
      </c>
      <c r="C114" s="25" t="str">
        <f t="shared" si="271"/>
        <v>kgCO2/GJ</v>
      </c>
      <c r="D114" s="25">
        <v>0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>
        <v>0</v>
      </c>
      <c r="T114" s="25">
        <v>0</v>
      </c>
      <c r="U114" s="25">
        <v>0</v>
      </c>
      <c r="V114" s="25">
        <v>0</v>
      </c>
      <c r="W114" s="25">
        <v>0</v>
      </c>
      <c r="X114" s="25">
        <v>0</v>
      </c>
      <c r="Y114" s="25">
        <v>0</v>
      </c>
      <c r="Z114" s="25">
        <v>0</v>
      </c>
      <c r="AA114" s="25">
        <v>0</v>
      </c>
      <c r="AB114" s="25">
        <v>0</v>
      </c>
      <c r="AC114" s="25">
        <v>0</v>
      </c>
      <c r="AD114" s="25">
        <v>0</v>
      </c>
      <c r="AE114" s="25">
        <v>0</v>
      </c>
      <c r="AF114" s="25">
        <v>0</v>
      </c>
      <c r="AG114" s="25">
        <v>0</v>
      </c>
      <c r="AH114" s="25">
        <v>0</v>
      </c>
      <c r="AI114" s="25">
        <v>0</v>
      </c>
      <c r="AJ114" s="33">
        <f t="shared" si="269"/>
        <v>0</v>
      </c>
      <c r="AK114" s="33">
        <f t="shared" si="250"/>
        <v>0</v>
      </c>
      <c r="AL114" s="33">
        <f t="shared" si="251"/>
        <v>0</v>
      </c>
      <c r="AM114" s="33">
        <f t="shared" si="252"/>
        <v>0</v>
      </c>
      <c r="AN114" s="33">
        <f t="shared" si="253"/>
        <v>0</v>
      </c>
      <c r="AO114" s="33">
        <f t="shared" si="254"/>
        <v>0</v>
      </c>
      <c r="AP114" s="33">
        <f t="shared" si="255"/>
        <v>0</v>
      </c>
      <c r="AQ114" s="33">
        <f t="shared" si="256"/>
        <v>0</v>
      </c>
      <c r="AR114" s="33">
        <f t="shared" si="257"/>
        <v>0</v>
      </c>
      <c r="AS114" s="33">
        <f t="shared" si="270"/>
        <v>0</v>
      </c>
    </row>
    <row r="115" spans="1:46" x14ac:dyDescent="0.35">
      <c r="A115" s="52" t="str">
        <f t="shared" si="240"/>
        <v>FS_2045</v>
      </c>
      <c r="B115" s="43" t="s">
        <v>48</v>
      </c>
      <c r="C115" s="44" t="str">
        <f t="shared" si="271"/>
        <v>kgCO2/GJ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4">
        <v>0</v>
      </c>
      <c r="U115" s="44">
        <v>0</v>
      </c>
      <c r="V115" s="44">
        <v>0</v>
      </c>
      <c r="W115" s="44">
        <v>0</v>
      </c>
      <c r="X115" s="44">
        <v>0</v>
      </c>
      <c r="Y115" s="44">
        <v>0</v>
      </c>
      <c r="Z115" s="44">
        <v>0</v>
      </c>
      <c r="AA115" s="44">
        <v>0</v>
      </c>
      <c r="AB115" s="44">
        <v>0</v>
      </c>
      <c r="AC115" s="44">
        <v>0</v>
      </c>
      <c r="AD115" s="44">
        <v>0</v>
      </c>
      <c r="AE115" s="44">
        <v>0</v>
      </c>
      <c r="AF115" s="44">
        <v>0</v>
      </c>
      <c r="AG115" s="44">
        <v>0</v>
      </c>
      <c r="AH115" s="44">
        <v>0</v>
      </c>
      <c r="AI115" s="44">
        <v>0</v>
      </c>
      <c r="AJ115" s="45">
        <f t="shared" si="269"/>
        <v>0</v>
      </c>
      <c r="AK115" s="45">
        <f t="shared" si="250"/>
        <v>0</v>
      </c>
      <c r="AL115" s="45">
        <f t="shared" si="251"/>
        <v>0</v>
      </c>
      <c r="AM115" s="45">
        <f t="shared" si="252"/>
        <v>0</v>
      </c>
      <c r="AN115" s="45">
        <f t="shared" si="253"/>
        <v>0</v>
      </c>
      <c r="AO115" s="45">
        <f t="shared" si="254"/>
        <v>0</v>
      </c>
      <c r="AP115" s="45">
        <f t="shared" si="255"/>
        <v>0</v>
      </c>
      <c r="AQ115" s="45">
        <f t="shared" si="256"/>
        <v>0</v>
      </c>
      <c r="AR115" s="45">
        <f t="shared" si="257"/>
        <v>0</v>
      </c>
      <c r="AS115" s="45">
        <f t="shared" si="270"/>
        <v>0</v>
      </c>
    </row>
    <row r="116" spans="1:46" x14ac:dyDescent="0.35">
      <c r="A116" s="53" t="s">
        <v>54</v>
      </c>
      <c r="B116" s="32" t="s">
        <v>27</v>
      </c>
      <c r="C116" s="24" t="s">
        <v>13</v>
      </c>
      <c r="D116" s="33">
        <v>96</v>
      </c>
      <c r="E116" s="33">
        <f t="shared" ref="E116" si="272">D116</f>
        <v>96</v>
      </c>
      <c r="F116" s="33">
        <f t="shared" ref="F116" si="273">E116</f>
        <v>96</v>
      </c>
      <c r="G116" s="33">
        <f t="shared" ref="G116" si="274">F116</f>
        <v>96</v>
      </c>
      <c r="H116" s="33">
        <f t="shared" ref="H116" si="275">G116</f>
        <v>96</v>
      </c>
      <c r="I116" s="33">
        <f t="shared" ref="I116" si="276">H116</f>
        <v>96</v>
      </c>
      <c r="J116" s="33">
        <f t="shared" ref="J116" si="277">I116</f>
        <v>96</v>
      </c>
      <c r="K116" s="33">
        <f t="shared" ref="K116" si="278">J116</f>
        <v>96</v>
      </c>
      <c r="L116" s="33">
        <f t="shared" ref="L116" si="279">K116</f>
        <v>96</v>
      </c>
      <c r="M116" s="33">
        <f t="shared" ref="M116" si="280">L116</f>
        <v>96</v>
      </c>
      <c r="N116" s="33">
        <f t="shared" ref="N116" si="281">M116</f>
        <v>96</v>
      </c>
      <c r="O116" s="33">
        <f t="shared" ref="O116" si="282">N116</f>
        <v>96</v>
      </c>
      <c r="P116" s="33">
        <f t="shared" ref="P116" si="283">O116</f>
        <v>96</v>
      </c>
      <c r="Q116" s="33">
        <f t="shared" ref="Q116" si="284">P116</f>
        <v>96</v>
      </c>
      <c r="R116" s="33">
        <f t="shared" ref="R116" si="285">Q116</f>
        <v>96</v>
      </c>
      <c r="S116" s="33">
        <f t="shared" ref="S116" si="286">R116</f>
        <v>96</v>
      </c>
      <c r="T116" s="33">
        <f t="shared" ref="T116" si="287">S116</f>
        <v>96</v>
      </c>
      <c r="U116" s="33">
        <f t="shared" ref="U116" si="288">T116</f>
        <v>96</v>
      </c>
      <c r="V116" s="33">
        <f t="shared" ref="V116" si="289">U116</f>
        <v>96</v>
      </c>
      <c r="W116" s="33">
        <f t="shared" ref="W116" si="290">V116</f>
        <v>96</v>
      </c>
      <c r="X116" s="33">
        <f t="shared" ref="X116" si="291">W116</f>
        <v>96</v>
      </c>
      <c r="Y116" s="33">
        <f t="shared" ref="Y116" si="292">X116</f>
        <v>96</v>
      </c>
      <c r="Z116" s="33">
        <f t="shared" ref="Z116" si="293">Y116</f>
        <v>96</v>
      </c>
      <c r="AA116" s="33">
        <f t="shared" ref="AA116" si="294">Z116</f>
        <v>96</v>
      </c>
      <c r="AB116" s="33">
        <f t="shared" ref="AB116" si="295">AA116</f>
        <v>96</v>
      </c>
      <c r="AC116" s="33">
        <f t="shared" ref="AC116" si="296">AB116</f>
        <v>96</v>
      </c>
      <c r="AD116" s="33">
        <f t="shared" ref="AD116" si="297">AC116</f>
        <v>96</v>
      </c>
      <c r="AE116" s="33">
        <f t="shared" ref="AE116" si="298">AD116</f>
        <v>96</v>
      </c>
      <c r="AF116" s="33">
        <f t="shared" ref="AF116" si="299">AE116</f>
        <v>96</v>
      </c>
      <c r="AG116" s="33">
        <f t="shared" ref="AG116" si="300">AF116</f>
        <v>96</v>
      </c>
      <c r="AH116" s="33">
        <f t="shared" ref="AH116" si="301">AG116</f>
        <v>96</v>
      </c>
      <c r="AI116" s="33">
        <f t="shared" ref="AI116" si="302">AH116</f>
        <v>96</v>
      </c>
      <c r="AJ116" s="33">
        <f t="shared" si="269"/>
        <v>96</v>
      </c>
      <c r="AK116" s="33">
        <f t="shared" si="250"/>
        <v>96</v>
      </c>
      <c r="AL116" s="33">
        <f t="shared" si="251"/>
        <v>96</v>
      </c>
      <c r="AM116" s="33">
        <f t="shared" si="252"/>
        <v>96</v>
      </c>
      <c r="AN116" s="33">
        <f t="shared" si="253"/>
        <v>96</v>
      </c>
      <c r="AO116" s="33">
        <f t="shared" si="254"/>
        <v>96</v>
      </c>
      <c r="AP116" s="33">
        <f t="shared" si="255"/>
        <v>96</v>
      </c>
      <c r="AQ116" s="33">
        <f t="shared" si="256"/>
        <v>96</v>
      </c>
      <c r="AR116" s="33">
        <f t="shared" si="257"/>
        <v>96</v>
      </c>
      <c r="AS116" s="33">
        <f t="shared" si="270"/>
        <v>96</v>
      </c>
      <c r="AT116" s="34" t="s">
        <v>28</v>
      </c>
    </row>
    <row r="117" spans="1:46" x14ac:dyDescent="0.35">
      <c r="A117" s="53" t="str">
        <f>A116</f>
        <v>FS_2050</v>
      </c>
      <c r="B117" s="35" t="s">
        <v>29</v>
      </c>
      <c r="C117" s="25" t="str">
        <f t="shared" ref="C117:AI117" si="303">C116</f>
        <v>kgCO2/GJ</v>
      </c>
      <c r="D117" s="36">
        <f t="shared" si="303"/>
        <v>96</v>
      </c>
      <c r="E117" s="36">
        <f t="shared" si="303"/>
        <v>96</v>
      </c>
      <c r="F117" s="36">
        <f t="shared" si="303"/>
        <v>96</v>
      </c>
      <c r="G117" s="36">
        <f t="shared" si="303"/>
        <v>96</v>
      </c>
      <c r="H117" s="36">
        <f t="shared" si="303"/>
        <v>96</v>
      </c>
      <c r="I117" s="36">
        <f t="shared" si="303"/>
        <v>96</v>
      </c>
      <c r="J117" s="36">
        <f t="shared" si="303"/>
        <v>96</v>
      </c>
      <c r="K117" s="36">
        <f t="shared" si="303"/>
        <v>96</v>
      </c>
      <c r="L117" s="36">
        <f t="shared" si="303"/>
        <v>96</v>
      </c>
      <c r="M117" s="36">
        <f t="shared" si="303"/>
        <v>96</v>
      </c>
      <c r="N117" s="36">
        <f t="shared" si="303"/>
        <v>96</v>
      </c>
      <c r="O117" s="36">
        <f t="shared" si="303"/>
        <v>96</v>
      </c>
      <c r="P117" s="36">
        <f t="shared" si="303"/>
        <v>96</v>
      </c>
      <c r="Q117" s="36">
        <f t="shared" si="303"/>
        <v>96</v>
      </c>
      <c r="R117" s="36">
        <f t="shared" si="303"/>
        <v>96</v>
      </c>
      <c r="S117" s="36">
        <f t="shared" si="303"/>
        <v>96</v>
      </c>
      <c r="T117" s="36">
        <f t="shared" si="303"/>
        <v>96</v>
      </c>
      <c r="U117" s="36">
        <f t="shared" si="303"/>
        <v>96</v>
      </c>
      <c r="V117" s="36">
        <f t="shared" si="303"/>
        <v>96</v>
      </c>
      <c r="W117" s="36">
        <f t="shared" si="303"/>
        <v>96</v>
      </c>
      <c r="X117" s="36">
        <f t="shared" si="303"/>
        <v>96</v>
      </c>
      <c r="Y117" s="36">
        <f t="shared" si="303"/>
        <v>96</v>
      </c>
      <c r="Z117" s="36">
        <f t="shared" si="303"/>
        <v>96</v>
      </c>
      <c r="AA117" s="36">
        <f t="shared" si="303"/>
        <v>96</v>
      </c>
      <c r="AB117" s="36">
        <f t="shared" si="303"/>
        <v>96</v>
      </c>
      <c r="AC117" s="36">
        <f t="shared" si="303"/>
        <v>96</v>
      </c>
      <c r="AD117" s="36">
        <f t="shared" si="303"/>
        <v>96</v>
      </c>
      <c r="AE117" s="36">
        <f t="shared" si="303"/>
        <v>96</v>
      </c>
      <c r="AF117" s="36">
        <f t="shared" si="303"/>
        <v>96</v>
      </c>
      <c r="AG117" s="36">
        <f t="shared" si="303"/>
        <v>96</v>
      </c>
      <c r="AH117" s="36">
        <f t="shared" si="303"/>
        <v>96</v>
      </c>
      <c r="AI117" s="36">
        <f t="shared" si="303"/>
        <v>96</v>
      </c>
      <c r="AJ117" s="33">
        <f t="shared" si="269"/>
        <v>96</v>
      </c>
      <c r="AK117" s="33">
        <f t="shared" si="250"/>
        <v>96</v>
      </c>
      <c r="AL117" s="33">
        <f t="shared" si="251"/>
        <v>96</v>
      </c>
      <c r="AM117" s="33">
        <f t="shared" si="252"/>
        <v>96</v>
      </c>
      <c r="AN117" s="33">
        <f t="shared" si="253"/>
        <v>96</v>
      </c>
      <c r="AO117" s="33">
        <f t="shared" si="254"/>
        <v>96</v>
      </c>
      <c r="AP117" s="33">
        <f t="shared" si="255"/>
        <v>96</v>
      </c>
      <c r="AQ117" s="33">
        <f t="shared" si="256"/>
        <v>96</v>
      </c>
      <c r="AR117" s="33">
        <f t="shared" si="257"/>
        <v>96</v>
      </c>
      <c r="AS117" s="33">
        <f t="shared" si="270"/>
        <v>96</v>
      </c>
      <c r="AT117" s="35" t="s">
        <v>28</v>
      </c>
    </row>
    <row r="118" spans="1:46" x14ac:dyDescent="0.35">
      <c r="A118" s="53" t="str">
        <f t="shared" ref="A118:A134" si="304">A117</f>
        <v>FS_2050</v>
      </c>
      <c r="B118" s="32" t="s">
        <v>30</v>
      </c>
      <c r="C118" s="24" t="str">
        <f t="shared" ref="C118" si="305">C117</f>
        <v>kgCO2/GJ</v>
      </c>
      <c r="D118" s="24">
        <v>74</v>
      </c>
      <c r="E118" s="24">
        <v>74</v>
      </c>
      <c r="F118" s="24">
        <v>74</v>
      </c>
      <c r="G118" s="24">
        <v>74</v>
      </c>
      <c r="H118" s="24">
        <v>74</v>
      </c>
      <c r="I118" s="24">
        <v>74</v>
      </c>
      <c r="J118" s="24">
        <v>74</v>
      </c>
      <c r="K118" s="24">
        <v>74</v>
      </c>
      <c r="L118" s="24">
        <v>74</v>
      </c>
      <c r="M118" s="24">
        <v>74</v>
      </c>
      <c r="N118" s="24">
        <v>74</v>
      </c>
      <c r="O118" s="24">
        <v>74</v>
      </c>
      <c r="P118" s="24">
        <v>74</v>
      </c>
      <c r="Q118" s="24">
        <v>74</v>
      </c>
      <c r="R118" s="24">
        <v>74</v>
      </c>
      <c r="S118" s="24">
        <v>74</v>
      </c>
      <c r="T118" s="24">
        <v>74</v>
      </c>
      <c r="U118" s="24">
        <v>74</v>
      </c>
      <c r="V118" s="24">
        <v>74</v>
      </c>
      <c r="W118" s="24">
        <v>74</v>
      </c>
      <c r="X118" s="24">
        <v>74</v>
      </c>
      <c r="Y118" s="24">
        <v>74</v>
      </c>
      <c r="Z118" s="24">
        <v>74</v>
      </c>
      <c r="AA118" s="24">
        <v>74</v>
      </c>
      <c r="AB118" s="24">
        <v>74</v>
      </c>
      <c r="AC118" s="24">
        <v>74</v>
      </c>
      <c r="AD118" s="24">
        <v>74</v>
      </c>
      <c r="AE118" s="24">
        <v>74</v>
      </c>
      <c r="AF118" s="24">
        <v>74</v>
      </c>
      <c r="AG118" s="24">
        <v>74</v>
      </c>
      <c r="AH118" s="24">
        <v>74</v>
      </c>
      <c r="AI118" s="57">
        <v>0</v>
      </c>
      <c r="AJ118" s="58">
        <f t="shared" si="269"/>
        <v>0</v>
      </c>
      <c r="AK118" s="58">
        <f t="shared" si="250"/>
        <v>0</v>
      </c>
      <c r="AL118" s="58">
        <f t="shared" si="251"/>
        <v>0</v>
      </c>
      <c r="AM118" s="58">
        <f t="shared" si="252"/>
        <v>0</v>
      </c>
      <c r="AN118" s="58">
        <f t="shared" si="253"/>
        <v>0</v>
      </c>
      <c r="AO118" s="58">
        <f t="shared" si="254"/>
        <v>0</v>
      </c>
      <c r="AP118" s="58">
        <f t="shared" si="255"/>
        <v>0</v>
      </c>
      <c r="AQ118" s="58">
        <f t="shared" si="256"/>
        <v>0</v>
      </c>
      <c r="AR118" s="58">
        <f t="shared" si="257"/>
        <v>0</v>
      </c>
      <c r="AS118" s="58">
        <f t="shared" si="270"/>
        <v>0</v>
      </c>
      <c r="AT118" s="32" t="s">
        <v>31</v>
      </c>
    </row>
    <row r="119" spans="1:46" x14ac:dyDescent="0.35">
      <c r="A119" s="53" t="str">
        <f t="shared" si="304"/>
        <v>FS_2050</v>
      </c>
      <c r="B119" s="35" t="s">
        <v>32</v>
      </c>
      <c r="C119" s="25" t="str">
        <f t="shared" ref="C119" si="306">C118</f>
        <v>kgCO2/GJ</v>
      </c>
      <c r="D119" s="25">
        <v>74</v>
      </c>
      <c r="E119" s="25">
        <v>74</v>
      </c>
      <c r="F119" s="25">
        <v>74</v>
      </c>
      <c r="G119" s="25">
        <v>74</v>
      </c>
      <c r="H119" s="25">
        <v>74</v>
      </c>
      <c r="I119" s="25">
        <v>74</v>
      </c>
      <c r="J119" s="25">
        <v>74</v>
      </c>
      <c r="K119" s="25">
        <v>74</v>
      </c>
      <c r="L119" s="25">
        <v>74</v>
      </c>
      <c r="M119" s="25">
        <v>74</v>
      </c>
      <c r="N119" s="25">
        <v>74</v>
      </c>
      <c r="O119" s="25">
        <v>74</v>
      </c>
      <c r="P119" s="25">
        <v>74</v>
      </c>
      <c r="Q119" s="25">
        <v>74</v>
      </c>
      <c r="R119" s="25">
        <v>74</v>
      </c>
      <c r="S119" s="25">
        <v>74</v>
      </c>
      <c r="T119" s="25">
        <v>74</v>
      </c>
      <c r="U119" s="25">
        <v>74</v>
      </c>
      <c r="V119" s="25">
        <v>74</v>
      </c>
      <c r="W119" s="25">
        <v>74</v>
      </c>
      <c r="X119" s="25">
        <v>74</v>
      </c>
      <c r="Y119" s="25">
        <v>74</v>
      </c>
      <c r="Z119" s="25">
        <v>74</v>
      </c>
      <c r="AA119" s="25">
        <v>74</v>
      </c>
      <c r="AB119" s="25">
        <v>74</v>
      </c>
      <c r="AC119" s="25">
        <v>74</v>
      </c>
      <c r="AD119" s="25">
        <v>74</v>
      </c>
      <c r="AE119" s="25">
        <v>74</v>
      </c>
      <c r="AF119" s="25">
        <v>74</v>
      </c>
      <c r="AG119" s="25">
        <v>74</v>
      </c>
      <c r="AH119" s="25">
        <v>74</v>
      </c>
      <c r="AI119" s="59">
        <v>0</v>
      </c>
      <c r="AJ119" s="58">
        <f t="shared" si="269"/>
        <v>0</v>
      </c>
      <c r="AK119" s="58">
        <f t="shared" si="250"/>
        <v>0</v>
      </c>
      <c r="AL119" s="58">
        <f t="shared" si="251"/>
        <v>0</v>
      </c>
      <c r="AM119" s="58">
        <f t="shared" si="252"/>
        <v>0</v>
      </c>
      <c r="AN119" s="58">
        <f t="shared" si="253"/>
        <v>0</v>
      </c>
      <c r="AO119" s="58">
        <f t="shared" si="254"/>
        <v>0</v>
      </c>
      <c r="AP119" s="58">
        <f t="shared" si="255"/>
        <v>0</v>
      </c>
      <c r="AQ119" s="58">
        <f t="shared" si="256"/>
        <v>0</v>
      </c>
      <c r="AR119" s="58">
        <f t="shared" si="257"/>
        <v>0</v>
      </c>
      <c r="AS119" s="58">
        <f t="shared" si="270"/>
        <v>0</v>
      </c>
      <c r="AT119" s="35" t="s">
        <v>31</v>
      </c>
    </row>
    <row r="120" spans="1:46" x14ac:dyDescent="0.35">
      <c r="A120" s="53" t="str">
        <f t="shared" si="304"/>
        <v>FS_2050</v>
      </c>
      <c r="B120" s="32" t="s">
        <v>33</v>
      </c>
      <c r="C120" s="24" t="str">
        <f t="shared" ref="C120" si="307">C119</f>
        <v>kgCO2/GJ</v>
      </c>
      <c r="D120" s="24">
        <v>74</v>
      </c>
      <c r="E120" s="24">
        <v>74</v>
      </c>
      <c r="F120" s="24">
        <v>74</v>
      </c>
      <c r="G120" s="24">
        <v>74</v>
      </c>
      <c r="H120" s="24">
        <v>74</v>
      </c>
      <c r="I120" s="24">
        <v>74</v>
      </c>
      <c r="J120" s="24">
        <v>74</v>
      </c>
      <c r="K120" s="24">
        <v>74</v>
      </c>
      <c r="L120" s="24">
        <v>74</v>
      </c>
      <c r="M120" s="24">
        <v>74</v>
      </c>
      <c r="N120" s="24">
        <v>74</v>
      </c>
      <c r="O120" s="24">
        <v>74</v>
      </c>
      <c r="P120" s="24">
        <v>74</v>
      </c>
      <c r="Q120" s="24">
        <v>74</v>
      </c>
      <c r="R120" s="24">
        <v>74</v>
      </c>
      <c r="S120" s="24">
        <v>74</v>
      </c>
      <c r="T120" s="24">
        <v>74</v>
      </c>
      <c r="U120" s="24">
        <v>74</v>
      </c>
      <c r="V120" s="24">
        <v>74</v>
      </c>
      <c r="W120" s="24">
        <v>74</v>
      </c>
      <c r="X120" s="24">
        <v>74</v>
      </c>
      <c r="Y120" s="24">
        <v>74</v>
      </c>
      <c r="Z120" s="24">
        <v>74</v>
      </c>
      <c r="AA120" s="24">
        <v>74</v>
      </c>
      <c r="AB120" s="24">
        <v>74</v>
      </c>
      <c r="AC120" s="24">
        <v>74</v>
      </c>
      <c r="AD120" s="24">
        <v>74</v>
      </c>
      <c r="AE120" s="24">
        <v>74</v>
      </c>
      <c r="AF120" s="24">
        <v>74</v>
      </c>
      <c r="AG120" s="24">
        <v>74</v>
      </c>
      <c r="AH120" s="24">
        <v>74</v>
      </c>
      <c r="AI120" s="24">
        <v>74</v>
      </c>
      <c r="AJ120" s="33">
        <f t="shared" si="269"/>
        <v>74</v>
      </c>
      <c r="AK120" s="33">
        <f t="shared" si="250"/>
        <v>74</v>
      </c>
      <c r="AL120" s="33">
        <f t="shared" si="251"/>
        <v>74</v>
      </c>
      <c r="AM120" s="33">
        <f t="shared" si="252"/>
        <v>74</v>
      </c>
      <c r="AN120" s="33">
        <f t="shared" si="253"/>
        <v>74</v>
      </c>
      <c r="AO120" s="33">
        <f t="shared" si="254"/>
        <v>74</v>
      </c>
      <c r="AP120" s="33">
        <f t="shared" si="255"/>
        <v>74</v>
      </c>
      <c r="AQ120" s="33">
        <f t="shared" si="256"/>
        <v>74</v>
      </c>
      <c r="AR120" s="33">
        <f t="shared" si="257"/>
        <v>74</v>
      </c>
      <c r="AS120" s="33">
        <f t="shared" si="270"/>
        <v>74</v>
      </c>
      <c r="AT120" s="32"/>
    </row>
    <row r="121" spans="1:46" x14ac:dyDescent="0.35">
      <c r="A121" s="53" t="str">
        <f t="shared" si="304"/>
        <v>FS_2050</v>
      </c>
      <c r="B121" s="35" t="s">
        <v>34</v>
      </c>
      <c r="C121" s="25" t="str">
        <f t="shared" ref="C121" si="308">C120</f>
        <v>kgCO2/GJ</v>
      </c>
      <c r="D121" s="25">
        <v>69</v>
      </c>
      <c r="E121" s="25">
        <v>69</v>
      </c>
      <c r="F121" s="25">
        <v>69</v>
      </c>
      <c r="G121" s="25">
        <v>69</v>
      </c>
      <c r="H121" s="25">
        <v>69</v>
      </c>
      <c r="I121" s="25">
        <v>69</v>
      </c>
      <c r="J121" s="25">
        <v>69</v>
      </c>
      <c r="K121" s="25">
        <v>69</v>
      </c>
      <c r="L121" s="25">
        <v>69</v>
      </c>
      <c r="M121" s="25">
        <v>69</v>
      </c>
      <c r="N121" s="25">
        <v>69</v>
      </c>
      <c r="O121" s="25">
        <v>69</v>
      </c>
      <c r="P121" s="25">
        <v>69</v>
      </c>
      <c r="Q121" s="25">
        <v>69</v>
      </c>
      <c r="R121" s="25">
        <v>69</v>
      </c>
      <c r="S121" s="25">
        <v>69</v>
      </c>
      <c r="T121" s="25">
        <v>69</v>
      </c>
      <c r="U121" s="25">
        <v>69</v>
      </c>
      <c r="V121" s="25">
        <v>69</v>
      </c>
      <c r="W121" s="25">
        <v>69</v>
      </c>
      <c r="X121" s="25">
        <v>69</v>
      </c>
      <c r="Y121" s="25">
        <v>69</v>
      </c>
      <c r="Z121" s="25">
        <v>69</v>
      </c>
      <c r="AA121" s="25">
        <v>69</v>
      </c>
      <c r="AB121" s="25">
        <v>69</v>
      </c>
      <c r="AC121" s="25">
        <v>69</v>
      </c>
      <c r="AD121" s="25">
        <v>69</v>
      </c>
      <c r="AE121" s="25">
        <v>69</v>
      </c>
      <c r="AF121" s="25">
        <v>69</v>
      </c>
      <c r="AG121" s="25">
        <v>69</v>
      </c>
      <c r="AH121" s="25">
        <v>69</v>
      </c>
      <c r="AI121" s="25">
        <v>69</v>
      </c>
      <c r="AJ121" s="33">
        <f t="shared" si="269"/>
        <v>69</v>
      </c>
      <c r="AK121" s="33">
        <f t="shared" si="250"/>
        <v>69</v>
      </c>
      <c r="AL121" s="33">
        <f t="shared" si="251"/>
        <v>69</v>
      </c>
      <c r="AM121" s="33">
        <f t="shared" si="252"/>
        <v>69</v>
      </c>
      <c r="AN121" s="33">
        <f t="shared" si="253"/>
        <v>69</v>
      </c>
      <c r="AO121" s="33">
        <f t="shared" si="254"/>
        <v>69</v>
      </c>
      <c r="AP121" s="33">
        <f t="shared" si="255"/>
        <v>69</v>
      </c>
      <c r="AQ121" s="33">
        <f t="shared" si="256"/>
        <v>69</v>
      </c>
      <c r="AR121" s="33">
        <f t="shared" si="257"/>
        <v>69</v>
      </c>
      <c r="AS121" s="33">
        <f t="shared" si="270"/>
        <v>69</v>
      </c>
      <c r="AT121" s="35"/>
    </row>
    <row r="122" spans="1:46" x14ac:dyDescent="0.35">
      <c r="A122" s="53" t="str">
        <f t="shared" si="304"/>
        <v>FS_2050</v>
      </c>
      <c r="B122" s="32" t="s">
        <v>35</v>
      </c>
      <c r="C122" s="24" t="str">
        <f t="shared" ref="C122" si="309">C121</f>
        <v>kgCO2/GJ</v>
      </c>
      <c r="D122" s="24">
        <v>69</v>
      </c>
      <c r="E122" s="24">
        <v>69</v>
      </c>
      <c r="F122" s="24">
        <v>69</v>
      </c>
      <c r="G122" s="24">
        <v>69</v>
      </c>
      <c r="H122" s="24">
        <v>69</v>
      </c>
      <c r="I122" s="24">
        <v>69</v>
      </c>
      <c r="J122" s="24">
        <v>69</v>
      </c>
      <c r="K122" s="24">
        <v>69</v>
      </c>
      <c r="L122" s="24">
        <v>69</v>
      </c>
      <c r="M122" s="24">
        <v>69</v>
      </c>
      <c r="N122" s="24">
        <v>69</v>
      </c>
      <c r="O122" s="24">
        <v>69</v>
      </c>
      <c r="P122" s="24">
        <v>69</v>
      </c>
      <c r="Q122" s="24">
        <v>69</v>
      </c>
      <c r="R122" s="24">
        <v>69</v>
      </c>
      <c r="S122" s="24">
        <v>69</v>
      </c>
      <c r="T122" s="24">
        <v>69</v>
      </c>
      <c r="U122" s="24">
        <v>69</v>
      </c>
      <c r="V122" s="24">
        <v>69</v>
      </c>
      <c r="W122" s="24">
        <v>69</v>
      </c>
      <c r="X122" s="24">
        <v>69</v>
      </c>
      <c r="Y122" s="24">
        <v>69</v>
      </c>
      <c r="Z122" s="24">
        <v>69</v>
      </c>
      <c r="AA122" s="24">
        <v>69</v>
      </c>
      <c r="AB122" s="24">
        <v>69</v>
      </c>
      <c r="AC122" s="24">
        <v>69</v>
      </c>
      <c r="AD122" s="24">
        <v>69</v>
      </c>
      <c r="AE122" s="24">
        <v>69</v>
      </c>
      <c r="AF122" s="24">
        <v>69</v>
      </c>
      <c r="AG122" s="24">
        <v>69</v>
      </c>
      <c r="AH122" s="24">
        <v>69</v>
      </c>
      <c r="AI122" s="57">
        <v>0</v>
      </c>
      <c r="AJ122" s="58">
        <f t="shared" si="269"/>
        <v>0</v>
      </c>
      <c r="AK122" s="58">
        <f t="shared" si="250"/>
        <v>0</v>
      </c>
      <c r="AL122" s="58">
        <f t="shared" si="251"/>
        <v>0</v>
      </c>
      <c r="AM122" s="58">
        <f t="shared" si="252"/>
        <v>0</v>
      </c>
      <c r="AN122" s="58">
        <f t="shared" si="253"/>
        <v>0</v>
      </c>
      <c r="AO122" s="58">
        <f t="shared" si="254"/>
        <v>0</v>
      </c>
      <c r="AP122" s="58">
        <f t="shared" si="255"/>
        <v>0</v>
      </c>
      <c r="AQ122" s="58">
        <f t="shared" si="256"/>
        <v>0</v>
      </c>
      <c r="AR122" s="58">
        <f t="shared" si="257"/>
        <v>0</v>
      </c>
      <c r="AS122" s="58">
        <f t="shared" si="270"/>
        <v>0</v>
      </c>
      <c r="AT122" s="32" t="s">
        <v>36</v>
      </c>
    </row>
    <row r="123" spans="1:46" x14ac:dyDescent="0.35">
      <c r="A123" s="53" t="str">
        <f t="shared" si="304"/>
        <v>FS_2050</v>
      </c>
      <c r="B123" s="35" t="s">
        <v>37</v>
      </c>
      <c r="C123" s="25" t="str">
        <f t="shared" ref="C123" si="310">C122</f>
        <v>kgCO2/GJ</v>
      </c>
      <c r="D123" s="25">
        <v>69</v>
      </c>
      <c r="E123" s="25">
        <v>69</v>
      </c>
      <c r="F123" s="25">
        <v>69</v>
      </c>
      <c r="G123" s="25">
        <v>69</v>
      </c>
      <c r="H123" s="25">
        <v>69</v>
      </c>
      <c r="I123" s="25">
        <v>69</v>
      </c>
      <c r="J123" s="25">
        <v>69</v>
      </c>
      <c r="K123" s="25">
        <v>69</v>
      </c>
      <c r="L123" s="25">
        <v>69</v>
      </c>
      <c r="M123" s="25">
        <v>69</v>
      </c>
      <c r="N123" s="25">
        <v>69</v>
      </c>
      <c r="O123" s="25">
        <v>69</v>
      </c>
      <c r="P123" s="25">
        <v>69</v>
      </c>
      <c r="Q123" s="25">
        <v>69</v>
      </c>
      <c r="R123" s="25">
        <v>69</v>
      </c>
      <c r="S123" s="25">
        <v>69</v>
      </c>
      <c r="T123" s="25">
        <v>69</v>
      </c>
      <c r="U123" s="25">
        <v>69</v>
      </c>
      <c r="V123" s="25">
        <v>69</v>
      </c>
      <c r="W123" s="25">
        <v>69</v>
      </c>
      <c r="X123" s="25">
        <v>69</v>
      </c>
      <c r="Y123" s="25">
        <v>69</v>
      </c>
      <c r="Z123" s="25">
        <v>69</v>
      </c>
      <c r="AA123" s="25">
        <v>69</v>
      </c>
      <c r="AB123" s="25">
        <v>69</v>
      </c>
      <c r="AC123" s="25">
        <v>69</v>
      </c>
      <c r="AD123" s="24">
        <v>69</v>
      </c>
      <c r="AE123" s="24">
        <v>69</v>
      </c>
      <c r="AF123" s="24">
        <v>69</v>
      </c>
      <c r="AG123" s="24">
        <v>69</v>
      </c>
      <c r="AH123" s="24">
        <v>69</v>
      </c>
      <c r="AI123" s="59">
        <v>0</v>
      </c>
      <c r="AJ123" s="58">
        <f t="shared" si="269"/>
        <v>0</v>
      </c>
      <c r="AK123" s="58">
        <f t="shared" si="250"/>
        <v>0</v>
      </c>
      <c r="AL123" s="58">
        <f t="shared" si="251"/>
        <v>0</v>
      </c>
      <c r="AM123" s="58">
        <f t="shared" si="252"/>
        <v>0</v>
      </c>
      <c r="AN123" s="58">
        <f t="shared" si="253"/>
        <v>0</v>
      </c>
      <c r="AO123" s="58">
        <f t="shared" si="254"/>
        <v>0</v>
      </c>
      <c r="AP123" s="58">
        <f t="shared" si="255"/>
        <v>0</v>
      </c>
      <c r="AQ123" s="58">
        <f t="shared" si="256"/>
        <v>0</v>
      </c>
      <c r="AR123" s="58">
        <f t="shared" si="257"/>
        <v>0</v>
      </c>
      <c r="AS123" s="58">
        <f t="shared" si="270"/>
        <v>0</v>
      </c>
      <c r="AT123" s="35" t="s">
        <v>36</v>
      </c>
    </row>
    <row r="124" spans="1:46" x14ac:dyDescent="0.35">
      <c r="A124" s="53" t="str">
        <f t="shared" si="304"/>
        <v>FS_2050</v>
      </c>
      <c r="B124" s="32" t="s">
        <v>38</v>
      </c>
      <c r="C124" s="24" t="str">
        <f t="shared" ref="C124" si="311">C123</f>
        <v>kgCO2/GJ</v>
      </c>
      <c r="D124" s="24">
        <v>69</v>
      </c>
      <c r="E124" s="24">
        <v>69</v>
      </c>
      <c r="F124" s="24">
        <v>69</v>
      </c>
      <c r="G124" s="24">
        <v>69</v>
      </c>
      <c r="H124" s="24">
        <v>69</v>
      </c>
      <c r="I124" s="24">
        <v>69</v>
      </c>
      <c r="J124" s="24">
        <v>69</v>
      </c>
      <c r="K124" s="24">
        <v>69</v>
      </c>
      <c r="L124" s="24">
        <v>69</v>
      </c>
      <c r="M124" s="24">
        <v>69</v>
      </c>
      <c r="N124" s="24">
        <v>69</v>
      </c>
      <c r="O124" s="24">
        <v>69</v>
      </c>
      <c r="P124" s="24">
        <v>69</v>
      </c>
      <c r="Q124" s="24">
        <v>69</v>
      </c>
      <c r="R124" s="24">
        <v>69</v>
      </c>
      <c r="S124" s="24">
        <v>69</v>
      </c>
      <c r="T124" s="24">
        <v>69</v>
      </c>
      <c r="U124" s="24">
        <v>69</v>
      </c>
      <c r="V124" s="24">
        <v>69</v>
      </c>
      <c r="W124" s="24">
        <v>69</v>
      </c>
      <c r="X124" s="24">
        <v>69</v>
      </c>
      <c r="Y124" s="24">
        <v>69</v>
      </c>
      <c r="Z124" s="24">
        <v>69</v>
      </c>
      <c r="AA124" s="24">
        <v>69</v>
      </c>
      <c r="AB124" s="24">
        <v>69</v>
      </c>
      <c r="AC124" s="24">
        <v>69</v>
      </c>
      <c r="AD124" s="24">
        <v>69</v>
      </c>
      <c r="AE124" s="24">
        <v>69</v>
      </c>
      <c r="AF124" s="24">
        <v>69</v>
      </c>
      <c r="AG124" s="24">
        <v>69</v>
      </c>
      <c r="AH124" s="24">
        <v>69</v>
      </c>
      <c r="AI124" s="57">
        <v>0</v>
      </c>
      <c r="AJ124" s="58">
        <f t="shared" si="269"/>
        <v>0</v>
      </c>
      <c r="AK124" s="58">
        <f t="shared" si="250"/>
        <v>0</v>
      </c>
      <c r="AL124" s="58">
        <f t="shared" si="251"/>
        <v>0</v>
      </c>
      <c r="AM124" s="58">
        <f t="shared" si="252"/>
        <v>0</v>
      </c>
      <c r="AN124" s="58">
        <f t="shared" si="253"/>
        <v>0</v>
      </c>
      <c r="AO124" s="58">
        <f t="shared" si="254"/>
        <v>0</v>
      </c>
      <c r="AP124" s="58">
        <f t="shared" si="255"/>
        <v>0</v>
      </c>
      <c r="AQ124" s="58">
        <f t="shared" si="256"/>
        <v>0</v>
      </c>
      <c r="AR124" s="58">
        <f t="shared" si="257"/>
        <v>0</v>
      </c>
      <c r="AS124" s="58">
        <f t="shared" si="270"/>
        <v>0</v>
      </c>
      <c r="AT124" s="32" t="s">
        <v>36</v>
      </c>
    </row>
    <row r="125" spans="1:46" x14ac:dyDescent="0.35">
      <c r="A125" s="53" t="str">
        <f t="shared" si="304"/>
        <v>FS_2050</v>
      </c>
      <c r="B125" s="35" t="s">
        <v>39</v>
      </c>
      <c r="C125" s="25" t="str">
        <f t="shared" ref="C125" si="312">C124</f>
        <v>kgCO2/GJ</v>
      </c>
      <c r="D125" s="25">
        <v>69</v>
      </c>
      <c r="E125" s="25">
        <v>69</v>
      </c>
      <c r="F125" s="25">
        <v>69</v>
      </c>
      <c r="G125" s="25">
        <v>69</v>
      </c>
      <c r="H125" s="25">
        <v>69</v>
      </c>
      <c r="I125" s="25">
        <v>69</v>
      </c>
      <c r="J125" s="25">
        <v>69</v>
      </c>
      <c r="K125" s="25">
        <v>69</v>
      </c>
      <c r="L125" s="25">
        <v>69</v>
      </c>
      <c r="M125" s="25">
        <v>69</v>
      </c>
      <c r="N125" s="25">
        <v>69</v>
      </c>
      <c r="O125" s="25">
        <v>69</v>
      </c>
      <c r="P125" s="25">
        <v>69</v>
      </c>
      <c r="Q125" s="25">
        <v>69</v>
      </c>
      <c r="R125" s="25">
        <v>69</v>
      </c>
      <c r="S125" s="25">
        <v>69</v>
      </c>
      <c r="T125" s="25">
        <v>69</v>
      </c>
      <c r="U125" s="25">
        <v>69</v>
      </c>
      <c r="V125" s="25">
        <v>69</v>
      </c>
      <c r="W125" s="25">
        <v>69</v>
      </c>
      <c r="X125" s="25">
        <v>69</v>
      </c>
      <c r="Y125" s="25">
        <v>69</v>
      </c>
      <c r="Z125" s="25">
        <v>69</v>
      </c>
      <c r="AA125" s="25">
        <v>69</v>
      </c>
      <c r="AB125" s="25">
        <v>69</v>
      </c>
      <c r="AC125" s="25">
        <v>69</v>
      </c>
      <c r="AD125" s="25">
        <v>69</v>
      </c>
      <c r="AE125" s="25">
        <v>69</v>
      </c>
      <c r="AF125" s="25">
        <v>69</v>
      </c>
      <c r="AG125" s="25">
        <v>69</v>
      </c>
      <c r="AH125" s="25">
        <v>69</v>
      </c>
      <c r="AI125" s="25">
        <v>69</v>
      </c>
      <c r="AJ125" s="25">
        <v>69</v>
      </c>
      <c r="AK125" s="25">
        <v>69</v>
      </c>
      <c r="AL125" s="25">
        <v>69</v>
      </c>
      <c r="AM125" s="25">
        <v>69</v>
      </c>
      <c r="AN125" s="58">
        <v>0</v>
      </c>
      <c r="AO125" s="58">
        <f>AN125</f>
        <v>0</v>
      </c>
      <c r="AP125" s="58">
        <f>AO125</f>
        <v>0</v>
      </c>
      <c r="AQ125" s="58">
        <f>AP125</f>
        <v>0</v>
      </c>
      <c r="AR125" s="58">
        <f>AQ125</f>
        <v>0</v>
      </c>
      <c r="AS125" s="58">
        <f>AR125</f>
        <v>0</v>
      </c>
      <c r="AT125" s="35" t="s">
        <v>36</v>
      </c>
    </row>
    <row r="126" spans="1:46" x14ac:dyDescent="0.35">
      <c r="A126" s="53" t="str">
        <f t="shared" si="304"/>
        <v>FS_2050</v>
      </c>
      <c r="B126" s="32" t="s">
        <v>40</v>
      </c>
      <c r="C126" s="24" t="str">
        <f t="shared" ref="C126" si="313">C125</f>
        <v>kgCO2/GJ</v>
      </c>
      <c r="D126" s="24">
        <v>69</v>
      </c>
      <c r="E126" s="24">
        <v>69</v>
      </c>
      <c r="F126" s="24">
        <v>69</v>
      </c>
      <c r="G126" s="24">
        <v>69</v>
      </c>
      <c r="H126" s="24">
        <v>69</v>
      </c>
      <c r="I126" s="24">
        <v>69</v>
      </c>
      <c r="J126" s="24">
        <v>69</v>
      </c>
      <c r="K126" s="24">
        <v>69</v>
      </c>
      <c r="L126" s="24">
        <v>69</v>
      </c>
      <c r="M126" s="24">
        <v>69</v>
      </c>
      <c r="N126" s="24">
        <v>69</v>
      </c>
      <c r="O126" s="24">
        <v>69</v>
      </c>
      <c r="P126" s="24">
        <v>69</v>
      </c>
      <c r="Q126" s="24">
        <v>69</v>
      </c>
      <c r="R126" s="24">
        <v>69</v>
      </c>
      <c r="S126" s="24">
        <v>69</v>
      </c>
      <c r="T126" s="24">
        <v>69</v>
      </c>
      <c r="U126" s="24">
        <v>69</v>
      </c>
      <c r="V126" s="24">
        <v>69</v>
      </c>
      <c r="W126" s="24">
        <v>69</v>
      </c>
      <c r="X126" s="24">
        <v>69</v>
      </c>
      <c r="Y126" s="24">
        <v>69</v>
      </c>
      <c r="Z126" s="24">
        <v>69</v>
      </c>
      <c r="AA126" s="24">
        <v>69</v>
      </c>
      <c r="AB126" s="24">
        <v>69</v>
      </c>
      <c r="AC126" s="24">
        <v>69</v>
      </c>
      <c r="AD126" s="24">
        <v>69</v>
      </c>
      <c r="AE126" s="24">
        <v>69</v>
      </c>
      <c r="AF126" s="24">
        <v>69</v>
      </c>
      <c r="AG126" s="24">
        <v>69</v>
      </c>
      <c r="AH126" s="24">
        <v>69</v>
      </c>
      <c r="AI126" s="24">
        <v>69</v>
      </c>
      <c r="AJ126" s="24">
        <v>69</v>
      </c>
      <c r="AK126" s="33">
        <f t="shared" ref="AK126:AK134" si="314">AJ126</f>
        <v>69</v>
      </c>
      <c r="AL126" s="33">
        <f t="shared" ref="AL126:AL134" si="315">AK126</f>
        <v>69</v>
      </c>
      <c r="AM126" s="33">
        <f t="shared" ref="AM126:AM134" si="316">AL126</f>
        <v>69</v>
      </c>
      <c r="AN126" s="33">
        <f t="shared" ref="AN126:AN134" si="317">AM126</f>
        <v>69</v>
      </c>
      <c r="AO126" s="33">
        <f t="shared" ref="AO126:AO134" si="318">AN126</f>
        <v>69</v>
      </c>
      <c r="AP126" s="33">
        <f t="shared" ref="AP126:AP134" si="319">AO126</f>
        <v>69</v>
      </c>
      <c r="AQ126" s="33">
        <f t="shared" ref="AQ126:AQ134" si="320">AP126</f>
        <v>69</v>
      </c>
      <c r="AR126" s="33">
        <f t="shared" ref="AR126:AR134" si="321">AQ126</f>
        <v>69</v>
      </c>
      <c r="AS126" s="58">
        <v>0</v>
      </c>
      <c r="AT126" s="32" t="s">
        <v>36</v>
      </c>
    </row>
    <row r="127" spans="1:46" x14ac:dyDescent="0.35">
      <c r="A127" s="53" t="str">
        <f t="shared" si="304"/>
        <v>FS_2050</v>
      </c>
      <c r="B127" s="35" t="s">
        <v>41</v>
      </c>
      <c r="C127" s="25" t="str">
        <f>C124</f>
        <v>kgCO2/GJ</v>
      </c>
      <c r="D127" s="25">
        <v>69</v>
      </c>
      <c r="E127" s="25">
        <v>69</v>
      </c>
      <c r="F127" s="25">
        <v>69</v>
      </c>
      <c r="G127" s="25">
        <v>69</v>
      </c>
      <c r="H127" s="25">
        <v>69</v>
      </c>
      <c r="I127" s="25">
        <v>69</v>
      </c>
      <c r="J127" s="25">
        <v>69</v>
      </c>
      <c r="K127" s="25">
        <v>69</v>
      </c>
      <c r="L127" s="25">
        <v>69</v>
      </c>
      <c r="M127" s="25">
        <v>69</v>
      </c>
      <c r="N127" s="25">
        <v>69</v>
      </c>
      <c r="O127" s="25">
        <v>69</v>
      </c>
      <c r="P127" s="25">
        <v>69</v>
      </c>
      <c r="Q127" s="25">
        <v>69</v>
      </c>
      <c r="R127" s="25">
        <v>69</v>
      </c>
      <c r="S127" s="25">
        <v>69</v>
      </c>
      <c r="T127" s="25">
        <v>69</v>
      </c>
      <c r="U127" s="25">
        <v>69</v>
      </c>
      <c r="V127" s="25">
        <v>69</v>
      </c>
      <c r="W127" s="25">
        <v>69</v>
      </c>
      <c r="X127" s="25">
        <v>69</v>
      </c>
      <c r="Y127" s="25">
        <f t="shared" ref="Y127" si="322">X127</f>
        <v>69</v>
      </c>
      <c r="Z127" s="25">
        <f t="shared" ref="Z127" si="323">Y127</f>
        <v>69</v>
      </c>
      <c r="AA127" s="25">
        <f t="shared" ref="AA127" si="324">Z127</f>
        <v>69</v>
      </c>
      <c r="AB127" s="25">
        <f t="shared" ref="AB127" si="325">AA127</f>
        <v>69</v>
      </c>
      <c r="AC127" s="25">
        <f t="shared" ref="AC127" si="326">AB127</f>
        <v>69</v>
      </c>
      <c r="AD127" s="25">
        <f t="shared" ref="AD127" si="327">AC127</f>
        <v>69</v>
      </c>
      <c r="AE127" s="25">
        <f t="shared" ref="AE127" si="328">AD127</f>
        <v>69</v>
      </c>
      <c r="AF127" s="25">
        <f t="shared" ref="AF127" si="329">AE127</f>
        <v>69</v>
      </c>
      <c r="AG127" s="25">
        <f t="shared" ref="AG127" si="330">AF127</f>
        <v>69</v>
      </c>
      <c r="AH127" s="25">
        <f t="shared" ref="AH127" si="331">AG127</f>
        <v>69</v>
      </c>
      <c r="AI127" s="25">
        <f t="shared" ref="AI127" si="332">AH127</f>
        <v>69</v>
      </c>
      <c r="AJ127" s="33">
        <f t="shared" ref="AJ127:AJ134" si="333">AI127</f>
        <v>69</v>
      </c>
      <c r="AK127" s="33">
        <f t="shared" si="314"/>
        <v>69</v>
      </c>
      <c r="AL127" s="33">
        <f t="shared" si="315"/>
        <v>69</v>
      </c>
      <c r="AM127" s="33">
        <f t="shared" si="316"/>
        <v>69</v>
      </c>
      <c r="AN127" s="33">
        <f t="shared" si="317"/>
        <v>69</v>
      </c>
      <c r="AO127" s="33">
        <f t="shared" si="318"/>
        <v>69</v>
      </c>
      <c r="AP127" s="33">
        <f t="shared" si="319"/>
        <v>69</v>
      </c>
      <c r="AQ127" s="33">
        <f t="shared" si="320"/>
        <v>69</v>
      </c>
      <c r="AR127" s="33">
        <f t="shared" si="321"/>
        <v>69</v>
      </c>
      <c r="AS127" s="33">
        <f t="shared" ref="AS127:AS134" si="334">AR127</f>
        <v>69</v>
      </c>
      <c r="AT127" s="35"/>
    </row>
    <row r="128" spans="1:46" x14ac:dyDescent="0.35">
      <c r="A128" s="53" t="str">
        <f t="shared" si="304"/>
        <v>FS_2050</v>
      </c>
      <c r="B128" s="32" t="s">
        <v>42</v>
      </c>
      <c r="C128" s="24" t="str">
        <f t="shared" ref="C128:C134" si="335">C127</f>
        <v>kgCO2/GJ</v>
      </c>
      <c r="D128" s="24">
        <v>0</v>
      </c>
      <c r="E128" s="24">
        <v>0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>
        <v>0</v>
      </c>
      <c r="AG128" s="24">
        <v>0</v>
      </c>
      <c r="AH128" s="24">
        <v>0</v>
      </c>
      <c r="AI128" s="24">
        <v>0</v>
      </c>
      <c r="AJ128" s="33">
        <f t="shared" si="333"/>
        <v>0</v>
      </c>
      <c r="AK128" s="33">
        <f t="shared" si="314"/>
        <v>0</v>
      </c>
      <c r="AL128" s="33">
        <f t="shared" si="315"/>
        <v>0</v>
      </c>
      <c r="AM128" s="33">
        <f t="shared" si="316"/>
        <v>0</v>
      </c>
      <c r="AN128" s="33">
        <f t="shared" si="317"/>
        <v>0</v>
      </c>
      <c r="AO128" s="33">
        <f t="shared" si="318"/>
        <v>0</v>
      </c>
      <c r="AP128" s="33">
        <f t="shared" si="319"/>
        <v>0</v>
      </c>
      <c r="AQ128" s="33">
        <f t="shared" si="320"/>
        <v>0</v>
      </c>
      <c r="AR128" s="33">
        <f t="shared" si="321"/>
        <v>0</v>
      </c>
      <c r="AS128" s="33">
        <f t="shared" si="334"/>
        <v>0</v>
      </c>
    </row>
    <row r="129" spans="1:45" x14ac:dyDescent="0.35">
      <c r="A129" s="53" t="str">
        <f t="shared" si="304"/>
        <v>FS_2050</v>
      </c>
      <c r="B129" s="35" t="s">
        <v>43</v>
      </c>
      <c r="C129" s="25" t="str">
        <f t="shared" si="335"/>
        <v>kgCO2/GJ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5">
        <v>0</v>
      </c>
      <c r="T129" s="25">
        <v>0</v>
      </c>
      <c r="U129" s="25">
        <v>0</v>
      </c>
      <c r="V129" s="25">
        <v>0</v>
      </c>
      <c r="W129" s="25">
        <v>0</v>
      </c>
      <c r="X129" s="25">
        <v>0</v>
      </c>
      <c r="Y129" s="25">
        <v>0</v>
      </c>
      <c r="Z129" s="25">
        <v>0</v>
      </c>
      <c r="AA129" s="25">
        <v>0</v>
      </c>
      <c r="AB129" s="25">
        <v>0</v>
      </c>
      <c r="AC129" s="25">
        <v>0</v>
      </c>
      <c r="AD129" s="25">
        <v>0</v>
      </c>
      <c r="AE129" s="25">
        <v>0</v>
      </c>
      <c r="AF129" s="25">
        <v>0</v>
      </c>
      <c r="AG129" s="25">
        <v>0</v>
      </c>
      <c r="AH129" s="25">
        <v>0</v>
      </c>
      <c r="AI129" s="25">
        <v>0</v>
      </c>
      <c r="AJ129" s="33">
        <f t="shared" si="333"/>
        <v>0</v>
      </c>
      <c r="AK129" s="33">
        <f t="shared" si="314"/>
        <v>0</v>
      </c>
      <c r="AL129" s="33">
        <f t="shared" si="315"/>
        <v>0</v>
      </c>
      <c r="AM129" s="33">
        <f t="shared" si="316"/>
        <v>0</v>
      </c>
      <c r="AN129" s="33">
        <f t="shared" si="317"/>
        <v>0</v>
      </c>
      <c r="AO129" s="33">
        <f t="shared" si="318"/>
        <v>0</v>
      </c>
      <c r="AP129" s="33">
        <f t="shared" si="319"/>
        <v>0</v>
      </c>
      <c r="AQ129" s="33">
        <f t="shared" si="320"/>
        <v>0</v>
      </c>
      <c r="AR129" s="33">
        <f t="shared" si="321"/>
        <v>0</v>
      </c>
      <c r="AS129" s="33">
        <f t="shared" si="334"/>
        <v>0</v>
      </c>
    </row>
    <row r="130" spans="1:45" x14ac:dyDescent="0.35">
      <c r="A130" s="53" t="str">
        <f t="shared" si="304"/>
        <v>FS_2050</v>
      </c>
      <c r="B130" s="32" t="s">
        <v>44</v>
      </c>
      <c r="C130" s="24" t="str">
        <f t="shared" si="335"/>
        <v>kgCO2/GJ</v>
      </c>
      <c r="D130" s="24">
        <v>0</v>
      </c>
      <c r="E130" s="24">
        <v>0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  <c r="AF130" s="24">
        <v>0</v>
      </c>
      <c r="AG130" s="24">
        <v>0</v>
      </c>
      <c r="AH130" s="24">
        <v>0</v>
      </c>
      <c r="AI130" s="24">
        <v>0</v>
      </c>
      <c r="AJ130" s="33">
        <f t="shared" si="333"/>
        <v>0</v>
      </c>
      <c r="AK130" s="33">
        <f t="shared" si="314"/>
        <v>0</v>
      </c>
      <c r="AL130" s="33">
        <f t="shared" si="315"/>
        <v>0</v>
      </c>
      <c r="AM130" s="33">
        <f t="shared" si="316"/>
        <v>0</v>
      </c>
      <c r="AN130" s="33">
        <f t="shared" si="317"/>
        <v>0</v>
      </c>
      <c r="AO130" s="33">
        <f t="shared" si="318"/>
        <v>0</v>
      </c>
      <c r="AP130" s="33">
        <f t="shared" si="319"/>
        <v>0</v>
      </c>
      <c r="AQ130" s="33">
        <f t="shared" si="320"/>
        <v>0</v>
      </c>
      <c r="AR130" s="33">
        <f t="shared" si="321"/>
        <v>0</v>
      </c>
      <c r="AS130" s="33">
        <f t="shared" si="334"/>
        <v>0</v>
      </c>
    </row>
    <row r="131" spans="1:45" x14ac:dyDescent="0.35">
      <c r="A131" s="53" t="str">
        <f t="shared" si="304"/>
        <v>FS_2050</v>
      </c>
      <c r="B131" s="35" t="s">
        <v>45</v>
      </c>
      <c r="C131" s="25" t="str">
        <f t="shared" si="335"/>
        <v>kgCO2/GJ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25">
        <v>0</v>
      </c>
      <c r="Q131" s="25">
        <v>0</v>
      </c>
      <c r="R131" s="25">
        <v>0</v>
      </c>
      <c r="S131" s="25">
        <v>0</v>
      </c>
      <c r="T131" s="25">
        <v>0</v>
      </c>
      <c r="U131" s="25">
        <v>0</v>
      </c>
      <c r="V131" s="25">
        <v>0</v>
      </c>
      <c r="W131" s="25">
        <v>0</v>
      </c>
      <c r="X131" s="25">
        <v>0</v>
      </c>
      <c r="Y131" s="25">
        <v>0</v>
      </c>
      <c r="Z131" s="25">
        <v>0</v>
      </c>
      <c r="AA131" s="25">
        <v>0</v>
      </c>
      <c r="AB131" s="25">
        <v>0</v>
      </c>
      <c r="AC131" s="25">
        <v>0</v>
      </c>
      <c r="AD131" s="25">
        <v>0</v>
      </c>
      <c r="AE131" s="25">
        <v>0</v>
      </c>
      <c r="AF131" s="25">
        <v>0</v>
      </c>
      <c r="AG131" s="25">
        <v>0</v>
      </c>
      <c r="AH131" s="25">
        <v>0</v>
      </c>
      <c r="AI131" s="25">
        <v>0</v>
      </c>
      <c r="AJ131" s="33">
        <f t="shared" si="333"/>
        <v>0</v>
      </c>
      <c r="AK131" s="33">
        <f t="shared" si="314"/>
        <v>0</v>
      </c>
      <c r="AL131" s="33">
        <f t="shared" si="315"/>
        <v>0</v>
      </c>
      <c r="AM131" s="33">
        <f t="shared" si="316"/>
        <v>0</v>
      </c>
      <c r="AN131" s="33">
        <f t="shared" si="317"/>
        <v>0</v>
      </c>
      <c r="AO131" s="33">
        <f t="shared" si="318"/>
        <v>0</v>
      </c>
      <c r="AP131" s="33">
        <f t="shared" si="319"/>
        <v>0</v>
      </c>
      <c r="AQ131" s="33">
        <f t="shared" si="320"/>
        <v>0</v>
      </c>
      <c r="AR131" s="33">
        <f t="shared" si="321"/>
        <v>0</v>
      </c>
      <c r="AS131" s="33">
        <f t="shared" si="334"/>
        <v>0</v>
      </c>
    </row>
    <row r="132" spans="1:45" x14ac:dyDescent="0.35">
      <c r="A132" s="53" t="str">
        <f t="shared" si="304"/>
        <v>FS_2050</v>
      </c>
      <c r="B132" s="32" t="s">
        <v>46</v>
      </c>
      <c r="C132" s="24" t="str">
        <f t="shared" si="335"/>
        <v>kgCO2/GJ</v>
      </c>
      <c r="D132" s="24">
        <v>0</v>
      </c>
      <c r="E132" s="24">
        <v>0</v>
      </c>
      <c r="F132" s="24">
        <v>0</v>
      </c>
      <c r="G132" s="24">
        <v>0</v>
      </c>
      <c r="H132" s="24">
        <v>0</v>
      </c>
      <c r="I132" s="24">
        <v>0</v>
      </c>
      <c r="J132" s="24">
        <v>0</v>
      </c>
      <c r="K132" s="24">
        <v>0</v>
      </c>
      <c r="L132" s="24">
        <v>0</v>
      </c>
      <c r="M132" s="24">
        <v>0</v>
      </c>
      <c r="N132" s="24">
        <v>0</v>
      </c>
      <c r="O132" s="24">
        <v>0</v>
      </c>
      <c r="P132" s="24">
        <v>0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v>0</v>
      </c>
      <c r="AA132" s="24">
        <v>0</v>
      </c>
      <c r="AB132" s="24">
        <v>0</v>
      </c>
      <c r="AC132" s="24">
        <v>0</v>
      </c>
      <c r="AD132" s="24">
        <v>0</v>
      </c>
      <c r="AE132" s="24">
        <v>0</v>
      </c>
      <c r="AF132" s="24">
        <v>0</v>
      </c>
      <c r="AG132" s="24">
        <v>0</v>
      </c>
      <c r="AH132" s="24">
        <v>0</v>
      </c>
      <c r="AI132" s="24">
        <v>0</v>
      </c>
      <c r="AJ132" s="33">
        <f t="shared" si="333"/>
        <v>0</v>
      </c>
      <c r="AK132" s="33">
        <f t="shared" si="314"/>
        <v>0</v>
      </c>
      <c r="AL132" s="33">
        <f t="shared" si="315"/>
        <v>0</v>
      </c>
      <c r="AM132" s="33">
        <f t="shared" si="316"/>
        <v>0</v>
      </c>
      <c r="AN132" s="33">
        <f t="shared" si="317"/>
        <v>0</v>
      </c>
      <c r="AO132" s="33">
        <f t="shared" si="318"/>
        <v>0</v>
      </c>
      <c r="AP132" s="33">
        <f t="shared" si="319"/>
        <v>0</v>
      </c>
      <c r="AQ132" s="33">
        <f t="shared" si="320"/>
        <v>0</v>
      </c>
      <c r="AR132" s="33">
        <f t="shared" si="321"/>
        <v>0</v>
      </c>
      <c r="AS132" s="33">
        <f t="shared" si="334"/>
        <v>0</v>
      </c>
    </row>
    <row r="133" spans="1:45" x14ac:dyDescent="0.35">
      <c r="A133" s="53" t="str">
        <f t="shared" si="304"/>
        <v>FS_2050</v>
      </c>
      <c r="B133" s="35" t="s">
        <v>47</v>
      </c>
      <c r="C133" s="25" t="str">
        <f t="shared" si="335"/>
        <v>kgCO2/GJ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5">
        <v>0</v>
      </c>
      <c r="M133" s="25">
        <v>0</v>
      </c>
      <c r="N133" s="25">
        <v>0</v>
      </c>
      <c r="O133" s="25">
        <v>0</v>
      </c>
      <c r="P133" s="25">
        <v>0</v>
      </c>
      <c r="Q133" s="25">
        <v>0</v>
      </c>
      <c r="R133" s="25">
        <v>0</v>
      </c>
      <c r="S133" s="25">
        <v>0</v>
      </c>
      <c r="T133" s="25">
        <v>0</v>
      </c>
      <c r="U133" s="25">
        <v>0</v>
      </c>
      <c r="V133" s="25">
        <v>0</v>
      </c>
      <c r="W133" s="25">
        <v>0</v>
      </c>
      <c r="X133" s="25">
        <v>0</v>
      </c>
      <c r="Y133" s="25">
        <v>0</v>
      </c>
      <c r="Z133" s="25">
        <v>0</v>
      </c>
      <c r="AA133" s="25">
        <v>0</v>
      </c>
      <c r="AB133" s="25">
        <v>0</v>
      </c>
      <c r="AC133" s="25">
        <v>0</v>
      </c>
      <c r="AD133" s="25">
        <v>0</v>
      </c>
      <c r="AE133" s="25">
        <v>0</v>
      </c>
      <c r="AF133" s="25">
        <v>0</v>
      </c>
      <c r="AG133" s="25">
        <v>0</v>
      </c>
      <c r="AH133" s="25">
        <v>0</v>
      </c>
      <c r="AI133" s="25">
        <v>0</v>
      </c>
      <c r="AJ133" s="33">
        <f t="shared" si="333"/>
        <v>0</v>
      </c>
      <c r="AK133" s="33">
        <f t="shared" si="314"/>
        <v>0</v>
      </c>
      <c r="AL133" s="33">
        <f t="shared" si="315"/>
        <v>0</v>
      </c>
      <c r="AM133" s="33">
        <f t="shared" si="316"/>
        <v>0</v>
      </c>
      <c r="AN133" s="33">
        <f t="shared" si="317"/>
        <v>0</v>
      </c>
      <c r="AO133" s="33">
        <f t="shared" si="318"/>
        <v>0</v>
      </c>
      <c r="AP133" s="33">
        <f t="shared" si="319"/>
        <v>0</v>
      </c>
      <c r="AQ133" s="33">
        <f t="shared" si="320"/>
        <v>0</v>
      </c>
      <c r="AR133" s="33">
        <f t="shared" si="321"/>
        <v>0</v>
      </c>
      <c r="AS133" s="33">
        <f t="shared" si="334"/>
        <v>0</v>
      </c>
    </row>
    <row r="134" spans="1:45" x14ac:dyDescent="0.35">
      <c r="A134" s="53" t="str">
        <f t="shared" si="304"/>
        <v>FS_2050</v>
      </c>
      <c r="B134" s="43" t="s">
        <v>48</v>
      </c>
      <c r="C134" s="44" t="str">
        <f t="shared" si="335"/>
        <v>kgCO2/GJ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4">
        <v>0</v>
      </c>
      <c r="U134" s="44">
        <v>0</v>
      </c>
      <c r="V134" s="44">
        <v>0</v>
      </c>
      <c r="W134" s="44">
        <v>0</v>
      </c>
      <c r="X134" s="44">
        <v>0</v>
      </c>
      <c r="Y134" s="44">
        <v>0</v>
      </c>
      <c r="Z134" s="44">
        <v>0</v>
      </c>
      <c r="AA134" s="44">
        <v>0</v>
      </c>
      <c r="AB134" s="44">
        <v>0</v>
      </c>
      <c r="AC134" s="44">
        <v>0</v>
      </c>
      <c r="AD134" s="44">
        <v>0</v>
      </c>
      <c r="AE134" s="44">
        <v>0</v>
      </c>
      <c r="AF134" s="44">
        <v>0</v>
      </c>
      <c r="AG134" s="44">
        <v>0</v>
      </c>
      <c r="AH134" s="44">
        <v>0</v>
      </c>
      <c r="AI134" s="44">
        <v>0</v>
      </c>
      <c r="AJ134" s="45">
        <f t="shared" si="333"/>
        <v>0</v>
      </c>
      <c r="AK134" s="45">
        <f t="shared" si="314"/>
        <v>0</v>
      </c>
      <c r="AL134" s="45">
        <f t="shared" si="315"/>
        <v>0</v>
      </c>
      <c r="AM134" s="45">
        <f t="shared" si="316"/>
        <v>0</v>
      </c>
      <c r="AN134" s="45">
        <f t="shared" si="317"/>
        <v>0</v>
      </c>
      <c r="AO134" s="45">
        <f t="shared" si="318"/>
        <v>0</v>
      </c>
      <c r="AP134" s="45">
        <f t="shared" si="319"/>
        <v>0</v>
      </c>
      <c r="AQ134" s="45">
        <f t="shared" si="320"/>
        <v>0</v>
      </c>
      <c r="AR134" s="45">
        <f t="shared" si="321"/>
        <v>0</v>
      </c>
      <c r="AS134" s="45">
        <f t="shared" si="334"/>
        <v>0</v>
      </c>
    </row>
  </sheetData>
  <phoneticPr fontId="6" type="noConversion"/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annual_carbon_constraint</vt:lpstr>
      <vt:lpstr>carbon_tax</vt:lpstr>
      <vt:lpstr>fixed_generator_emissions</vt:lpstr>
      <vt:lpstr>extendable_generator_emissions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Ndivhuwo Segakweng</cp:lastModifiedBy>
  <cp:revision>1</cp:revision>
  <dcterms:created xsi:type="dcterms:W3CDTF">2015-06-05T18:17:20Z</dcterms:created>
  <dcterms:modified xsi:type="dcterms:W3CDTF">2025-11-17T12:56:27Z</dcterms:modified>
  <dc:language>en-GB</dc:language>
</cp:coreProperties>
</file>