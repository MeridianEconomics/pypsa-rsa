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33EB2477-C0E2-4341-9F13-4625179944E4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annual_load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T9" i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I1" i="1"/>
  <c r="AJ1" i="1" s="1"/>
  <c r="AK1" i="1" s="1"/>
  <c r="AL1" i="1" s="1"/>
  <c r="AM1" i="1" s="1"/>
  <c r="AN1" i="1" s="1"/>
  <c r="AO1" i="1" s="1"/>
  <c r="AP1" i="1" s="1"/>
  <c r="AQ1" i="1" s="1"/>
  <c r="AR1" i="1" s="1"/>
</calcChain>
</file>

<file path=xl/sharedStrings.xml><?xml version="1.0" encoding="utf-8"?>
<sst xmlns="http://schemas.openxmlformats.org/spreadsheetml/2006/main" count="28" uniqueCount="17">
  <si>
    <t>scenario</t>
  </si>
  <si>
    <t>TWh/yr</t>
  </si>
  <si>
    <t>Draft IRP 2023</t>
  </si>
  <si>
    <t>units</t>
  </si>
  <si>
    <t>source</t>
  </si>
  <si>
    <t>Low demand</t>
  </si>
  <si>
    <t>LOW</t>
  </si>
  <si>
    <t>IRP24_HIGH</t>
  </si>
  <si>
    <t>TWh/a</t>
  </si>
  <si>
    <t>CAGR 2040-2050 extended</t>
  </si>
  <si>
    <t>IRP24_MOD</t>
  </si>
  <si>
    <t>IRP24_MOD_NO_MZL</t>
  </si>
  <si>
    <t>IRP24_LOW</t>
  </si>
  <si>
    <t>IRP24_LOW_DLY_EV</t>
  </si>
  <si>
    <t>IRP23</t>
  </si>
  <si>
    <t>ME_LOW</t>
  </si>
  <si>
    <t>VERY_LOW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</si>
</sst>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555D6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/>
        <bgColor rgb="FFEDEDED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2" applyProtection="0"/>
    <xf numFmtId="0" fontId="2" fillId="2" borderId="1" applyProtection="0"/>
    <xf numFmtId="0" fontId="3" fillId="3" borderId="3" applyNumberFormat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1" fontId="0" fillId="4" borderId="0" xfId="0" applyNumberFormat="1" applyFill="1" applyAlignment="1">
      <alignment horizontal="right"/>
    </xf>
    <xf numFmtId="1" fontId="0" fillId="5" borderId="0" xfId="0" applyNumberFormat="1" applyFill="1"/>
    <xf numFmtId="1" fontId="0" fillId="5" borderId="0" xfId="0" applyNumberFormat="1" applyFill="1" applyAlignment="1">
      <alignment horizontal="right"/>
    </xf>
    <xf numFmtId="0" fontId="4" fillId="3" borderId="4" xfId="3" applyFont="1" applyBorder="1" applyAlignment="1" applyProtection="1">
      <alignment horizontal="left" vertical="center" wrapText="1"/>
    </xf>
    <xf numFmtId="0" fontId="4" fillId="3" borderId="4" xfId="3" applyFont="1" applyBorder="1" applyAlignment="1" applyProtection="1">
      <alignment horizontal="right" vertical="center" wrapText="1"/>
    </xf>
    <xf numFmtId="0" fontId="6" fillId="7" borderId="0" xfId="5"/>
    <xf numFmtId="0" fontId="5" fillId="6" borderId="0" xfId="4"/>
    <xf numFmtId="164" fontId="0" fillId="4" borderId="0" xfId="6" applyNumberFormat="1" applyFont="1" applyFill="1" applyAlignment="1">
      <alignment horizontal="right"/>
    </xf>
    <xf numFmtId="164" fontId="0" fillId="5" borderId="0" xfId="6" applyNumberFormat="1" applyFont="1" applyFill="1" applyAlignment="1">
      <alignment horizontal="right"/>
    </xf>
    <xf numFmtId="0" fontId="8" fillId="0" borderId="0" xfId="0" applyFont="1"/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8" borderId="0" xfId="0" applyFont="1" applyFill="1"/>
    <xf numFmtId="0" fontId="9" fillId="11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4" xfId="0" applyBorder="1"/>
    <xf numFmtId="0" fontId="0" fillId="13" borderId="0" xfId="0" applyFill="1"/>
  </cellXfs>
  <cellStyles count="7">
    <cellStyle name="Bad" xfId="5" builtinId="27"/>
    <cellStyle name="Excel Built-in Heading 2" xfId="1" xr:uid="{AA65B9DB-3DD1-4EA1-9773-C289CA255DC1}"/>
    <cellStyle name="Excel Built-in Input" xfId="2" xr:uid="{47997FCE-E656-40EA-8387-6452764053C9}"/>
    <cellStyle name="Good" xfId="4" builtinId="26"/>
    <cellStyle name="Normal" xfId="0" builtinId="0"/>
    <cellStyle name="Output" xfId="3" builtinId="21"/>
    <cellStyle name="Percent" xfId="6" builtinId="5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Total demand (including behind</a:t>
            </a:r>
            <a:r>
              <a:rPr lang="en-ZA" sz="1600" baseline="0"/>
              <a:t> the meter)</a:t>
            </a:r>
            <a:endParaRPr lang="en-ZA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annual_load!$A$5</c:f>
              <c:strCache>
                <c:ptCount val="1"/>
                <c:pt idx="0">
                  <c:v>IRP24_MOD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annual_load!$I$1:$AR$1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annual_load!$I$5:$AR$5</c:f>
              <c:numCache>
                <c:formatCode>0</c:formatCode>
                <c:ptCount val="36"/>
                <c:pt idx="0">
                  <c:v>240.13551922508401</c:v>
                </c:pt>
                <c:pt idx="1">
                  <c:v>242.136474226335</c:v>
                </c:pt>
                <c:pt idx="2">
                  <c:v>246.26344391641399</c:v>
                </c:pt>
                <c:pt idx="3">
                  <c:v>250.265353918915</c:v>
                </c:pt>
                <c:pt idx="4">
                  <c:v>254.64244298415099</c:v>
                </c:pt>
                <c:pt idx="5">
                  <c:v>260.770367675481</c:v>
                </c:pt>
                <c:pt idx="6">
                  <c:v>268.89924736806199</c:v>
                </c:pt>
                <c:pt idx="7">
                  <c:v>277.40330612337698</c:v>
                </c:pt>
                <c:pt idx="8">
                  <c:v>283.28111143954999</c:v>
                </c:pt>
                <c:pt idx="9">
                  <c:v>290.53457331908402</c:v>
                </c:pt>
                <c:pt idx="10">
                  <c:v>298.66345301166399</c:v>
                </c:pt>
                <c:pt idx="11">
                  <c:v>305.541735828463</c:v>
                </c:pt>
                <c:pt idx="12">
                  <c:v>313.04531708315301</c:v>
                </c:pt>
                <c:pt idx="13">
                  <c:v>321.67443552604601</c:v>
                </c:pt>
                <c:pt idx="14">
                  <c:v>330.80379271925199</c:v>
                </c:pt>
                <c:pt idx="15">
                  <c:v>339.93314991245802</c:v>
                </c:pt>
                <c:pt idx="16">
                  <c:v>347.93696991745998</c:v>
                </c:pt>
                <c:pt idx="17">
                  <c:v>357.56656586097898</c:v>
                </c:pt>
                <c:pt idx="18">
                  <c:v>366.19568430387199</c:v>
                </c:pt>
                <c:pt idx="19">
                  <c:v>376.325518997703</c:v>
                </c:pt>
                <c:pt idx="20">
                  <c:v>384.32933900270501</c:v>
                </c:pt>
                <c:pt idx="21">
                  <c:v>391.95797994497298</c:v>
                </c:pt>
                <c:pt idx="22">
                  <c:v>403.21335182700801</c:v>
                </c:pt>
                <c:pt idx="23">
                  <c:v>413.09306714568299</c:v>
                </c:pt>
                <c:pt idx="24">
                  <c:v>419.97134996248201</c:v>
                </c:pt>
                <c:pt idx="25">
                  <c:v>430.60142340662497</c:v>
                </c:pt>
                <c:pt idx="26">
                  <c:v>440.90361063967714</c:v>
                </c:pt>
                <c:pt idx="27">
                  <c:v>451.45227885494529</c:v>
                </c:pt>
                <c:pt idx="28">
                  <c:v>462.25332513750658</c:v>
                </c:pt>
                <c:pt idx="29">
                  <c:v>473.31278766085842</c:v>
                </c:pt>
                <c:pt idx="30">
                  <c:v>484.63684906247477</c:v>
                </c:pt>
                <c:pt idx="31">
                  <c:v>496.23183990012291</c:v>
                </c:pt>
                <c:pt idx="32">
                  <c:v>508.10424219087292</c:v>
                </c:pt>
                <c:pt idx="33">
                  <c:v>520.26069303477857</c:v>
                </c:pt>
                <c:pt idx="34">
                  <c:v>532.70798832525509</c:v>
                </c:pt>
                <c:pt idx="35">
                  <c:v>545.45308654822793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4A-4A9B-88A1-8A506A828CFC}"/>
            </c:ext>
          </c:extLst>
        </c:ser>
        <c:ser>
          <c:idx val="5"/>
          <c:order val="5"/>
          <c:tx>
            <c:strRef>
              <c:f>annual_load!$A$7</c:f>
              <c:strCache>
                <c:ptCount val="1"/>
                <c:pt idx="0">
                  <c:v>IRP24_LOW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annual_load!$I$1:$AR$1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  <c:extLst xmlns:c15="http://schemas.microsoft.com/office/drawing/2012/chart"/>
            </c:numRef>
          </c:xVal>
          <c:yVal>
            <c:numRef>
              <c:f>annual_load!$I$7:$AR$7</c:f>
              <c:numCache>
                <c:formatCode>0</c:formatCode>
                <c:ptCount val="36"/>
                <c:pt idx="0">
                  <c:v>239.51022078719299</c:v>
                </c:pt>
                <c:pt idx="1">
                  <c:v>241.80995475113099</c:v>
                </c:pt>
                <c:pt idx="2">
                  <c:v>245.51308579094501</c:v>
                </c:pt>
                <c:pt idx="3">
                  <c:v>250.265353918915</c:v>
                </c:pt>
                <c:pt idx="4">
                  <c:v>254.267263921417</c:v>
                </c:pt>
                <c:pt idx="5">
                  <c:v>256.380090497737</c:v>
                </c:pt>
                <c:pt idx="6">
                  <c:v>263.27156142704399</c:v>
                </c:pt>
                <c:pt idx="7">
                  <c:v>267.273471429545</c:v>
                </c:pt>
                <c:pt idx="8">
                  <c:v>272.901157370563</c:v>
                </c:pt>
                <c:pt idx="9">
                  <c:v>277.918552036199</c:v>
                </c:pt>
                <c:pt idx="10">
                  <c:v>284.253393665158</c:v>
                </c:pt>
                <c:pt idx="11">
                  <c:v>289.40903613088</c:v>
                </c:pt>
                <c:pt idx="12">
                  <c:v>295.91213988494502</c:v>
                </c:pt>
                <c:pt idx="13">
                  <c:v>302.54030332658698</c:v>
                </c:pt>
                <c:pt idx="14">
                  <c:v>310.168944268855</c:v>
                </c:pt>
                <c:pt idx="15">
                  <c:v>317.54746583596699</c:v>
                </c:pt>
                <c:pt idx="16">
                  <c:v>324.55080834034402</c:v>
                </c:pt>
                <c:pt idx="17">
                  <c:v>332.67968803292399</c:v>
                </c:pt>
                <c:pt idx="18">
                  <c:v>341.30880647581802</c:v>
                </c:pt>
                <c:pt idx="19">
                  <c:v>349.43768616839799</c:v>
                </c:pt>
                <c:pt idx="20">
                  <c:v>356.56608836035298</c:v>
                </c:pt>
                <c:pt idx="21">
                  <c:v>364.31978899019902</c:v>
                </c:pt>
                <c:pt idx="22">
                  <c:v>372.32360899520199</c:v>
                </c:pt>
                <c:pt idx="23">
                  <c:v>381.07778712567301</c:v>
                </c:pt>
                <c:pt idx="24">
                  <c:v>387.080652129425</c:v>
                </c:pt>
                <c:pt idx="25">
                  <c:v>395.08447213442702</c:v>
                </c:pt>
                <c:pt idx="26">
                  <c:v>403.81095065233995</c:v>
                </c:pt>
                <c:pt idx="27">
                  <c:v>412.73017637419179</c:v>
                </c:pt>
                <c:pt idx="28">
                  <c:v>421.84640662835966</c:v>
                </c:pt>
                <c:pt idx="29">
                  <c:v>431.16399277750247</c:v>
                </c:pt>
                <c:pt idx="30">
                  <c:v>440.68738229555532</c:v>
                </c:pt>
                <c:pt idx="31">
                  <c:v>450.4211208905993</c:v>
                </c:pt>
                <c:pt idx="32">
                  <c:v>460.3698546746208</c:v>
                </c:pt>
                <c:pt idx="33">
                  <c:v>470.53833238119557</c:v>
                </c:pt>
                <c:pt idx="34">
                  <c:v>480.93140763215598</c:v>
                </c:pt>
                <c:pt idx="35">
                  <c:v>491.55404125432392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F4A-4A9B-88A1-8A506A828CFC}"/>
            </c:ext>
          </c:extLst>
        </c:ser>
        <c:ser>
          <c:idx val="6"/>
          <c:order val="6"/>
          <c:tx>
            <c:strRef>
              <c:f>annual_load!$A$8</c:f>
              <c:strCache>
                <c:ptCount val="1"/>
                <c:pt idx="0">
                  <c:v>IRP24_LOW_DLY_EV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annual_load!$I$1:$AR$1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  <c:extLst xmlns:c15="http://schemas.microsoft.com/office/drawing/2012/chart"/>
            </c:numRef>
          </c:xVal>
          <c:yVal>
            <c:numRef>
              <c:f>annual_load!$I$8:$AR$8</c:f>
              <c:numCache>
                <c:formatCode>0</c:formatCode>
                <c:ptCount val="36"/>
                <c:pt idx="0">
                  <c:v>239.909502262443</c:v>
                </c:pt>
                <c:pt idx="1">
                  <c:v>239.51022078719299</c:v>
                </c:pt>
                <c:pt idx="2">
                  <c:v>242.51165328906899</c:v>
                </c:pt>
                <c:pt idx="3">
                  <c:v>242.386593601491</c:v>
                </c:pt>
                <c:pt idx="4">
                  <c:v>243.01189203938199</c:v>
                </c:pt>
                <c:pt idx="5">
                  <c:v>243.26201141453799</c:v>
                </c:pt>
                <c:pt idx="6">
                  <c:v>246.63862297914901</c:v>
                </c:pt>
                <c:pt idx="7">
                  <c:v>250.14029423133701</c:v>
                </c:pt>
                <c:pt idx="8">
                  <c:v>253.767025171104</c:v>
                </c:pt>
                <c:pt idx="9">
                  <c:v>258.39423361149602</c:v>
                </c:pt>
                <c:pt idx="10">
                  <c:v>263.77180017735702</c:v>
                </c:pt>
                <c:pt idx="11">
                  <c:v>270.02478455626499</c:v>
                </c:pt>
                <c:pt idx="12">
                  <c:v>276.01809954751099</c:v>
                </c:pt>
                <c:pt idx="13">
                  <c:v>281.90545487618999</c:v>
                </c:pt>
                <c:pt idx="14">
                  <c:v>288.53361831783297</c:v>
                </c:pt>
                <c:pt idx="15">
                  <c:v>295.41190113463199</c:v>
                </c:pt>
                <c:pt idx="16">
                  <c:v>302.04006457627497</c:v>
                </c:pt>
                <c:pt idx="17">
                  <c:v>309.66870551854203</c:v>
                </c:pt>
                <c:pt idx="18">
                  <c:v>317.79758521112302</c:v>
                </c:pt>
                <c:pt idx="19">
                  <c:v>327.427181154641</c:v>
                </c:pt>
                <c:pt idx="20">
                  <c:v>334.68064303417498</c:v>
                </c:pt>
                <c:pt idx="21">
                  <c:v>342.68446303917699</c:v>
                </c:pt>
                <c:pt idx="22">
                  <c:v>352.314058982696</c:v>
                </c:pt>
                <c:pt idx="23">
                  <c:v>362.068714613792</c:v>
                </c:pt>
                <c:pt idx="24">
                  <c:v>369.32217649332603</c:v>
                </c:pt>
                <c:pt idx="25">
                  <c:v>378.57659337411002</c:v>
                </c:pt>
                <c:pt idx="26">
                  <c:v>388.08453446650526</c:v>
                </c:pt>
                <c:pt idx="27">
                  <c:v>397.83126724702561</c:v>
                </c:pt>
                <c:pt idx="28">
                  <c:v>407.82278896257907</c:v>
                </c:pt>
                <c:pt idx="29">
                  <c:v>418.06524748077049</c:v>
                </c:pt>
                <c:pt idx="30">
                  <c:v>428.56494507273641</c:v>
                </c:pt>
                <c:pt idx="31">
                  <c:v>439.32834229098569</c:v>
                </c:pt>
                <c:pt idx="32">
                  <c:v>450.36206194463188</c:v>
                </c:pt>
                <c:pt idx="33">
                  <c:v>461.6728931744637</c:v>
                </c:pt>
                <c:pt idx="34">
                  <c:v>473.26779563036041</c:v>
                </c:pt>
                <c:pt idx="35">
                  <c:v>485.15390375362335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F4A-4A9B-88A1-8A506A828CFC}"/>
            </c:ext>
          </c:extLst>
        </c:ser>
        <c:ser>
          <c:idx val="7"/>
          <c:order val="7"/>
          <c:tx>
            <c:strRef>
              <c:f>annual_load!$A$9</c:f>
              <c:strCache>
                <c:ptCount val="1"/>
                <c:pt idx="0">
                  <c:v>ME_LOW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annual_load!$I$1:$AR$1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annual_load!$I$9:$AR$9</c:f>
              <c:numCache>
                <c:formatCode>0</c:formatCode>
                <c:ptCount val="36"/>
                <c:pt idx="0">
                  <c:v>239.909502262443</c:v>
                </c:pt>
                <c:pt idx="1">
                  <c:v>239.51022078719299</c:v>
                </c:pt>
                <c:pt idx="2">
                  <c:v>242.51165328906899</c:v>
                </c:pt>
                <c:pt idx="3">
                  <c:v>242.386593601491</c:v>
                </c:pt>
                <c:pt idx="4">
                  <c:v>243.01189203938199</c:v>
                </c:pt>
                <c:pt idx="5">
                  <c:v>243.26201141453799</c:v>
                </c:pt>
                <c:pt idx="6">
                  <c:v>246.63862297914901</c:v>
                </c:pt>
                <c:pt idx="7">
                  <c:v>250.14029423133701</c:v>
                </c:pt>
                <c:pt idx="8">
                  <c:v>253.767025171104</c:v>
                </c:pt>
                <c:pt idx="9">
                  <c:v>258.39423361149602</c:v>
                </c:pt>
                <c:pt idx="10">
                  <c:v>263.77180017735702</c:v>
                </c:pt>
                <c:pt idx="11" formatCode="General">
                  <c:v>267.72837718001733</c:v>
                </c:pt>
                <c:pt idx="12" formatCode="General">
                  <c:v>271.74430283771756</c:v>
                </c:pt>
                <c:pt idx="13" formatCode="General">
                  <c:v>275.82046738028328</c:v>
                </c:pt>
                <c:pt idx="14" formatCode="General">
                  <c:v>279.95777439098748</c:v>
                </c:pt>
                <c:pt idx="15" formatCode="General">
                  <c:v>284.15714100685227</c:v>
                </c:pt>
                <c:pt idx="16" formatCode="General">
                  <c:v>288.41949812195503</c:v>
                </c:pt>
                <c:pt idx="17" formatCode="General">
                  <c:v>292.74579059378431</c:v>
                </c:pt>
                <c:pt idx="18" formatCode="General">
                  <c:v>297.13697745269104</c:v>
                </c:pt>
                <c:pt idx="19" formatCode="General">
                  <c:v>301.59403211448137</c:v>
                </c:pt>
                <c:pt idx="20" formatCode="General">
                  <c:v>306.11794259619853</c:v>
                </c:pt>
                <c:pt idx="21" formatCode="General">
                  <c:v>310.70971173514147</c:v>
                </c:pt>
                <c:pt idx="22" formatCode="General">
                  <c:v>315.37035741116858</c:v>
                </c:pt>
                <c:pt idx="23" formatCode="General">
                  <c:v>320.10091277233607</c:v>
                </c:pt>
                <c:pt idx="24" formatCode="General">
                  <c:v>324.90242646392107</c:v>
                </c:pt>
                <c:pt idx="25" formatCode="General">
                  <c:v>331.40047499319951</c:v>
                </c:pt>
                <c:pt idx="26" formatCode="General">
                  <c:v>338.0284844930635</c:v>
                </c:pt>
                <c:pt idx="27" formatCode="General">
                  <c:v>344.78905418292476</c:v>
                </c:pt>
                <c:pt idx="28" formatCode="General">
                  <c:v>351.68483526658326</c:v>
                </c:pt>
                <c:pt idx="29" formatCode="General">
                  <c:v>358.71853197191496</c:v>
                </c:pt>
                <c:pt idx="30" formatCode="General">
                  <c:v>365.89290261135324</c:v>
                </c:pt>
                <c:pt idx="31" formatCode="General">
                  <c:v>373.21076066358029</c:v>
                </c:pt>
                <c:pt idx="32" formatCode="General">
                  <c:v>380.67497587685187</c:v>
                </c:pt>
                <c:pt idx="33" formatCode="General">
                  <c:v>388.28847539438891</c:v>
                </c:pt>
                <c:pt idx="34" formatCode="General">
                  <c:v>396.05424490227671</c:v>
                </c:pt>
                <c:pt idx="35" formatCode="General">
                  <c:v>403.97532980032224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4A-4A9B-88A1-8A506A828CFC}"/>
            </c:ext>
          </c:extLst>
        </c:ser>
        <c:ser>
          <c:idx val="8"/>
          <c:order val="8"/>
          <c:tx>
            <c:v>VERY_LOW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annual_load!$I$1:$AR$1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annual_load!$I$10:$AR$10</c:f>
              <c:numCache>
                <c:formatCode>0</c:formatCode>
                <c:ptCount val="36"/>
                <c:pt idx="0">
                  <c:v>239.909502262443</c:v>
                </c:pt>
                <c:pt idx="1">
                  <c:v>239.51022078719299</c:v>
                </c:pt>
                <c:pt idx="2">
                  <c:v>242.51165328906899</c:v>
                </c:pt>
                <c:pt idx="3">
                  <c:v>242.386593601491</c:v>
                </c:pt>
                <c:pt idx="4">
                  <c:v>243.01189203938199</c:v>
                </c:pt>
                <c:pt idx="5">
                  <c:v>243.26201141453799</c:v>
                </c:pt>
                <c:pt idx="6">
                  <c:v>244.4866110340534</c:v>
                </c:pt>
                <c:pt idx="7">
                  <c:v>245.7112106535688</c:v>
                </c:pt>
                <c:pt idx="8">
                  <c:v>246.9358102730842</c:v>
                </c:pt>
                <c:pt idx="9">
                  <c:v>248.1604098925996</c:v>
                </c:pt>
                <c:pt idx="10">
                  <c:v>249.385009512115</c:v>
                </c:pt>
                <c:pt idx="11">
                  <c:v>250.60960913163041</c:v>
                </c:pt>
                <c:pt idx="12">
                  <c:v>251.83420875114581</c:v>
                </c:pt>
                <c:pt idx="13">
                  <c:v>253.05880837066121</c:v>
                </c:pt>
                <c:pt idx="14">
                  <c:v>254.28340799017661</c:v>
                </c:pt>
                <c:pt idx="15">
                  <c:v>255.50800760969202</c:v>
                </c:pt>
                <c:pt idx="16">
                  <c:v>256.73260722920742</c:v>
                </c:pt>
                <c:pt idx="17">
                  <c:v>257.95720684872282</c:v>
                </c:pt>
                <c:pt idx="18">
                  <c:v>259.18180646823822</c:v>
                </c:pt>
                <c:pt idx="19">
                  <c:v>260.40640608775362</c:v>
                </c:pt>
                <c:pt idx="20">
                  <c:v>261.63100570726903</c:v>
                </c:pt>
                <c:pt idx="21">
                  <c:v>262.85560532678443</c:v>
                </c:pt>
                <c:pt idx="22">
                  <c:v>264.08020494629983</c:v>
                </c:pt>
                <c:pt idx="23">
                  <c:v>265.30480456581523</c:v>
                </c:pt>
                <c:pt idx="24">
                  <c:v>266.52940418533063</c:v>
                </c:pt>
                <c:pt idx="25">
                  <c:v>267.75400380484604</c:v>
                </c:pt>
                <c:pt idx="26">
                  <c:v>268.97860342436144</c:v>
                </c:pt>
                <c:pt idx="27">
                  <c:v>270.20320304387684</c:v>
                </c:pt>
                <c:pt idx="28">
                  <c:v>271.42780266339224</c:v>
                </c:pt>
                <c:pt idx="29">
                  <c:v>272.65240228290764</c:v>
                </c:pt>
                <c:pt idx="30">
                  <c:v>273.87700190242305</c:v>
                </c:pt>
                <c:pt idx="31">
                  <c:v>275.10160152193845</c:v>
                </c:pt>
                <c:pt idx="32">
                  <c:v>276.32620114145385</c:v>
                </c:pt>
                <c:pt idx="33">
                  <c:v>277.55080076096925</c:v>
                </c:pt>
                <c:pt idx="34">
                  <c:v>278.77540038048465</c:v>
                </c:pt>
                <c:pt idx="35" formatCode="General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C-164E-BB7F-F4AC7E00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322992"/>
        <c:axId val="14913253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annual_load!$A$2</c15:sqref>
                        </c15:formulaRef>
                      </c:ext>
                    </c:extLst>
                    <c:strCache>
                      <c:ptCount val="1"/>
                      <c:pt idx="0">
                        <c:v>IRP23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annual_load!$I$1:$AR$1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annual_load!$I$2:$AR$2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247</c:v>
                      </c:pt>
                      <c:pt idx="1">
                        <c:v>249</c:v>
                      </c:pt>
                      <c:pt idx="2">
                        <c:v>251</c:v>
                      </c:pt>
                      <c:pt idx="3">
                        <c:v>253.5</c:v>
                      </c:pt>
                      <c:pt idx="4">
                        <c:v>256</c:v>
                      </c:pt>
                      <c:pt idx="5">
                        <c:v>260</c:v>
                      </c:pt>
                      <c:pt idx="6">
                        <c:v>264</c:v>
                      </c:pt>
                      <c:pt idx="7">
                        <c:v>269</c:v>
                      </c:pt>
                      <c:pt idx="8">
                        <c:v>274</c:v>
                      </c:pt>
                      <c:pt idx="9">
                        <c:v>281.5</c:v>
                      </c:pt>
                      <c:pt idx="10">
                        <c:v>289</c:v>
                      </c:pt>
                      <c:pt idx="11">
                        <c:v>297</c:v>
                      </c:pt>
                      <c:pt idx="12">
                        <c:v>305</c:v>
                      </c:pt>
                      <c:pt idx="13">
                        <c:v>315</c:v>
                      </c:pt>
                      <c:pt idx="14">
                        <c:v>325</c:v>
                      </c:pt>
                      <c:pt idx="15">
                        <c:v>334</c:v>
                      </c:pt>
                      <c:pt idx="16">
                        <c:v>343</c:v>
                      </c:pt>
                      <c:pt idx="17">
                        <c:v>352</c:v>
                      </c:pt>
                      <c:pt idx="18">
                        <c:v>361</c:v>
                      </c:pt>
                      <c:pt idx="19">
                        <c:v>369.5</c:v>
                      </c:pt>
                      <c:pt idx="20">
                        <c:v>378</c:v>
                      </c:pt>
                      <c:pt idx="21">
                        <c:v>387</c:v>
                      </c:pt>
                      <c:pt idx="22">
                        <c:v>396</c:v>
                      </c:pt>
                      <c:pt idx="23">
                        <c:v>404.5</c:v>
                      </c:pt>
                      <c:pt idx="24">
                        <c:v>413</c:v>
                      </c:pt>
                      <c:pt idx="25">
                        <c:v>422</c:v>
                      </c:pt>
                      <c:pt idx="26">
                        <c:v>431.98538045924306</c:v>
                      </c:pt>
                      <c:pt idx="27">
                        <c:v>442.20703538037196</c:v>
                      </c:pt>
                      <c:pt idx="28">
                        <c:v>452.67055549891927</c:v>
                      </c:pt>
                      <c:pt idx="29">
                        <c:v>463.38166383861977</c:v>
                      </c:pt>
                      <c:pt idx="30">
                        <c:v>474.34621884161902</c:v>
                      </c:pt>
                      <c:pt idx="31">
                        <c:v>485.57021757274919</c:v>
                      </c:pt>
                      <c:pt idx="32">
                        <c:v>497.05979899962438</c:v>
                      </c:pt>
                      <c:pt idx="33">
                        <c:v>508.82124735034978</c:v>
                      </c:pt>
                      <c:pt idx="34">
                        <c:v>520.8609955506812</c:v>
                      </c:pt>
                      <c:pt idx="35">
                        <c:v>533.1856287425145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F4A-4A9B-88A1-8A506A828C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annual_load!$A$3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annual_load!$I$1:$AR$1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annual_load!$I$3:$AR$3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247</c:v>
                      </c:pt>
                      <c:pt idx="1">
                        <c:v>249.65</c:v>
                      </c:pt>
                      <c:pt idx="2">
                        <c:v>252.3</c:v>
                      </c:pt>
                      <c:pt idx="3">
                        <c:v>254.95000000000002</c:v>
                      </c:pt>
                      <c:pt idx="4">
                        <c:v>257.60000000000002</c:v>
                      </c:pt>
                      <c:pt idx="5">
                        <c:v>260.25</c:v>
                      </c:pt>
                      <c:pt idx="6">
                        <c:v>262.89999999999998</c:v>
                      </c:pt>
                      <c:pt idx="7">
                        <c:v>265.54999999999995</c:v>
                      </c:pt>
                      <c:pt idx="8">
                        <c:v>268.19999999999993</c:v>
                      </c:pt>
                      <c:pt idx="9">
                        <c:v>270.84999999999991</c:v>
                      </c:pt>
                      <c:pt idx="10">
                        <c:v>273.49999999999989</c:v>
                      </c:pt>
                      <c:pt idx="11">
                        <c:v>276.14999999999986</c:v>
                      </c:pt>
                      <c:pt idx="12">
                        <c:v>278.79999999999984</c:v>
                      </c:pt>
                      <c:pt idx="13">
                        <c:v>281.44999999999982</c:v>
                      </c:pt>
                      <c:pt idx="14">
                        <c:v>284.0999999999998</c:v>
                      </c:pt>
                      <c:pt idx="15">
                        <c:v>286.74999999999977</c:v>
                      </c:pt>
                      <c:pt idx="16">
                        <c:v>289.39999999999975</c:v>
                      </c:pt>
                      <c:pt idx="17">
                        <c:v>292.04999999999973</c:v>
                      </c:pt>
                      <c:pt idx="18">
                        <c:v>294.6999999999997</c:v>
                      </c:pt>
                      <c:pt idx="19">
                        <c:v>297.34999999999968</c:v>
                      </c:pt>
                      <c:pt idx="20">
                        <c:v>300</c:v>
                      </c:pt>
                      <c:pt idx="21">
                        <c:v>302.64999999999998</c:v>
                      </c:pt>
                      <c:pt idx="22">
                        <c:v>305.29999999999995</c:v>
                      </c:pt>
                      <c:pt idx="23">
                        <c:v>307.94999999999993</c:v>
                      </c:pt>
                      <c:pt idx="24">
                        <c:v>310.59999999999991</c:v>
                      </c:pt>
                      <c:pt idx="25">
                        <c:v>313.24999999999989</c:v>
                      </c:pt>
                      <c:pt idx="26">
                        <c:v>316.03111614511988</c:v>
                      </c:pt>
                      <c:pt idx="27">
                        <c:v>318.83692377312138</c:v>
                      </c:pt>
                      <c:pt idx="28">
                        <c:v>321.66764210150387</c:v>
                      </c:pt>
                      <c:pt idx="29">
                        <c:v>324.52349229403751</c:v>
                      </c:pt>
                      <c:pt idx="30">
                        <c:v>327.40469747804281</c:v>
                      </c:pt>
                      <c:pt idx="31">
                        <c:v>330.31148276182353</c:v>
                      </c:pt>
                      <c:pt idx="32">
                        <c:v>333.24407525225428</c:v>
                      </c:pt>
                      <c:pt idx="33">
                        <c:v>336.2027040725244</c:v>
                      </c:pt>
                      <c:pt idx="34">
                        <c:v>339.18760038003944</c:v>
                      </c:pt>
                      <c:pt idx="35">
                        <c:v>342.19899738448134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F4A-4A9B-88A1-8A506A828C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annual_load!$A$4</c15:sqref>
                        </c15:formulaRef>
                      </c:ext>
                    </c:extLst>
                    <c:strCache>
                      <c:ptCount val="1"/>
                      <c:pt idx="0">
                        <c:v>IRP24_HIGH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annual_load!$I$1:$AR$1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annual_load!$I$4:$AR$4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239.26010141203699</c:v>
                      </c:pt>
                      <c:pt idx="1">
                        <c:v>241.17647058823499</c:v>
                      </c:pt>
                      <c:pt idx="2">
                        <c:v>246.26344391641399</c:v>
                      </c:pt>
                      <c:pt idx="3">
                        <c:v>250.678733031674</c:v>
                      </c:pt>
                      <c:pt idx="4">
                        <c:v>255.746606334841</c:v>
                      </c:pt>
                      <c:pt idx="5">
                        <c:v>260.814479638009</c:v>
                      </c:pt>
                      <c:pt idx="6">
                        <c:v>269.04977375565602</c:v>
                      </c:pt>
                      <c:pt idx="7">
                        <c:v>277.28506787330298</c:v>
                      </c:pt>
                      <c:pt idx="8">
                        <c:v>284.90688737806602</c:v>
                      </c:pt>
                      <c:pt idx="9">
                        <c:v>293.28588644580299</c:v>
                      </c:pt>
                      <c:pt idx="10">
                        <c:v>302.04006457627497</c:v>
                      </c:pt>
                      <c:pt idx="11">
                        <c:v>310.41906364401098</c:v>
                      </c:pt>
                      <c:pt idx="12">
                        <c:v>318.92312239932699</c:v>
                      </c:pt>
                      <c:pt idx="13">
                        <c:v>328.92789740557998</c:v>
                      </c:pt>
                      <c:pt idx="14">
                        <c:v>339.93314991245802</c:v>
                      </c:pt>
                      <c:pt idx="15">
                        <c:v>350.81334273175798</c:v>
                      </c:pt>
                      <c:pt idx="16">
                        <c:v>360.81811773801098</c:v>
                      </c:pt>
                      <c:pt idx="17">
                        <c:v>372.823847745514</c:v>
                      </c:pt>
                      <c:pt idx="18">
                        <c:v>383.829100252393</c:v>
                      </c:pt>
                      <c:pt idx="19">
                        <c:v>396.83530776052203</c:v>
                      </c:pt>
                      <c:pt idx="20">
                        <c:v>406.71502307919599</c:v>
                      </c:pt>
                      <c:pt idx="21">
                        <c:v>417.59521589849697</c:v>
                      </c:pt>
                      <c:pt idx="22">
                        <c:v>430.10118465631302</c:v>
                      </c:pt>
                      <c:pt idx="23">
                        <c:v>442.231974351394</c:v>
                      </c:pt>
                      <c:pt idx="24">
                        <c:v>451.61145091975698</c:v>
                      </c:pt>
                      <c:pt idx="25">
                        <c:v>462.89592760181</c:v>
                      </c:pt>
                      <c:pt idx="26">
                        <c:v>475.90918393271784</c:v>
                      </c:pt>
                      <c:pt idx="27">
                        <c:v>489.28827809073999</c:v>
                      </c:pt>
                      <c:pt idx="28">
                        <c:v>503.04349476652919</c:v>
                      </c:pt>
                      <c:pt idx="29">
                        <c:v>517.18540778120519</c:v>
                      </c:pt>
                      <c:pt idx="30">
                        <c:v>531.7248882145941</c:v>
                      </c:pt>
                      <c:pt idx="31">
                        <c:v>546.67311276197461</c:v>
                      </c:pt>
                      <c:pt idx="32">
                        <c:v>562.0415723257546</c:v>
                      </c:pt>
                      <c:pt idx="33">
                        <c:v>577.84208084868362</c:v>
                      </c:pt>
                      <c:pt idx="34">
                        <c:v>594.08678439539005</c:v>
                      </c:pt>
                      <c:pt idx="35">
                        <c:v>610.78817048922565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4A-4A9B-88A1-8A506A828CF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annual_load!$A$6</c15:sqref>
                        </c15:formulaRef>
                      </c:ext>
                    </c:extLst>
                    <c:strCache>
                      <c:ptCount val="1"/>
                      <c:pt idx="0">
                        <c:v>IRP24_MOD_NO_MZL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annual_load!$I$1:$AR$1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annual_load!$I$6:$AR$6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240.13551922508401</c:v>
                      </c:pt>
                      <c:pt idx="1">
                        <c:v>242.136474226335</c:v>
                      </c:pt>
                      <c:pt idx="2">
                        <c:v>246.26344391641399</c:v>
                      </c:pt>
                      <c:pt idx="3">
                        <c:v>250.265353918915</c:v>
                      </c:pt>
                      <c:pt idx="4">
                        <c:v>254.64244298415099</c:v>
                      </c:pt>
                      <c:pt idx="5">
                        <c:v>260.770367675481</c:v>
                      </c:pt>
                      <c:pt idx="6">
                        <c:v>262.39614361399703</c:v>
                      </c:pt>
                      <c:pt idx="7">
                        <c:v>267.89876986743599</c:v>
                      </c:pt>
                      <c:pt idx="8">
                        <c:v>274.026694558766</c:v>
                      </c:pt>
                      <c:pt idx="9">
                        <c:v>281.530275813456</c:v>
                      </c:pt>
                      <c:pt idx="10">
                        <c:v>289.03385706814601</c:v>
                      </c:pt>
                      <c:pt idx="11">
                        <c:v>296.91261738557</c:v>
                      </c:pt>
                      <c:pt idx="12">
                        <c:v>304.04101957752499</c:v>
                      </c:pt>
                      <c:pt idx="13">
                        <c:v>312.54507833283998</c:v>
                      </c:pt>
                      <c:pt idx="14">
                        <c:v>321.67443552604601</c:v>
                      </c:pt>
                      <c:pt idx="15">
                        <c:v>331.05391209440802</c:v>
                      </c:pt>
                      <c:pt idx="16">
                        <c:v>339.43291116214499</c:v>
                      </c:pt>
                      <c:pt idx="17">
                        <c:v>348.812387730507</c:v>
                      </c:pt>
                      <c:pt idx="18">
                        <c:v>357.56656586097898</c:v>
                      </c:pt>
                      <c:pt idx="19">
                        <c:v>367.07110211691901</c:v>
                      </c:pt>
                      <c:pt idx="20">
                        <c:v>375.32504149707802</c:v>
                      </c:pt>
                      <c:pt idx="21">
                        <c:v>383.32886150207997</c:v>
                      </c:pt>
                      <c:pt idx="22">
                        <c:v>393.95893494622402</c:v>
                      </c:pt>
                      <c:pt idx="23">
                        <c:v>403.96370995247702</c:v>
                      </c:pt>
                      <c:pt idx="24">
                        <c:v>411.34223151958798</c:v>
                      </c:pt>
                      <c:pt idx="25">
                        <c:v>421.59712590099798</c:v>
                      </c:pt>
                      <c:pt idx="26">
                        <c:v>431.91425045998636</c:v>
                      </c:pt>
                      <c:pt idx="27">
                        <c:v>442.48385078938759</c:v>
                      </c:pt>
                      <c:pt idx="28">
                        <c:v>453.31210535630078</c:v>
                      </c:pt>
                      <c:pt idx="29">
                        <c:v>464.40534382433646</c:v>
                      </c:pt>
                      <c:pt idx="30">
                        <c:v>475.77005075362575</c:v>
                      </c:pt>
                      <c:pt idx="31">
                        <c:v>487.41286939137439</c:v>
                      </c:pt>
                      <c:pt idx="32">
                        <c:v>499.34060555517743</c:v>
                      </c:pt>
                      <c:pt idx="33">
                        <c:v>511.5602316113646</c:v>
                      </c:pt>
                      <c:pt idx="34">
                        <c:v>524.07889055070177</c:v>
                      </c:pt>
                      <c:pt idx="35">
                        <c:v>536.90390016383117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4A-4A9B-88A1-8A506A828CFC}"/>
                  </c:ext>
                </c:extLst>
              </c15:ser>
            </c15:filteredScatterSeries>
          </c:ext>
        </c:extLst>
      </c:scatterChart>
      <c:valAx>
        <c:axId val="1491322992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25392"/>
        <c:crosses val="autoZero"/>
        <c:crossBetween val="midCat"/>
      </c:valAx>
      <c:valAx>
        <c:axId val="14913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Annual demand (TWh/y)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2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16</xdr:row>
      <xdr:rowOff>138113</xdr:rowOff>
    </xdr:from>
    <xdr:to>
      <xdr:col>24</xdr:col>
      <xdr:colOff>184150</xdr:colOff>
      <xdr:row>38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EAE33-21EC-E4F6-01A7-81BE22A35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"/>
  <sheetViews>
    <sheetView tabSelected="1" workbookViewId="0">
      <selection activeCell="Q42" sqref="Q42"/>
    </sheetView>
  </sheetViews>
  <sheetFormatPr defaultColWidth="8.81640625" defaultRowHeight="14.5" x14ac:dyDescent="0.35"/>
  <cols>
    <col min="1" max="1" width="20" bestFit="1" customWidth="1"/>
    <col min="2" max="2" width="7.453125" bestFit="1" customWidth="1"/>
    <col min="3" max="8" width="6.453125" hidden="1" customWidth="1"/>
    <col min="9" max="44" width="5" bestFit="1" customWidth="1"/>
    <col min="45" max="45" width="24.453125" bestFit="1" customWidth="1"/>
  </cols>
  <sheetData>
    <row r="1" spans="1:46" x14ac:dyDescent="0.35">
      <c r="A1" s="4" t="s">
        <v>0</v>
      </c>
      <c r="B1" s="5" t="s">
        <v>3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  <c r="H1" s="5">
        <v>2024</v>
      </c>
      <c r="I1" s="5">
        <v>2025</v>
      </c>
      <c r="J1" s="5">
        <v>2026</v>
      </c>
      <c r="K1" s="5">
        <v>2027</v>
      </c>
      <c r="L1" s="5">
        <v>2028</v>
      </c>
      <c r="M1" s="5">
        <v>2029</v>
      </c>
      <c r="N1" s="5">
        <v>2030</v>
      </c>
      <c r="O1" s="5">
        <v>2031</v>
      </c>
      <c r="P1" s="5">
        <v>2032</v>
      </c>
      <c r="Q1" s="5">
        <v>2033</v>
      </c>
      <c r="R1" s="5">
        <v>2034</v>
      </c>
      <c r="S1" s="5">
        <v>2035</v>
      </c>
      <c r="T1" s="5">
        <v>2036</v>
      </c>
      <c r="U1" s="5">
        <v>2037</v>
      </c>
      <c r="V1" s="5">
        <v>2038</v>
      </c>
      <c r="W1" s="5">
        <v>2039</v>
      </c>
      <c r="X1" s="5">
        <v>2040</v>
      </c>
      <c r="Y1" s="5">
        <v>2041</v>
      </c>
      <c r="Z1" s="5">
        <v>2042</v>
      </c>
      <c r="AA1" s="5">
        <v>2043</v>
      </c>
      <c r="AB1" s="5">
        <v>2044</v>
      </c>
      <c r="AC1" s="5">
        <v>2045</v>
      </c>
      <c r="AD1" s="5">
        <v>2046</v>
      </c>
      <c r="AE1" s="5">
        <v>2047</v>
      </c>
      <c r="AF1" s="5">
        <v>2048</v>
      </c>
      <c r="AG1" s="5">
        <v>2049</v>
      </c>
      <c r="AH1" s="5">
        <v>2050</v>
      </c>
      <c r="AI1" s="16">
        <f>AH1+1</f>
        <v>2051</v>
      </c>
      <c r="AJ1" s="16">
        <f t="shared" ref="AJ1:AR1" si="0">AI1+1</f>
        <v>2052</v>
      </c>
      <c r="AK1" s="16">
        <f t="shared" si="0"/>
        <v>2053</v>
      </c>
      <c r="AL1" s="16">
        <f t="shared" si="0"/>
        <v>2054</v>
      </c>
      <c r="AM1" s="16">
        <f t="shared" si="0"/>
        <v>2055</v>
      </c>
      <c r="AN1" s="16">
        <f t="shared" si="0"/>
        <v>2056</v>
      </c>
      <c r="AO1" s="16">
        <f t="shared" si="0"/>
        <v>2057</v>
      </c>
      <c r="AP1" s="16">
        <f t="shared" si="0"/>
        <v>2058</v>
      </c>
      <c r="AQ1" s="16">
        <f t="shared" si="0"/>
        <v>2059</v>
      </c>
      <c r="AR1" s="16">
        <f t="shared" si="0"/>
        <v>2060</v>
      </c>
      <c r="AS1" s="5" t="s">
        <v>4</v>
      </c>
    </row>
    <row r="2" spans="1:46" x14ac:dyDescent="0.35">
      <c r="A2" s="7" t="s">
        <v>14</v>
      </c>
      <c r="B2" s="1" t="s">
        <v>1</v>
      </c>
      <c r="C2" s="1">
        <v>243</v>
      </c>
      <c r="D2" s="1">
        <v>243</v>
      </c>
      <c r="E2" s="1">
        <v>243</v>
      </c>
      <c r="F2" s="1">
        <v>243</v>
      </c>
      <c r="G2" s="1">
        <v>243</v>
      </c>
      <c r="H2" s="1">
        <v>245</v>
      </c>
      <c r="I2" s="1">
        <v>247</v>
      </c>
      <c r="J2" s="1">
        <v>249</v>
      </c>
      <c r="K2" s="1">
        <v>251</v>
      </c>
      <c r="L2" s="1">
        <v>253.5</v>
      </c>
      <c r="M2" s="1">
        <v>256</v>
      </c>
      <c r="N2" s="1">
        <v>260</v>
      </c>
      <c r="O2" s="1">
        <v>264</v>
      </c>
      <c r="P2" s="1">
        <v>269</v>
      </c>
      <c r="Q2" s="1">
        <v>274</v>
      </c>
      <c r="R2" s="1">
        <v>281.5</v>
      </c>
      <c r="S2" s="1">
        <v>289</v>
      </c>
      <c r="T2" s="1">
        <v>297</v>
      </c>
      <c r="U2" s="1">
        <v>305</v>
      </c>
      <c r="V2" s="1">
        <v>315</v>
      </c>
      <c r="W2" s="1">
        <v>325</v>
      </c>
      <c r="X2" s="1">
        <v>334</v>
      </c>
      <c r="Y2" s="1">
        <v>343</v>
      </c>
      <c r="Z2" s="1">
        <v>352</v>
      </c>
      <c r="AA2" s="1">
        <v>361</v>
      </c>
      <c r="AB2" s="1">
        <v>369.5</v>
      </c>
      <c r="AC2" s="1">
        <v>378</v>
      </c>
      <c r="AD2" s="1">
        <v>387</v>
      </c>
      <c r="AE2" s="1">
        <v>396</v>
      </c>
      <c r="AF2" s="1">
        <v>404.5</v>
      </c>
      <c r="AG2" s="1">
        <v>413</v>
      </c>
      <c r="AH2" s="1">
        <v>422</v>
      </c>
      <c r="AI2" s="1">
        <v>431.98538045924306</v>
      </c>
      <c r="AJ2" s="1">
        <v>442.20703538037196</v>
      </c>
      <c r="AK2" s="1">
        <v>452.67055549891927</v>
      </c>
      <c r="AL2" s="1">
        <v>463.38166383861977</v>
      </c>
      <c r="AM2" s="1">
        <v>474.34621884161902</v>
      </c>
      <c r="AN2" s="1">
        <v>485.57021757274919</v>
      </c>
      <c r="AO2" s="1">
        <v>497.05979899962438</v>
      </c>
      <c r="AP2" s="1">
        <v>508.82124735034978</v>
      </c>
      <c r="AQ2" s="1">
        <v>520.8609955506812</v>
      </c>
      <c r="AR2" s="1">
        <v>533.1856287425145</v>
      </c>
      <c r="AS2" s="1" t="s">
        <v>2</v>
      </c>
      <c r="AT2" s="8"/>
    </row>
    <row r="3" spans="1:46" x14ac:dyDescent="0.35">
      <c r="A3" s="6" t="s">
        <v>6</v>
      </c>
      <c r="B3" s="3" t="s">
        <v>1</v>
      </c>
      <c r="C3" s="2">
        <v>243</v>
      </c>
      <c r="D3" s="2">
        <v>243</v>
      </c>
      <c r="E3" s="2">
        <v>243</v>
      </c>
      <c r="F3" s="2">
        <v>243</v>
      </c>
      <c r="G3" s="2">
        <v>243</v>
      </c>
      <c r="H3" s="2">
        <v>245</v>
      </c>
      <c r="I3" s="3">
        <v>247</v>
      </c>
      <c r="J3" s="3">
        <v>249.65</v>
      </c>
      <c r="K3" s="3">
        <v>252.3</v>
      </c>
      <c r="L3" s="3">
        <v>254.95000000000002</v>
      </c>
      <c r="M3" s="3">
        <v>257.60000000000002</v>
      </c>
      <c r="N3" s="3">
        <v>260.25</v>
      </c>
      <c r="O3" s="3">
        <v>262.89999999999998</v>
      </c>
      <c r="P3" s="3">
        <v>265.54999999999995</v>
      </c>
      <c r="Q3" s="3">
        <v>268.19999999999993</v>
      </c>
      <c r="R3" s="3">
        <v>270.84999999999991</v>
      </c>
      <c r="S3" s="3">
        <v>273.49999999999989</v>
      </c>
      <c r="T3" s="3">
        <v>276.14999999999986</v>
      </c>
      <c r="U3" s="3">
        <v>278.79999999999984</v>
      </c>
      <c r="V3" s="3">
        <v>281.44999999999982</v>
      </c>
      <c r="W3" s="3">
        <v>284.0999999999998</v>
      </c>
      <c r="X3" s="3">
        <v>286.74999999999977</v>
      </c>
      <c r="Y3" s="3">
        <v>289.39999999999975</v>
      </c>
      <c r="Z3" s="3">
        <v>292.04999999999973</v>
      </c>
      <c r="AA3" s="3">
        <v>294.6999999999997</v>
      </c>
      <c r="AB3" s="3">
        <v>297.34999999999968</v>
      </c>
      <c r="AC3" s="3">
        <v>300</v>
      </c>
      <c r="AD3" s="3">
        <v>302.64999999999998</v>
      </c>
      <c r="AE3" s="3">
        <v>305.29999999999995</v>
      </c>
      <c r="AF3" s="3">
        <v>307.94999999999993</v>
      </c>
      <c r="AG3" s="3">
        <v>310.59999999999991</v>
      </c>
      <c r="AH3" s="3">
        <v>313.24999999999989</v>
      </c>
      <c r="AI3" s="3">
        <v>316.03111614511988</v>
      </c>
      <c r="AJ3" s="3">
        <v>318.83692377312138</v>
      </c>
      <c r="AK3" s="3">
        <v>321.66764210150387</v>
      </c>
      <c r="AL3" s="3">
        <v>324.52349229403751</v>
      </c>
      <c r="AM3" s="3">
        <v>327.40469747804281</v>
      </c>
      <c r="AN3" s="3">
        <v>330.31148276182353</v>
      </c>
      <c r="AO3" s="3">
        <v>333.24407525225428</v>
      </c>
      <c r="AP3" s="3">
        <v>336.2027040725244</v>
      </c>
      <c r="AQ3" s="3">
        <v>339.18760038003944</v>
      </c>
      <c r="AR3" s="3">
        <v>342.19899738448134</v>
      </c>
      <c r="AS3" s="3" t="s">
        <v>5</v>
      </c>
      <c r="AT3" s="9"/>
    </row>
    <row r="4" spans="1:46" x14ac:dyDescent="0.35">
      <c r="A4" s="15" t="s">
        <v>7</v>
      </c>
      <c r="B4" s="1" t="s">
        <v>8</v>
      </c>
      <c r="C4" s="10"/>
      <c r="D4" s="10"/>
      <c r="E4" s="10"/>
      <c r="F4" s="10"/>
      <c r="G4" s="10"/>
      <c r="H4" s="10"/>
      <c r="I4" s="1">
        <v>239.26010141203699</v>
      </c>
      <c r="J4" s="1">
        <v>241.17647058823499</v>
      </c>
      <c r="K4" s="1">
        <v>246.26344391641399</v>
      </c>
      <c r="L4" s="1">
        <v>250.678733031674</v>
      </c>
      <c r="M4" s="1">
        <v>255.746606334841</v>
      </c>
      <c r="N4" s="1">
        <v>260.814479638009</v>
      </c>
      <c r="O4" s="1">
        <v>269.04977375565602</v>
      </c>
      <c r="P4" s="1">
        <v>277.28506787330298</v>
      </c>
      <c r="Q4" s="1">
        <v>284.90688737806602</v>
      </c>
      <c r="R4" s="1">
        <v>293.28588644580299</v>
      </c>
      <c r="S4" s="1">
        <v>302.04006457627497</v>
      </c>
      <c r="T4" s="1">
        <v>310.41906364401098</v>
      </c>
      <c r="U4" s="1">
        <v>318.92312239932699</v>
      </c>
      <c r="V4" s="1">
        <v>328.92789740557998</v>
      </c>
      <c r="W4" s="1">
        <v>339.93314991245802</v>
      </c>
      <c r="X4" s="1">
        <v>350.81334273175798</v>
      </c>
      <c r="Y4" s="1">
        <v>360.81811773801098</v>
      </c>
      <c r="Z4" s="1">
        <v>372.823847745514</v>
      </c>
      <c r="AA4" s="1">
        <v>383.829100252393</v>
      </c>
      <c r="AB4" s="1">
        <v>396.83530776052203</v>
      </c>
      <c r="AC4" s="1">
        <v>406.71502307919599</v>
      </c>
      <c r="AD4" s="1">
        <v>417.59521589849697</v>
      </c>
      <c r="AE4" s="1">
        <v>430.10118465631302</v>
      </c>
      <c r="AF4" s="1">
        <v>442.231974351394</v>
      </c>
      <c r="AG4" s="1">
        <v>451.61145091975698</v>
      </c>
      <c r="AH4" s="1">
        <v>462.89592760181</v>
      </c>
      <c r="AI4" s="1">
        <v>475.90918393271784</v>
      </c>
      <c r="AJ4" s="1">
        <v>489.28827809073999</v>
      </c>
      <c r="AK4" s="1">
        <v>503.04349476652919</v>
      </c>
      <c r="AL4" s="1">
        <v>517.18540778120519</v>
      </c>
      <c r="AM4" s="1">
        <v>531.7248882145941</v>
      </c>
      <c r="AN4" s="1">
        <v>546.67311276197461</v>
      </c>
      <c r="AO4" s="1">
        <v>562.0415723257546</v>
      </c>
      <c r="AP4" s="1">
        <v>577.84208084868362</v>
      </c>
      <c r="AQ4" s="1">
        <v>594.08678439539005</v>
      </c>
      <c r="AR4" s="1">
        <v>610.78817048922565</v>
      </c>
      <c r="AS4" s="1" t="s">
        <v>9</v>
      </c>
      <c r="AT4" s="8"/>
    </row>
    <row r="5" spans="1:46" x14ac:dyDescent="0.35">
      <c r="A5" s="14" t="s">
        <v>10</v>
      </c>
      <c r="B5" s="3" t="s">
        <v>8</v>
      </c>
      <c r="C5" s="10"/>
      <c r="D5" s="10"/>
      <c r="E5" s="10"/>
      <c r="F5" s="10"/>
      <c r="G5" s="10"/>
      <c r="H5" s="10"/>
      <c r="I5" s="3">
        <v>240.13551922508401</v>
      </c>
      <c r="J5" s="3">
        <v>242.136474226335</v>
      </c>
      <c r="K5" s="3">
        <v>246.26344391641399</v>
      </c>
      <c r="L5" s="3">
        <v>250.265353918915</v>
      </c>
      <c r="M5" s="3">
        <v>254.64244298415099</v>
      </c>
      <c r="N5" s="3">
        <v>260.770367675481</v>
      </c>
      <c r="O5" s="3">
        <v>268.89924736806199</v>
      </c>
      <c r="P5" s="3">
        <v>277.40330612337698</v>
      </c>
      <c r="Q5" s="3">
        <v>283.28111143954999</v>
      </c>
      <c r="R5" s="3">
        <v>290.53457331908402</v>
      </c>
      <c r="S5" s="3">
        <v>298.66345301166399</v>
      </c>
      <c r="T5" s="3">
        <v>305.541735828463</v>
      </c>
      <c r="U5" s="3">
        <v>313.04531708315301</v>
      </c>
      <c r="V5" s="3">
        <v>321.67443552604601</v>
      </c>
      <c r="W5" s="3">
        <v>330.80379271925199</v>
      </c>
      <c r="X5" s="3">
        <v>339.93314991245802</v>
      </c>
      <c r="Y5" s="3">
        <v>347.93696991745998</v>
      </c>
      <c r="Z5" s="3">
        <v>357.56656586097898</v>
      </c>
      <c r="AA5" s="3">
        <v>366.19568430387199</v>
      </c>
      <c r="AB5" s="3">
        <v>376.325518997703</v>
      </c>
      <c r="AC5" s="3">
        <v>384.32933900270501</v>
      </c>
      <c r="AD5" s="3">
        <v>391.95797994497298</v>
      </c>
      <c r="AE5" s="3">
        <v>403.21335182700801</v>
      </c>
      <c r="AF5" s="3">
        <v>413.09306714568299</v>
      </c>
      <c r="AG5" s="3">
        <v>419.97134996248201</v>
      </c>
      <c r="AH5" s="3">
        <v>430.60142340662497</v>
      </c>
      <c r="AI5" s="3">
        <v>440.90361063967714</v>
      </c>
      <c r="AJ5" s="3">
        <v>451.45227885494529</v>
      </c>
      <c r="AK5" s="3">
        <v>462.25332513750658</v>
      </c>
      <c r="AL5" s="3">
        <v>473.31278766085842</v>
      </c>
      <c r="AM5" s="3">
        <v>484.63684906247477</v>
      </c>
      <c r="AN5" s="3">
        <v>496.23183990012291</v>
      </c>
      <c r="AO5" s="3">
        <v>508.10424219087292</v>
      </c>
      <c r="AP5" s="3">
        <v>520.26069303477857</v>
      </c>
      <c r="AQ5" s="3">
        <v>532.70798832525509</v>
      </c>
      <c r="AR5" s="3">
        <v>545.45308654822793</v>
      </c>
      <c r="AS5" s="3" t="s">
        <v>9</v>
      </c>
      <c r="AT5" s="9"/>
    </row>
    <row r="6" spans="1:46" x14ac:dyDescent="0.35">
      <c r="A6" s="12" t="s">
        <v>11</v>
      </c>
      <c r="B6" s="1" t="s">
        <v>8</v>
      </c>
      <c r="C6" s="10"/>
      <c r="D6" s="10"/>
      <c r="E6" s="10"/>
      <c r="F6" s="10"/>
      <c r="G6" s="10"/>
      <c r="H6" s="10"/>
      <c r="I6" s="1">
        <v>240.13551922508401</v>
      </c>
      <c r="J6" s="1">
        <v>242.136474226335</v>
      </c>
      <c r="K6" s="1">
        <v>246.26344391641399</v>
      </c>
      <c r="L6" s="1">
        <v>250.265353918915</v>
      </c>
      <c r="M6" s="1">
        <v>254.64244298415099</v>
      </c>
      <c r="N6" s="1">
        <v>260.770367675481</v>
      </c>
      <c r="O6" s="1">
        <v>262.39614361399703</v>
      </c>
      <c r="P6" s="1">
        <v>267.89876986743599</v>
      </c>
      <c r="Q6" s="1">
        <v>274.026694558766</v>
      </c>
      <c r="R6" s="1">
        <v>281.530275813456</v>
      </c>
      <c r="S6" s="1">
        <v>289.03385706814601</v>
      </c>
      <c r="T6" s="1">
        <v>296.91261738557</v>
      </c>
      <c r="U6" s="1">
        <v>304.04101957752499</v>
      </c>
      <c r="V6" s="1">
        <v>312.54507833283998</v>
      </c>
      <c r="W6" s="1">
        <v>321.67443552604601</v>
      </c>
      <c r="X6" s="1">
        <v>331.05391209440802</v>
      </c>
      <c r="Y6" s="1">
        <v>339.43291116214499</v>
      </c>
      <c r="Z6" s="1">
        <v>348.812387730507</v>
      </c>
      <c r="AA6" s="1">
        <v>357.56656586097898</v>
      </c>
      <c r="AB6" s="1">
        <v>367.07110211691901</v>
      </c>
      <c r="AC6" s="1">
        <v>375.32504149707802</v>
      </c>
      <c r="AD6" s="1">
        <v>383.32886150207997</v>
      </c>
      <c r="AE6" s="1">
        <v>393.95893494622402</v>
      </c>
      <c r="AF6" s="1">
        <v>403.96370995247702</v>
      </c>
      <c r="AG6" s="1">
        <v>411.34223151958798</v>
      </c>
      <c r="AH6" s="1">
        <v>421.59712590099798</v>
      </c>
      <c r="AI6" s="1">
        <v>431.91425045998636</v>
      </c>
      <c r="AJ6" s="1">
        <v>442.48385078938759</v>
      </c>
      <c r="AK6" s="1">
        <v>453.31210535630078</v>
      </c>
      <c r="AL6" s="1">
        <v>464.40534382433646</v>
      </c>
      <c r="AM6" s="1">
        <v>475.77005075362575</v>
      </c>
      <c r="AN6" s="1">
        <v>487.41286939137439</v>
      </c>
      <c r="AO6" s="1">
        <v>499.34060555517743</v>
      </c>
      <c r="AP6" s="1">
        <v>511.5602316113646</v>
      </c>
      <c r="AQ6" s="1">
        <v>524.07889055070177</v>
      </c>
      <c r="AR6" s="1">
        <v>536.90390016383117</v>
      </c>
      <c r="AS6" s="1" t="s">
        <v>9</v>
      </c>
      <c r="AT6" s="8"/>
    </row>
    <row r="7" spans="1:46" x14ac:dyDescent="0.35">
      <c r="A7" s="11" t="s">
        <v>12</v>
      </c>
      <c r="B7" s="3" t="s">
        <v>8</v>
      </c>
      <c r="C7" s="10"/>
      <c r="D7" s="10"/>
      <c r="E7" s="10"/>
      <c r="F7" s="10"/>
      <c r="G7" s="10"/>
      <c r="H7" s="10"/>
      <c r="I7" s="3">
        <v>239.51022078719299</v>
      </c>
      <c r="J7" s="3">
        <v>241.80995475113099</v>
      </c>
      <c r="K7" s="3">
        <v>245.51308579094501</v>
      </c>
      <c r="L7" s="3">
        <v>250.265353918915</v>
      </c>
      <c r="M7" s="3">
        <v>254.267263921417</v>
      </c>
      <c r="N7" s="3">
        <v>256.380090497737</v>
      </c>
      <c r="O7" s="3">
        <v>263.27156142704399</v>
      </c>
      <c r="P7" s="3">
        <v>267.273471429545</v>
      </c>
      <c r="Q7" s="3">
        <v>272.901157370563</v>
      </c>
      <c r="R7" s="3">
        <v>277.918552036199</v>
      </c>
      <c r="S7" s="3">
        <v>284.253393665158</v>
      </c>
      <c r="T7" s="3">
        <v>289.40903613088</v>
      </c>
      <c r="U7" s="3">
        <v>295.91213988494502</v>
      </c>
      <c r="V7" s="3">
        <v>302.54030332658698</v>
      </c>
      <c r="W7" s="3">
        <v>310.168944268855</v>
      </c>
      <c r="X7" s="3">
        <v>317.54746583596699</v>
      </c>
      <c r="Y7" s="3">
        <v>324.55080834034402</v>
      </c>
      <c r="Z7" s="3">
        <v>332.67968803292399</v>
      </c>
      <c r="AA7" s="3">
        <v>341.30880647581802</v>
      </c>
      <c r="AB7" s="3">
        <v>349.43768616839799</v>
      </c>
      <c r="AC7" s="3">
        <v>356.56608836035298</v>
      </c>
      <c r="AD7" s="3">
        <v>364.31978899019902</v>
      </c>
      <c r="AE7" s="3">
        <v>372.32360899520199</v>
      </c>
      <c r="AF7" s="3">
        <v>381.07778712567301</v>
      </c>
      <c r="AG7" s="3">
        <v>387.080652129425</v>
      </c>
      <c r="AH7" s="3">
        <v>395.08447213442702</v>
      </c>
      <c r="AI7" s="3">
        <v>403.81095065233995</v>
      </c>
      <c r="AJ7" s="3">
        <v>412.73017637419179</v>
      </c>
      <c r="AK7" s="3">
        <v>421.84640662835966</v>
      </c>
      <c r="AL7" s="3">
        <v>431.16399277750247</v>
      </c>
      <c r="AM7" s="3">
        <v>440.68738229555532</v>
      </c>
      <c r="AN7" s="3">
        <v>450.4211208905993</v>
      </c>
      <c r="AO7" s="3">
        <v>460.3698546746208</v>
      </c>
      <c r="AP7" s="3">
        <v>470.53833238119557</v>
      </c>
      <c r="AQ7" s="3">
        <v>480.93140763215598</v>
      </c>
      <c r="AR7" s="3">
        <v>491.55404125432392</v>
      </c>
      <c r="AS7" s="3" t="s">
        <v>9</v>
      </c>
      <c r="AT7" s="9"/>
    </row>
    <row r="8" spans="1:46" x14ac:dyDescent="0.35">
      <c r="A8" s="13" t="s">
        <v>13</v>
      </c>
      <c r="B8" s="1" t="s">
        <v>8</v>
      </c>
      <c r="C8" s="10"/>
      <c r="D8" s="10"/>
      <c r="E8" s="10"/>
      <c r="F8" s="10"/>
      <c r="G8" s="10"/>
      <c r="H8" s="10"/>
      <c r="I8" s="1">
        <v>239.909502262443</v>
      </c>
      <c r="J8" s="1">
        <v>239.51022078719299</v>
      </c>
      <c r="K8" s="1">
        <v>242.51165328906899</v>
      </c>
      <c r="L8" s="1">
        <v>242.386593601491</v>
      </c>
      <c r="M8" s="1">
        <v>243.01189203938199</v>
      </c>
      <c r="N8" s="1">
        <v>243.26201141453799</v>
      </c>
      <c r="O8" s="1">
        <v>246.63862297914901</v>
      </c>
      <c r="P8" s="1">
        <v>250.14029423133701</v>
      </c>
      <c r="Q8" s="1">
        <v>253.767025171104</v>
      </c>
      <c r="R8" s="1">
        <v>258.39423361149602</v>
      </c>
      <c r="S8" s="1">
        <v>263.77180017735702</v>
      </c>
      <c r="T8" s="1">
        <v>270.02478455626499</v>
      </c>
      <c r="U8" s="1">
        <v>276.01809954751099</v>
      </c>
      <c r="V8" s="1">
        <v>281.90545487618999</v>
      </c>
      <c r="W8" s="1">
        <v>288.53361831783297</v>
      </c>
      <c r="X8" s="1">
        <v>295.41190113463199</v>
      </c>
      <c r="Y8" s="1">
        <v>302.04006457627497</v>
      </c>
      <c r="Z8" s="1">
        <v>309.66870551854203</v>
      </c>
      <c r="AA8" s="1">
        <v>317.79758521112302</v>
      </c>
      <c r="AB8" s="1">
        <v>327.427181154641</v>
      </c>
      <c r="AC8" s="1">
        <v>334.68064303417498</v>
      </c>
      <c r="AD8" s="1">
        <v>342.68446303917699</v>
      </c>
      <c r="AE8" s="1">
        <v>352.314058982696</v>
      </c>
      <c r="AF8" s="1">
        <v>362.068714613792</v>
      </c>
      <c r="AG8" s="1">
        <v>369.32217649332603</v>
      </c>
      <c r="AH8" s="1">
        <v>378.57659337411002</v>
      </c>
      <c r="AI8" s="1">
        <v>388.08453446650526</v>
      </c>
      <c r="AJ8" s="1">
        <v>397.83126724702561</v>
      </c>
      <c r="AK8" s="1">
        <v>407.82278896257907</v>
      </c>
      <c r="AL8" s="1">
        <v>418.06524748077049</v>
      </c>
      <c r="AM8" s="1">
        <v>428.56494507273641</v>
      </c>
      <c r="AN8" s="1">
        <v>439.32834229098569</v>
      </c>
      <c r="AO8" s="1">
        <v>450.36206194463188</v>
      </c>
      <c r="AP8" s="1">
        <v>461.6728931744637</v>
      </c>
      <c r="AQ8" s="1">
        <v>473.26779563036041</v>
      </c>
      <c r="AR8" s="1">
        <v>485.15390375362335</v>
      </c>
      <c r="AS8" s="1" t="s">
        <v>9</v>
      </c>
      <c r="AT8" s="8"/>
    </row>
    <row r="9" spans="1:46" x14ac:dyDescent="0.35">
      <c r="A9" s="17" t="s">
        <v>15</v>
      </c>
      <c r="B9" s="1" t="s">
        <v>8</v>
      </c>
      <c r="C9" s="10"/>
      <c r="D9" s="10"/>
      <c r="E9" s="10"/>
      <c r="F9" s="10"/>
      <c r="G9" s="10"/>
      <c r="H9" s="10"/>
      <c r="I9" s="1">
        <v>239.909502262443</v>
      </c>
      <c r="J9" s="1">
        <v>239.51022078719299</v>
      </c>
      <c r="K9" s="1">
        <v>242.51165328906899</v>
      </c>
      <c r="L9" s="1">
        <v>242.386593601491</v>
      </c>
      <c r="M9" s="1">
        <v>243.01189203938199</v>
      </c>
      <c r="N9" s="1">
        <v>243.26201141453799</v>
      </c>
      <c r="O9" s="1">
        <v>246.63862297914901</v>
      </c>
      <c r="P9" s="1">
        <v>250.14029423133701</v>
      </c>
      <c r="Q9" s="1">
        <v>253.767025171104</v>
      </c>
      <c r="R9" s="1">
        <v>258.39423361149602</v>
      </c>
      <c r="S9" s="1">
        <v>263.77180017735702</v>
      </c>
      <c r="T9">
        <f>S9*1.015</f>
        <v>267.72837718001733</v>
      </c>
      <c r="U9">
        <f t="shared" ref="U9:AG9" si="1">T9*1.015</f>
        <v>271.74430283771756</v>
      </c>
      <c r="V9">
        <f t="shared" si="1"/>
        <v>275.82046738028328</v>
      </c>
      <c r="W9">
        <f t="shared" si="1"/>
        <v>279.95777439098748</v>
      </c>
      <c r="X9">
        <f t="shared" si="1"/>
        <v>284.15714100685227</v>
      </c>
      <c r="Y9">
        <f t="shared" si="1"/>
        <v>288.41949812195503</v>
      </c>
      <c r="Z9">
        <f t="shared" si="1"/>
        <v>292.74579059378431</v>
      </c>
      <c r="AA9">
        <f t="shared" si="1"/>
        <v>297.13697745269104</v>
      </c>
      <c r="AB9">
        <f t="shared" si="1"/>
        <v>301.59403211448137</v>
      </c>
      <c r="AC9">
        <f t="shared" si="1"/>
        <v>306.11794259619853</v>
      </c>
      <c r="AD9">
        <f t="shared" si="1"/>
        <v>310.70971173514147</v>
      </c>
      <c r="AE9">
        <f t="shared" si="1"/>
        <v>315.37035741116858</v>
      </c>
      <c r="AF9">
        <f t="shared" si="1"/>
        <v>320.10091277233607</v>
      </c>
      <c r="AG9">
        <f t="shared" si="1"/>
        <v>324.90242646392107</v>
      </c>
      <c r="AH9">
        <f>AG9*1.02</f>
        <v>331.40047499319951</v>
      </c>
      <c r="AI9">
        <f t="shared" ref="AI9:AR9" si="2">AH9*1.02</f>
        <v>338.0284844930635</v>
      </c>
      <c r="AJ9">
        <f t="shared" si="2"/>
        <v>344.78905418292476</v>
      </c>
      <c r="AK9">
        <f t="shared" si="2"/>
        <v>351.68483526658326</v>
      </c>
      <c r="AL9">
        <f t="shared" si="2"/>
        <v>358.71853197191496</v>
      </c>
      <c r="AM9">
        <f t="shared" si="2"/>
        <v>365.89290261135324</v>
      </c>
      <c r="AN9">
        <f t="shared" si="2"/>
        <v>373.21076066358029</v>
      </c>
      <c r="AO9">
        <f t="shared" si="2"/>
        <v>380.67497587685187</v>
      </c>
      <c r="AP9">
        <f t="shared" si="2"/>
        <v>388.28847539438891</v>
      </c>
      <c r="AQ9">
        <f t="shared" si="2"/>
        <v>396.05424490227671</v>
      </c>
      <c r="AR9">
        <f t="shared" si="2"/>
        <v>403.97532980032224</v>
      </c>
    </row>
    <row r="10" spans="1:46" x14ac:dyDescent="0.35">
      <c r="A10" s="17" t="s">
        <v>16</v>
      </c>
      <c r="B10" s="1" t="s">
        <v>8</v>
      </c>
      <c r="C10" s="10"/>
      <c r="D10" s="10"/>
      <c r="E10" s="10"/>
      <c r="F10" s="10"/>
      <c r="G10" s="10"/>
      <c r="H10" s="10"/>
      <c r="I10" s="1">
        <v>239.909502262443</v>
      </c>
      <c r="J10" s="1">
        <v>239.51022078719299</v>
      </c>
      <c r="K10" s="1">
        <v>242.51165328906899</v>
      </c>
      <c r="L10" s="1">
        <v>242.386593601491</v>
      </c>
      <c r="M10" s="1">
        <v>243.01189203938199</v>
      </c>
      <c r="N10" s="1">
        <v>243.26201141453799</v>
      </c>
      <c r="O10" s="1">
        <f>($AR$10-$N$10)/30+N10</f>
        <v>244.4866110340534</v>
      </c>
      <c r="P10" s="1">
        <f t="shared" ref="P10:AQ10" si="3">($AR$10-$N$10)/30+O10</f>
        <v>245.7112106535688</v>
      </c>
      <c r="Q10" s="1">
        <f t="shared" si="3"/>
        <v>246.9358102730842</v>
      </c>
      <c r="R10" s="1">
        <f t="shared" si="3"/>
        <v>248.1604098925996</v>
      </c>
      <c r="S10" s="1">
        <f t="shared" si="3"/>
        <v>249.385009512115</v>
      </c>
      <c r="T10" s="1">
        <f t="shared" si="3"/>
        <v>250.60960913163041</v>
      </c>
      <c r="U10" s="1">
        <f t="shared" si="3"/>
        <v>251.83420875114581</v>
      </c>
      <c r="V10" s="1">
        <f t="shared" si="3"/>
        <v>253.05880837066121</v>
      </c>
      <c r="W10" s="1">
        <f t="shared" si="3"/>
        <v>254.28340799017661</v>
      </c>
      <c r="X10" s="1">
        <f t="shared" si="3"/>
        <v>255.50800760969202</v>
      </c>
      <c r="Y10" s="1">
        <f t="shared" si="3"/>
        <v>256.73260722920742</v>
      </c>
      <c r="Z10" s="1">
        <f t="shared" si="3"/>
        <v>257.95720684872282</v>
      </c>
      <c r="AA10" s="1">
        <f t="shared" si="3"/>
        <v>259.18180646823822</v>
      </c>
      <c r="AB10" s="1">
        <f t="shared" si="3"/>
        <v>260.40640608775362</v>
      </c>
      <c r="AC10" s="1">
        <f t="shared" si="3"/>
        <v>261.63100570726903</v>
      </c>
      <c r="AD10" s="1">
        <f t="shared" si="3"/>
        <v>262.85560532678443</v>
      </c>
      <c r="AE10" s="1">
        <f t="shared" si="3"/>
        <v>264.08020494629983</v>
      </c>
      <c r="AF10" s="1">
        <f t="shared" si="3"/>
        <v>265.30480456581523</v>
      </c>
      <c r="AG10" s="1">
        <f t="shared" si="3"/>
        <v>266.52940418533063</v>
      </c>
      <c r="AH10" s="1">
        <f t="shared" si="3"/>
        <v>267.75400380484604</v>
      </c>
      <c r="AI10" s="1">
        <f t="shared" si="3"/>
        <v>268.97860342436144</v>
      </c>
      <c r="AJ10" s="1">
        <f t="shared" si="3"/>
        <v>270.20320304387684</v>
      </c>
      <c r="AK10" s="1">
        <f t="shared" si="3"/>
        <v>271.42780266339224</v>
      </c>
      <c r="AL10" s="1">
        <f t="shared" si="3"/>
        <v>272.65240228290764</v>
      </c>
      <c r="AM10" s="1">
        <f t="shared" si="3"/>
        <v>273.87700190242305</v>
      </c>
      <c r="AN10" s="1">
        <f t="shared" si="3"/>
        <v>275.10160152193845</v>
      </c>
      <c r="AO10" s="1">
        <f t="shared" si="3"/>
        <v>276.32620114145385</v>
      </c>
      <c r="AP10" s="1">
        <f t="shared" si="3"/>
        <v>277.55080076096925</v>
      </c>
      <c r="AQ10" s="1">
        <f t="shared" si="3"/>
        <v>278.77540038048465</v>
      </c>
      <c r="AR10">
        <v>280</v>
      </c>
    </row>
  </sheetData>
  <conditionalFormatting sqref="A2:A3">
    <cfRule type="containsText" dxfId="0" priority="1" operator="containsText" text="ignore">
      <formula>NOT(ISERROR(SEARCH("ignore",A2)))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Ndivhuwo Segakweng</cp:lastModifiedBy>
  <dcterms:created xsi:type="dcterms:W3CDTF">2015-06-05T18:17:20Z</dcterms:created>
  <dcterms:modified xsi:type="dcterms:W3CDTF">2025-11-17T12:56:13Z</dcterms:modified>
</cp:coreProperties>
</file>