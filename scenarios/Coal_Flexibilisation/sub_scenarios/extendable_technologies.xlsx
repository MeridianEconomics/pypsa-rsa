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divh_alppvxj\Meridian Dropbox\ME Projects\01 PROJECTS &amp; PROPOSALS\PyPSA scenarios\Learning\NM_move_compass\sub_scenarios\"/>
    </mc:Choice>
  </mc:AlternateContent>
  <xr:revisionPtr revIDLastSave="0" documentId="13_ncr:1_{12C73AD9-789D-4549-9925-1D02AA31EF0C}" xr6:coauthVersionLast="47" xr6:coauthVersionMax="47" xr10:uidLastSave="{00000000-0000-0000-0000-000000000000}"/>
  <bookViews>
    <workbookView xWindow="19090" yWindow="-110" windowWidth="38620" windowHeight="21100" tabRatio="500" activeTab="1" xr2:uid="{00000000-000D-0000-FFFF-FFFF00000000}"/>
  </bookViews>
  <sheets>
    <sheet name="active" sheetId="1" r:id="rId1"/>
    <sheet name="parameter_mapping" sheetId="2" r:id="rId2"/>
    <sheet name="parameters" sheetId="3" r:id="rId3"/>
    <sheet name="max_total_installed" sheetId="4" r:id="rId4"/>
    <sheet name="min_total_installed" sheetId="5" r:id="rId5"/>
    <sheet name="max_annual_installed" sheetId="8" r:id="rId6"/>
    <sheet name="min_annual_installed" sheetId="7" r:id="rId7"/>
  </sheets>
  <definedNames>
    <definedName name="_xlnm._FilterDatabase" localSheetId="5" hidden="1">max_annual_installed!$A$1:$F$71</definedName>
    <definedName name="_xlnm._FilterDatabase" localSheetId="3" hidden="1">max_total_installed!$A$1:$F$64</definedName>
    <definedName name="_xlnm._FilterDatabase" localSheetId="1" hidden="1">parameter_mapping!$A$1:$V$1</definedName>
    <definedName name="_xlnm._FilterDatabase" localSheetId="2" hidden="1">parameters!$A$1:$C$515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9" i="2" l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409" i="3"/>
  <c r="E403" i="3"/>
  <c r="E410" i="3" s="1"/>
  <c r="A400" i="3"/>
  <c r="A401" i="3" s="1"/>
  <c r="A402" i="3" s="1"/>
  <c r="A403" i="3" s="1"/>
  <c r="A404" i="3" s="1"/>
  <c r="A405" i="3" s="1"/>
  <c r="A406" i="3" s="1"/>
  <c r="A407" i="3" s="1"/>
  <c r="A408" i="3" s="1"/>
  <c r="A409" i="3" s="1"/>
  <c r="A381" i="3"/>
  <c r="A382" i="3" s="1"/>
  <c r="A383" i="3" s="1"/>
  <c r="A384" i="3" s="1"/>
  <c r="A385" i="3" s="1"/>
  <c r="A386" i="3" s="1"/>
  <c r="A387" i="3" s="1"/>
  <c r="A388" i="3" s="1"/>
  <c r="A389" i="3" s="1"/>
  <c r="A390" i="3" s="1"/>
  <c r="A362" i="3"/>
  <c r="A363" i="3" s="1"/>
  <c r="A364" i="3" s="1"/>
  <c r="A365" i="3" s="1"/>
  <c r="A366" i="3" s="1"/>
  <c r="A367" i="3" s="1"/>
  <c r="A368" i="3" s="1"/>
  <c r="A369" i="3" s="1"/>
  <c r="A370" i="3" s="1"/>
  <c r="A371" i="3" s="1"/>
  <c r="M16" i="8"/>
  <c r="X37" i="4"/>
  <c r="Y37" i="4" s="1"/>
  <c r="Z37" i="4" s="1"/>
  <c r="AA37" i="4" s="1"/>
  <c r="AB37" i="4" s="1"/>
  <c r="AC37" i="4" s="1"/>
  <c r="AD37" i="4" s="1"/>
  <c r="AE37" i="4" s="1"/>
  <c r="AF37" i="4" s="1"/>
  <c r="AG37" i="4" s="1"/>
  <c r="AH37" i="4" s="1"/>
  <c r="AI37" i="4" s="1"/>
  <c r="AJ37" i="4" s="1"/>
  <c r="AK37" i="4" s="1"/>
  <c r="AL37" i="4" s="1"/>
  <c r="AM37" i="4" s="1"/>
  <c r="AN37" i="4" s="1"/>
  <c r="AO37" i="4" s="1"/>
  <c r="AP37" i="4" s="1"/>
  <c r="AQ37" i="4" s="1"/>
  <c r="AR37" i="4" s="1"/>
  <c r="AS37" i="4" s="1"/>
  <c r="AT37" i="4" s="1"/>
  <c r="AU37" i="4" s="1"/>
  <c r="W37" i="4"/>
  <c r="X58" i="4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AI58" i="4" s="1"/>
  <c r="AJ58" i="4" s="1"/>
  <c r="AK58" i="4" s="1"/>
  <c r="AL58" i="4" s="1"/>
  <c r="AM58" i="4" s="1"/>
  <c r="AN58" i="4" s="1"/>
  <c r="AO58" i="4" s="1"/>
  <c r="AP58" i="4" s="1"/>
  <c r="AQ58" i="4" s="1"/>
  <c r="AR58" i="4" s="1"/>
  <c r="AS58" i="4" s="1"/>
  <c r="AT58" i="4" s="1"/>
  <c r="AU58" i="4" s="1"/>
  <c r="W58" i="4"/>
  <c r="X121" i="4"/>
  <c r="Y121" i="4" s="1"/>
  <c r="Z121" i="4" s="1"/>
  <c r="AA121" i="4" s="1"/>
  <c r="AB121" i="4" s="1"/>
  <c r="AC121" i="4" s="1"/>
  <c r="AD121" i="4" s="1"/>
  <c r="AE121" i="4" s="1"/>
  <c r="AF121" i="4" s="1"/>
  <c r="AG121" i="4" s="1"/>
  <c r="AH121" i="4" s="1"/>
  <c r="AI121" i="4" s="1"/>
  <c r="AJ121" i="4" s="1"/>
  <c r="AK121" i="4" s="1"/>
  <c r="AL121" i="4" s="1"/>
  <c r="AM121" i="4" s="1"/>
  <c r="AN121" i="4" s="1"/>
  <c r="AO121" i="4" s="1"/>
  <c r="AP121" i="4" s="1"/>
  <c r="AQ121" i="4" s="1"/>
  <c r="AR121" i="4" s="1"/>
  <c r="AS121" i="4" s="1"/>
  <c r="AT121" i="4" s="1"/>
  <c r="AU121" i="4" s="1"/>
  <c r="W121" i="4"/>
  <c r="X79" i="4"/>
  <c r="Y79" i="4" s="1"/>
  <c r="Z79" i="4" s="1"/>
  <c r="AA79" i="4" s="1"/>
  <c r="AB79" i="4" s="1"/>
  <c r="AC79" i="4" s="1"/>
  <c r="AD79" i="4" s="1"/>
  <c r="AE79" i="4" s="1"/>
  <c r="AF79" i="4" s="1"/>
  <c r="AG79" i="4" s="1"/>
  <c r="AH79" i="4" s="1"/>
  <c r="AI79" i="4" s="1"/>
  <c r="AJ79" i="4" s="1"/>
  <c r="AK79" i="4" s="1"/>
  <c r="AL79" i="4" s="1"/>
  <c r="AM79" i="4" s="1"/>
  <c r="AN79" i="4" s="1"/>
  <c r="AO79" i="4" s="1"/>
  <c r="AP79" i="4" s="1"/>
  <c r="AQ79" i="4" s="1"/>
  <c r="AR79" i="4" s="1"/>
  <c r="AS79" i="4" s="1"/>
  <c r="AT79" i="4" s="1"/>
  <c r="AU79" i="4" s="1"/>
  <c r="W79" i="4"/>
  <c r="X100" i="4"/>
  <c r="Y100" i="4" s="1"/>
  <c r="Z100" i="4" s="1"/>
  <c r="AA100" i="4" s="1"/>
  <c r="AB100" i="4" s="1"/>
  <c r="AC100" i="4" s="1"/>
  <c r="AD100" i="4" s="1"/>
  <c r="AE100" i="4" s="1"/>
  <c r="AF100" i="4" s="1"/>
  <c r="AG100" i="4" s="1"/>
  <c r="AH100" i="4" s="1"/>
  <c r="AI100" i="4" s="1"/>
  <c r="AJ100" i="4" s="1"/>
  <c r="AK100" i="4" s="1"/>
  <c r="AL100" i="4" s="1"/>
  <c r="AM100" i="4" s="1"/>
  <c r="AN100" i="4" s="1"/>
  <c r="AO100" i="4" s="1"/>
  <c r="AP100" i="4" s="1"/>
  <c r="AQ100" i="4" s="1"/>
  <c r="AR100" i="4" s="1"/>
  <c r="AS100" i="4" s="1"/>
  <c r="AT100" i="4" s="1"/>
  <c r="AU100" i="4" s="1"/>
  <c r="W100" i="4"/>
  <c r="X81" i="4"/>
  <c r="Y81" i="4" s="1"/>
  <c r="Z81" i="4" s="1"/>
  <c r="AA81" i="4" s="1"/>
  <c r="AB81" i="4" s="1"/>
  <c r="AC81" i="4" s="1"/>
  <c r="AD81" i="4" s="1"/>
  <c r="AE81" i="4" s="1"/>
  <c r="AF81" i="4" s="1"/>
  <c r="AG81" i="4" s="1"/>
  <c r="AH81" i="4" s="1"/>
  <c r="AI81" i="4" s="1"/>
  <c r="AJ81" i="4" s="1"/>
  <c r="AK81" i="4" s="1"/>
  <c r="AL81" i="4" s="1"/>
  <c r="AM81" i="4" s="1"/>
  <c r="AN81" i="4" s="1"/>
  <c r="AO81" i="4" s="1"/>
  <c r="AP81" i="4" s="1"/>
  <c r="AQ81" i="4" s="1"/>
  <c r="AR81" i="4" s="1"/>
  <c r="AS81" i="4" s="1"/>
  <c r="AT81" i="4" s="1"/>
  <c r="AU81" i="4" s="1"/>
  <c r="W81" i="4"/>
  <c r="W80" i="4"/>
  <c r="X80" i="4" s="1"/>
  <c r="Y80" i="4" s="1"/>
  <c r="Z80" i="4" s="1"/>
  <c r="AA80" i="4" s="1"/>
  <c r="AB80" i="4" s="1"/>
  <c r="AC80" i="4" s="1"/>
  <c r="AD80" i="4" s="1"/>
  <c r="AE80" i="4" s="1"/>
  <c r="AF80" i="4" s="1"/>
  <c r="AG80" i="4" s="1"/>
  <c r="AH80" i="4" s="1"/>
  <c r="AI80" i="4" s="1"/>
  <c r="AJ80" i="4" s="1"/>
  <c r="AK80" i="4" s="1"/>
  <c r="AL80" i="4" s="1"/>
  <c r="AM80" i="4" s="1"/>
  <c r="AN80" i="4" s="1"/>
  <c r="AO80" i="4" s="1"/>
  <c r="AP80" i="4" s="1"/>
  <c r="AQ80" i="4" s="1"/>
  <c r="AR80" i="4" s="1"/>
  <c r="AS80" i="4" s="1"/>
  <c r="AT80" i="4" s="1"/>
  <c r="AU80" i="4" s="1"/>
  <c r="X102" i="4"/>
  <c r="Y102" i="4" s="1"/>
  <c r="Z102" i="4" s="1"/>
  <c r="AA102" i="4" s="1"/>
  <c r="AB102" i="4" s="1"/>
  <c r="AC102" i="4" s="1"/>
  <c r="AD102" i="4" s="1"/>
  <c r="AE102" i="4" s="1"/>
  <c r="AF102" i="4" s="1"/>
  <c r="AG102" i="4" s="1"/>
  <c r="AH102" i="4" s="1"/>
  <c r="AI102" i="4" s="1"/>
  <c r="AJ102" i="4" s="1"/>
  <c r="AK102" i="4" s="1"/>
  <c r="AL102" i="4" s="1"/>
  <c r="AM102" i="4" s="1"/>
  <c r="AN102" i="4" s="1"/>
  <c r="AO102" i="4" s="1"/>
  <c r="AP102" i="4" s="1"/>
  <c r="AQ102" i="4" s="1"/>
  <c r="AR102" i="4" s="1"/>
  <c r="AS102" i="4" s="1"/>
  <c r="AT102" i="4" s="1"/>
  <c r="AU102" i="4" s="1"/>
  <c r="W102" i="4"/>
  <c r="Y101" i="4"/>
  <c r="Z101" i="4" s="1"/>
  <c r="AA101" i="4" s="1"/>
  <c r="AB101" i="4" s="1"/>
  <c r="AC101" i="4" s="1"/>
  <c r="AD101" i="4" s="1"/>
  <c r="AE101" i="4" s="1"/>
  <c r="AF101" i="4" s="1"/>
  <c r="AG101" i="4" s="1"/>
  <c r="AH101" i="4" s="1"/>
  <c r="AI101" i="4" s="1"/>
  <c r="AJ101" i="4" s="1"/>
  <c r="AK101" i="4" s="1"/>
  <c r="AL101" i="4" s="1"/>
  <c r="AM101" i="4" s="1"/>
  <c r="AN101" i="4" s="1"/>
  <c r="AO101" i="4" s="1"/>
  <c r="AP101" i="4" s="1"/>
  <c r="AQ101" i="4" s="1"/>
  <c r="AR101" i="4" s="1"/>
  <c r="AS101" i="4" s="1"/>
  <c r="AT101" i="4" s="1"/>
  <c r="AU101" i="4" s="1"/>
  <c r="X101" i="4"/>
  <c r="W101" i="4"/>
  <c r="W123" i="4"/>
  <c r="X123" i="4"/>
  <c r="Y123" i="4" s="1"/>
  <c r="Z123" i="4" s="1"/>
  <c r="AA123" i="4" s="1"/>
  <c r="AB123" i="4" s="1"/>
  <c r="AC123" i="4" s="1"/>
  <c r="AD123" i="4" s="1"/>
  <c r="AE123" i="4" s="1"/>
  <c r="AF123" i="4" s="1"/>
  <c r="AG123" i="4" s="1"/>
  <c r="AH123" i="4" s="1"/>
  <c r="AI123" i="4" s="1"/>
  <c r="AJ123" i="4" s="1"/>
  <c r="AK123" i="4" s="1"/>
  <c r="AL123" i="4" s="1"/>
  <c r="AM123" i="4" s="1"/>
  <c r="AN123" i="4" s="1"/>
  <c r="AO123" i="4" s="1"/>
  <c r="AP123" i="4" s="1"/>
  <c r="AQ123" i="4" s="1"/>
  <c r="AR123" i="4" s="1"/>
  <c r="AS123" i="4" s="1"/>
  <c r="AT123" i="4" s="1"/>
  <c r="AU123" i="4" s="1"/>
  <c r="X122" i="4"/>
  <c r="Y122" i="4"/>
  <c r="Z122" i="4"/>
  <c r="AA122" i="4"/>
  <c r="AB122" i="4"/>
  <c r="AC122" i="4"/>
  <c r="AD122" i="4"/>
  <c r="AE122" i="4"/>
  <c r="AF122" i="4" s="1"/>
  <c r="AG122" i="4" s="1"/>
  <c r="AH122" i="4" s="1"/>
  <c r="AI122" i="4" s="1"/>
  <c r="AJ122" i="4" s="1"/>
  <c r="AK122" i="4" s="1"/>
  <c r="AL122" i="4" s="1"/>
  <c r="AM122" i="4" s="1"/>
  <c r="AN122" i="4" s="1"/>
  <c r="AO122" i="4" s="1"/>
  <c r="AP122" i="4" s="1"/>
  <c r="AQ122" i="4" s="1"/>
  <c r="AR122" i="4" s="1"/>
  <c r="AS122" i="4" s="1"/>
  <c r="AT122" i="4" s="1"/>
  <c r="AU122" i="4" s="1"/>
  <c r="W122" i="4"/>
  <c r="AG127" i="4"/>
  <c r="AH127" i="4" s="1"/>
  <c r="AI127" i="4" s="1"/>
  <c r="AJ127" i="4" s="1"/>
  <c r="AK127" i="4" s="1"/>
  <c r="AL127" i="4" s="1"/>
  <c r="AM127" i="4" s="1"/>
  <c r="AN127" i="4" s="1"/>
  <c r="AO127" i="4" s="1"/>
  <c r="AP127" i="4" s="1"/>
  <c r="AQ127" i="4" s="1"/>
  <c r="AR127" i="4" s="1"/>
  <c r="AS127" i="4" s="1"/>
  <c r="AT127" i="4" s="1"/>
  <c r="AU127" i="4" s="1"/>
  <c r="AH126" i="4"/>
  <c r="AI126" i="4" s="1"/>
  <c r="AJ126" i="4" s="1"/>
  <c r="AK126" i="4" s="1"/>
  <c r="AL126" i="4" s="1"/>
  <c r="AM126" i="4" s="1"/>
  <c r="AN126" i="4" s="1"/>
  <c r="AO126" i="4" s="1"/>
  <c r="AP126" i="4" s="1"/>
  <c r="AQ126" i="4" s="1"/>
  <c r="AR126" i="4" s="1"/>
  <c r="AS126" i="4" s="1"/>
  <c r="AT126" i="4" s="1"/>
  <c r="AU126" i="4" s="1"/>
  <c r="AG126" i="4"/>
  <c r="AG125" i="4"/>
  <c r="AH125" i="4" s="1"/>
  <c r="AI125" i="4" s="1"/>
  <c r="AJ125" i="4" s="1"/>
  <c r="AK125" i="4" s="1"/>
  <c r="AL125" i="4" s="1"/>
  <c r="AM125" i="4" s="1"/>
  <c r="AN125" i="4" s="1"/>
  <c r="AO125" i="4" s="1"/>
  <c r="AP125" i="4" s="1"/>
  <c r="AQ125" i="4" s="1"/>
  <c r="AR125" i="4" s="1"/>
  <c r="AS125" i="4" s="1"/>
  <c r="AT125" i="4" s="1"/>
  <c r="AU125" i="4" s="1"/>
  <c r="W124" i="4"/>
  <c r="X124" i="4" s="1"/>
  <c r="Y124" i="4" s="1"/>
  <c r="Z124" i="4" s="1"/>
  <c r="AA124" i="4" s="1"/>
  <c r="AB124" i="4" s="1"/>
  <c r="AC124" i="4" s="1"/>
  <c r="AD124" i="4" s="1"/>
  <c r="AE124" i="4" s="1"/>
  <c r="AF124" i="4" s="1"/>
  <c r="AG124" i="4" s="1"/>
  <c r="AH124" i="4" s="1"/>
  <c r="AI124" i="4" s="1"/>
  <c r="AJ124" i="4" s="1"/>
  <c r="AK124" i="4" s="1"/>
  <c r="AL124" i="4" s="1"/>
  <c r="AM124" i="4" s="1"/>
  <c r="AN124" i="4" s="1"/>
  <c r="AO124" i="4" s="1"/>
  <c r="AP124" i="4" s="1"/>
  <c r="AQ124" i="4" s="1"/>
  <c r="AR124" i="4" s="1"/>
  <c r="AS124" i="4" s="1"/>
  <c r="AT124" i="4" s="1"/>
  <c r="AU124" i="4" s="1"/>
  <c r="AP120" i="4"/>
  <c r="AQ120" i="4" s="1"/>
  <c r="AR120" i="4" s="1"/>
  <c r="AS120" i="4" s="1"/>
  <c r="AT120" i="4" s="1"/>
  <c r="AU120" i="4" s="1"/>
  <c r="AO120" i="4"/>
  <c r="T120" i="4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AG120" i="4" s="1"/>
  <c r="AH120" i="4" s="1"/>
  <c r="AI120" i="4" s="1"/>
  <c r="AJ120" i="4" s="1"/>
  <c r="AK120" i="4" s="1"/>
  <c r="AL120" i="4" s="1"/>
  <c r="AM120" i="4" s="1"/>
  <c r="AN120" i="4" s="1"/>
  <c r="S120" i="4"/>
  <c r="S119" i="4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AG119" i="4" s="1"/>
  <c r="AH119" i="4" s="1"/>
  <c r="AI119" i="4" s="1"/>
  <c r="AJ119" i="4" s="1"/>
  <c r="AK119" i="4" s="1"/>
  <c r="AL119" i="4" s="1"/>
  <c r="AM119" i="4" s="1"/>
  <c r="AN119" i="4" s="1"/>
  <c r="AO119" i="4" s="1"/>
  <c r="AP119" i="4" s="1"/>
  <c r="AQ119" i="4" s="1"/>
  <c r="AR119" i="4" s="1"/>
  <c r="AS119" i="4" s="1"/>
  <c r="AT119" i="4" s="1"/>
  <c r="AU119" i="4" s="1"/>
  <c r="U118" i="4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AG118" i="4" s="1"/>
  <c r="AH118" i="4" s="1"/>
  <c r="AI118" i="4" s="1"/>
  <c r="AJ118" i="4" s="1"/>
  <c r="AK118" i="4" s="1"/>
  <c r="AL118" i="4" s="1"/>
  <c r="AM118" i="4" s="1"/>
  <c r="AN118" i="4" s="1"/>
  <c r="AO118" i="4" s="1"/>
  <c r="AP118" i="4" s="1"/>
  <c r="AQ118" i="4" s="1"/>
  <c r="AR118" i="4" s="1"/>
  <c r="AS118" i="4" s="1"/>
  <c r="AT118" i="4" s="1"/>
  <c r="AU118" i="4" s="1"/>
  <c r="S118" i="4"/>
  <c r="T118" i="4" s="1"/>
  <c r="T117" i="4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AG117" i="4" s="1"/>
  <c r="AH117" i="4" s="1"/>
  <c r="AI117" i="4" s="1"/>
  <c r="AJ117" i="4" s="1"/>
  <c r="AK117" i="4" s="1"/>
  <c r="AL117" i="4" s="1"/>
  <c r="AM117" i="4" s="1"/>
  <c r="AN117" i="4" s="1"/>
  <c r="AO117" i="4" s="1"/>
  <c r="AP117" i="4" s="1"/>
  <c r="AQ117" i="4" s="1"/>
  <c r="AR117" i="4" s="1"/>
  <c r="AS117" i="4" s="1"/>
  <c r="AT117" i="4" s="1"/>
  <c r="AU117" i="4" s="1"/>
  <c r="S117" i="4"/>
  <c r="T116" i="4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AG116" i="4" s="1"/>
  <c r="AH116" i="4" s="1"/>
  <c r="AI116" i="4" s="1"/>
  <c r="AJ116" i="4" s="1"/>
  <c r="AK116" i="4" s="1"/>
  <c r="AL116" i="4" s="1"/>
  <c r="AM116" i="4" s="1"/>
  <c r="AN116" i="4" s="1"/>
  <c r="AO116" i="4" s="1"/>
  <c r="AP116" i="4" s="1"/>
  <c r="AQ116" i="4" s="1"/>
  <c r="AR116" i="4" s="1"/>
  <c r="AS116" i="4" s="1"/>
  <c r="AT116" i="4" s="1"/>
  <c r="AU116" i="4" s="1"/>
  <c r="S116" i="4"/>
  <c r="W115" i="4"/>
  <c r="X115" i="4" s="1"/>
  <c r="Y115" i="4" s="1"/>
  <c r="Z115" i="4" s="1"/>
  <c r="AA115" i="4" s="1"/>
  <c r="AB115" i="4" s="1"/>
  <c r="AC115" i="4" s="1"/>
  <c r="AD115" i="4" s="1"/>
  <c r="AE115" i="4" s="1"/>
  <c r="AF115" i="4" s="1"/>
  <c r="AG115" i="4" s="1"/>
  <c r="AH115" i="4" s="1"/>
  <c r="AI115" i="4" s="1"/>
  <c r="AJ115" i="4" s="1"/>
  <c r="AK115" i="4" s="1"/>
  <c r="AL115" i="4" s="1"/>
  <c r="AM115" i="4" s="1"/>
  <c r="AN115" i="4" s="1"/>
  <c r="AO115" i="4" s="1"/>
  <c r="AP115" i="4" s="1"/>
  <c r="AQ115" i="4" s="1"/>
  <c r="AR115" i="4" s="1"/>
  <c r="AS115" i="4" s="1"/>
  <c r="AT115" i="4" s="1"/>
  <c r="AU115" i="4" s="1"/>
  <c r="S115" i="4"/>
  <c r="T115" i="4" s="1"/>
  <c r="U115" i="4" s="1"/>
  <c r="V115" i="4" s="1"/>
  <c r="AC114" i="4"/>
  <c r="AD114" i="4" s="1"/>
  <c r="AE114" i="4" s="1"/>
  <c r="AF114" i="4" s="1"/>
  <c r="AG114" i="4" s="1"/>
  <c r="AH114" i="4" s="1"/>
  <c r="AI114" i="4" s="1"/>
  <c r="AJ114" i="4" s="1"/>
  <c r="AK114" i="4" s="1"/>
  <c r="AL114" i="4" s="1"/>
  <c r="AM114" i="4" s="1"/>
  <c r="AN114" i="4" s="1"/>
  <c r="AO114" i="4" s="1"/>
  <c r="AP114" i="4" s="1"/>
  <c r="AQ114" i="4" s="1"/>
  <c r="AR114" i="4" s="1"/>
  <c r="AS114" i="4" s="1"/>
  <c r="AT114" i="4" s="1"/>
  <c r="AU114" i="4" s="1"/>
  <c r="V114" i="4"/>
  <c r="W114" i="4" s="1"/>
  <c r="X114" i="4" s="1"/>
  <c r="Y114" i="4" s="1"/>
  <c r="Z114" i="4" s="1"/>
  <c r="AA114" i="4" s="1"/>
  <c r="AB114" i="4" s="1"/>
  <c r="U114" i="4"/>
  <c r="S114" i="4"/>
  <c r="T114" i="4" s="1"/>
  <c r="AA113" i="4"/>
  <c r="AB113" i="4" s="1"/>
  <c r="AC113" i="4" s="1"/>
  <c r="AD113" i="4" s="1"/>
  <c r="AE113" i="4" s="1"/>
  <c r="AF113" i="4" s="1"/>
  <c r="AG113" i="4" s="1"/>
  <c r="AH113" i="4" s="1"/>
  <c r="AI113" i="4" s="1"/>
  <c r="AJ113" i="4" s="1"/>
  <c r="AK113" i="4" s="1"/>
  <c r="AL113" i="4" s="1"/>
  <c r="AM113" i="4" s="1"/>
  <c r="AN113" i="4" s="1"/>
  <c r="AO113" i="4" s="1"/>
  <c r="AP113" i="4" s="1"/>
  <c r="AQ113" i="4" s="1"/>
  <c r="AR113" i="4" s="1"/>
  <c r="AS113" i="4" s="1"/>
  <c r="AT113" i="4" s="1"/>
  <c r="AU113" i="4" s="1"/>
  <c r="T113" i="4"/>
  <c r="U113" i="4" s="1"/>
  <c r="V113" i="4" s="1"/>
  <c r="W113" i="4" s="1"/>
  <c r="X113" i="4" s="1"/>
  <c r="Y113" i="4" s="1"/>
  <c r="Z113" i="4" s="1"/>
  <c r="S113" i="4"/>
  <c r="Z112" i="4"/>
  <c r="AA112" i="4" s="1"/>
  <c r="AB112" i="4" s="1"/>
  <c r="AC112" i="4" s="1"/>
  <c r="AD112" i="4" s="1"/>
  <c r="AE112" i="4" s="1"/>
  <c r="AF112" i="4" s="1"/>
  <c r="AG112" i="4" s="1"/>
  <c r="AH112" i="4" s="1"/>
  <c r="AI112" i="4" s="1"/>
  <c r="AJ112" i="4" s="1"/>
  <c r="AK112" i="4" s="1"/>
  <c r="AL112" i="4" s="1"/>
  <c r="AM112" i="4" s="1"/>
  <c r="AN112" i="4" s="1"/>
  <c r="AO112" i="4" s="1"/>
  <c r="AP112" i="4" s="1"/>
  <c r="AQ112" i="4" s="1"/>
  <c r="AR112" i="4" s="1"/>
  <c r="AS112" i="4" s="1"/>
  <c r="AT112" i="4" s="1"/>
  <c r="AU112" i="4" s="1"/>
  <c r="Y112" i="4"/>
  <c r="T112" i="4"/>
  <c r="U112" i="4" s="1"/>
  <c r="V112" i="4" s="1"/>
  <c r="W112" i="4" s="1"/>
  <c r="X112" i="4" s="1"/>
  <c r="S112" i="4"/>
  <c r="S111" i="4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AG111" i="4" s="1"/>
  <c r="AH111" i="4" s="1"/>
  <c r="AI111" i="4" s="1"/>
  <c r="AJ111" i="4" s="1"/>
  <c r="AK111" i="4" s="1"/>
  <c r="AL111" i="4" s="1"/>
  <c r="AM111" i="4" s="1"/>
  <c r="AN111" i="4" s="1"/>
  <c r="AO111" i="4" s="1"/>
  <c r="AP111" i="4" s="1"/>
  <c r="AQ111" i="4" s="1"/>
  <c r="AR111" i="4" s="1"/>
  <c r="AS111" i="4" s="1"/>
  <c r="AT111" i="4" s="1"/>
  <c r="AU111" i="4" s="1"/>
  <c r="AK110" i="4"/>
  <c r="AL110" i="4" s="1"/>
  <c r="AM110" i="4" s="1"/>
  <c r="AN110" i="4" s="1"/>
  <c r="AO110" i="4" s="1"/>
  <c r="AP110" i="4" s="1"/>
  <c r="AQ110" i="4" s="1"/>
  <c r="AR110" i="4" s="1"/>
  <c r="AS110" i="4" s="1"/>
  <c r="AT110" i="4" s="1"/>
  <c r="AU110" i="4" s="1"/>
  <c r="AD110" i="4"/>
  <c r="AE110" i="4" s="1"/>
  <c r="AF110" i="4" s="1"/>
  <c r="AG110" i="4" s="1"/>
  <c r="AH110" i="4" s="1"/>
  <c r="AI110" i="4" s="1"/>
  <c r="AJ110" i="4" s="1"/>
  <c r="S110" i="4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L108" i="4"/>
  <c r="AM108" i="4" s="1"/>
  <c r="AN108" i="4" s="1"/>
  <c r="AO108" i="4" s="1"/>
  <c r="AP108" i="4" s="1"/>
  <c r="AQ108" i="4" s="1"/>
  <c r="AR108" i="4" s="1"/>
  <c r="AS108" i="4" s="1"/>
  <c r="AT108" i="4" s="1"/>
  <c r="AU108" i="4" s="1"/>
  <c r="A108" i="4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S107" i="4"/>
  <c r="T107" i="4" s="1"/>
  <c r="U107" i="4" s="1"/>
  <c r="V107" i="4" s="1"/>
  <c r="W107" i="4" s="1"/>
  <c r="X107" i="4" s="1"/>
  <c r="Y107" i="4" s="1"/>
  <c r="Z107" i="4" s="1"/>
  <c r="AA107" i="4" s="1"/>
  <c r="AB107" i="4" s="1"/>
  <c r="AC107" i="4" s="1"/>
  <c r="AD107" i="4" s="1"/>
  <c r="AE107" i="4" s="1"/>
  <c r="AF107" i="4" s="1"/>
  <c r="AG107" i="4" s="1"/>
  <c r="AH107" i="4" s="1"/>
  <c r="AI107" i="4" s="1"/>
  <c r="AJ107" i="4" s="1"/>
  <c r="AK107" i="4" s="1"/>
  <c r="AL107" i="4" s="1"/>
  <c r="AM107" i="4" s="1"/>
  <c r="AN107" i="4" s="1"/>
  <c r="AO107" i="4" s="1"/>
  <c r="AP107" i="4" s="1"/>
  <c r="AQ107" i="4" s="1"/>
  <c r="AR107" i="4" s="1"/>
  <c r="AS107" i="4" s="1"/>
  <c r="AT107" i="4" s="1"/>
  <c r="AU107" i="4" s="1"/>
  <c r="AG106" i="4"/>
  <c r="AH106" i="4" s="1"/>
  <c r="AI106" i="4" s="1"/>
  <c r="AJ106" i="4" s="1"/>
  <c r="AK106" i="4" s="1"/>
  <c r="AL106" i="4" s="1"/>
  <c r="AM106" i="4" s="1"/>
  <c r="AN106" i="4" s="1"/>
  <c r="AO106" i="4" s="1"/>
  <c r="AP106" i="4" s="1"/>
  <c r="AQ106" i="4" s="1"/>
  <c r="AR106" i="4" s="1"/>
  <c r="AS106" i="4" s="1"/>
  <c r="AT106" i="4" s="1"/>
  <c r="AU106" i="4" s="1"/>
  <c r="AF106" i="4"/>
  <c r="AB106" i="4"/>
  <c r="AC106" i="4" s="1"/>
  <c r="AD106" i="4" s="1"/>
  <c r="AE106" i="4" s="1"/>
  <c r="AD105" i="4"/>
  <c r="AE105" i="4" s="1"/>
  <c r="AF105" i="4" s="1"/>
  <c r="AG105" i="4" s="1"/>
  <c r="AH105" i="4" s="1"/>
  <c r="AI105" i="4" s="1"/>
  <c r="AJ105" i="4" s="1"/>
  <c r="AK105" i="4" s="1"/>
  <c r="AL105" i="4" s="1"/>
  <c r="AM105" i="4" s="1"/>
  <c r="AN105" i="4" s="1"/>
  <c r="AO105" i="4" s="1"/>
  <c r="AP105" i="4" s="1"/>
  <c r="AQ105" i="4" s="1"/>
  <c r="AR105" i="4" s="1"/>
  <c r="AS105" i="4" s="1"/>
  <c r="AT105" i="4" s="1"/>
  <c r="AU105" i="4" s="1"/>
  <c r="AC105" i="4"/>
  <c r="AB105" i="4"/>
  <c r="AC104" i="4"/>
  <c r="AD104" i="4" s="1"/>
  <c r="AE104" i="4" s="1"/>
  <c r="AF104" i="4" s="1"/>
  <c r="AG104" i="4" s="1"/>
  <c r="AH104" i="4" s="1"/>
  <c r="AI104" i="4" s="1"/>
  <c r="AJ104" i="4" s="1"/>
  <c r="AK104" i="4" s="1"/>
  <c r="AL104" i="4" s="1"/>
  <c r="AM104" i="4" s="1"/>
  <c r="AN104" i="4" s="1"/>
  <c r="AO104" i="4" s="1"/>
  <c r="AP104" i="4" s="1"/>
  <c r="AQ104" i="4" s="1"/>
  <c r="AR104" i="4" s="1"/>
  <c r="AS104" i="4" s="1"/>
  <c r="AT104" i="4" s="1"/>
  <c r="AU104" i="4" s="1"/>
  <c r="AB104" i="4"/>
  <c r="W103" i="4"/>
  <c r="X103" i="4" s="1"/>
  <c r="Y103" i="4" s="1"/>
  <c r="Z103" i="4" s="1"/>
  <c r="AA103" i="4" s="1"/>
  <c r="AB103" i="4" s="1"/>
  <c r="AC103" i="4" s="1"/>
  <c r="AD103" i="4" s="1"/>
  <c r="AE103" i="4" s="1"/>
  <c r="AF103" i="4" s="1"/>
  <c r="AG103" i="4" s="1"/>
  <c r="AH103" i="4" s="1"/>
  <c r="AI103" i="4" s="1"/>
  <c r="AJ103" i="4" s="1"/>
  <c r="AK103" i="4" s="1"/>
  <c r="AL103" i="4" s="1"/>
  <c r="AM103" i="4" s="1"/>
  <c r="AN103" i="4" s="1"/>
  <c r="AO103" i="4" s="1"/>
  <c r="AP103" i="4" s="1"/>
  <c r="AQ103" i="4" s="1"/>
  <c r="AR103" i="4" s="1"/>
  <c r="AS103" i="4" s="1"/>
  <c r="AT103" i="4" s="1"/>
  <c r="AU103" i="4" s="1"/>
  <c r="AD99" i="4"/>
  <c r="AE99" i="4" s="1"/>
  <c r="AF99" i="4" s="1"/>
  <c r="AG99" i="4" s="1"/>
  <c r="AH99" i="4" s="1"/>
  <c r="AI99" i="4" s="1"/>
  <c r="AJ99" i="4" s="1"/>
  <c r="AK99" i="4" s="1"/>
  <c r="AL99" i="4" s="1"/>
  <c r="AM99" i="4" s="1"/>
  <c r="AN99" i="4" s="1"/>
  <c r="AO99" i="4" s="1"/>
  <c r="AP99" i="4" s="1"/>
  <c r="AQ99" i="4" s="1"/>
  <c r="AR99" i="4" s="1"/>
  <c r="AS99" i="4" s="1"/>
  <c r="AT99" i="4" s="1"/>
  <c r="AU99" i="4" s="1"/>
  <c r="AB99" i="4"/>
  <c r="AC99" i="4" s="1"/>
  <c r="T99" i="4"/>
  <c r="U99" i="4" s="1"/>
  <c r="V99" i="4" s="1"/>
  <c r="W99" i="4" s="1"/>
  <c r="X99" i="4" s="1"/>
  <c r="Y99" i="4" s="1"/>
  <c r="Z99" i="4" s="1"/>
  <c r="AA99" i="4" s="1"/>
  <c r="S99" i="4"/>
  <c r="V98" i="4"/>
  <c r="W98" i="4" s="1"/>
  <c r="X98" i="4" s="1"/>
  <c r="Y98" i="4" s="1"/>
  <c r="Z98" i="4" s="1"/>
  <c r="AA98" i="4" s="1"/>
  <c r="AB98" i="4" s="1"/>
  <c r="AC98" i="4" s="1"/>
  <c r="AD98" i="4" s="1"/>
  <c r="AE98" i="4" s="1"/>
  <c r="AF98" i="4" s="1"/>
  <c r="AG98" i="4" s="1"/>
  <c r="AH98" i="4" s="1"/>
  <c r="AI98" i="4" s="1"/>
  <c r="AJ98" i="4" s="1"/>
  <c r="AK98" i="4" s="1"/>
  <c r="AL98" i="4" s="1"/>
  <c r="AM98" i="4" s="1"/>
  <c r="AN98" i="4" s="1"/>
  <c r="AO98" i="4" s="1"/>
  <c r="AP98" i="4" s="1"/>
  <c r="AQ98" i="4" s="1"/>
  <c r="AR98" i="4" s="1"/>
  <c r="AS98" i="4" s="1"/>
  <c r="AT98" i="4" s="1"/>
  <c r="AU98" i="4" s="1"/>
  <c r="S98" i="4"/>
  <c r="T98" i="4" s="1"/>
  <c r="U98" i="4" s="1"/>
  <c r="U97" i="4"/>
  <c r="V97" i="4" s="1"/>
  <c r="W97" i="4" s="1"/>
  <c r="X97" i="4" s="1"/>
  <c r="Y97" i="4" s="1"/>
  <c r="Z97" i="4" s="1"/>
  <c r="AA97" i="4" s="1"/>
  <c r="AB97" i="4" s="1"/>
  <c r="AC97" i="4" s="1"/>
  <c r="AD97" i="4" s="1"/>
  <c r="AE97" i="4" s="1"/>
  <c r="AF97" i="4" s="1"/>
  <c r="AG97" i="4" s="1"/>
  <c r="AH97" i="4" s="1"/>
  <c r="AI97" i="4" s="1"/>
  <c r="AJ97" i="4" s="1"/>
  <c r="AK97" i="4" s="1"/>
  <c r="AL97" i="4" s="1"/>
  <c r="AM97" i="4" s="1"/>
  <c r="AN97" i="4" s="1"/>
  <c r="AO97" i="4" s="1"/>
  <c r="AP97" i="4" s="1"/>
  <c r="AQ97" i="4" s="1"/>
  <c r="AR97" i="4" s="1"/>
  <c r="AS97" i="4" s="1"/>
  <c r="AT97" i="4" s="1"/>
  <c r="AU97" i="4" s="1"/>
  <c r="T97" i="4"/>
  <c r="S97" i="4"/>
  <c r="Z96" i="4"/>
  <c r="AA96" i="4" s="1"/>
  <c r="AB96" i="4" s="1"/>
  <c r="AC96" i="4" s="1"/>
  <c r="AD96" i="4" s="1"/>
  <c r="AE96" i="4" s="1"/>
  <c r="AF96" i="4" s="1"/>
  <c r="AG96" i="4" s="1"/>
  <c r="AH96" i="4" s="1"/>
  <c r="AI96" i="4" s="1"/>
  <c r="AJ96" i="4" s="1"/>
  <c r="AK96" i="4" s="1"/>
  <c r="AL96" i="4" s="1"/>
  <c r="AM96" i="4" s="1"/>
  <c r="AN96" i="4" s="1"/>
  <c r="AO96" i="4" s="1"/>
  <c r="AP96" i="4" s="1"/>
  <c r="AQ96" i="4" s="1"/>
  <c r="AR96" i="4" s="1"/>
  <c r="AS96" i="4" s="1"/>
  <c r="AT96" i="4" s="1"/>
  <c r="AU96" i="4" s="1"/>
  <c r="S96" i="4"/>
  <c r="T96" i="4" s="1"/>
  <c r="U96" i="4" s="1"/>
  <c r="V96" i="4" s="1"/>
  <c r="W96" i="4" s="1"/>
  <c r="X96" i="4" s="1"/>
  <c r="Y96" i="4" s="1"/>
  <c r="X95" i="4"/>
  <c r="Y95" i="4" s="1"/>
  <c r="Z95" i="4" s="1"/>
  <c r="AA95" i="4" s="1"/>
  <c r="AB95" i="4" s="1"/>
  <c r="AC95" i="4" s="1"/>
  <c r="AD95" i="4" s="1"/>
  <c r="AE95" i="4" s="1"/>
  <c r="AF95" i="4" s="1"/>
  <c r="AG95" i="4" s="1"/>
  <c r="AH95" i="4" s="1"/>
  <c r="AI95" i="4" s="1"/>
  <c r="AJ95" i="4" s="1"/>
  <c r="AK95" i="4" s="1"/>
  <c r="AL95" i="4" s="1"/>
  <c r="AM95" i="4" s="1"/>
  <c r="AN95" i="4" s="1"/>
  <c r="AO95" i="4" s="1"/>
  <c r="AP95" i="4" s="1"/>
  <c r="AQ95" i="4" s="1"/>
  <c r="AR95" i="4" s="1"/>
  <c r="AS95" i="4" s="1"/>
  <c r="AT95" i="4" s="1"/>
  <c r="AU95" i="4" s="1"/>
  <c r="S95" i="4"/>
  <c r="T95" i="4" s="1"/>
  <c r="U95" i="4" s="1"/>
  <c r="V95" i="4" s="1"/>
  <c r="W95" i="4" s="1"/>
  <c r="S94" i="4"/>
  <c r="T94" i="4" s="1"/>
  <c r="U94" i="4" s="1"/>
  <c r="V94" i="4" s="1"/>
  <c r="W94" i="4" s="1"/>
  <c r="X94" i="4" s="1"/>
  <c r="Y94" i="4" s="1"/>
  <c r="Z94" i="4" s="1"/>
  <c r="AA94" i="4" s="1"/>
  <c r="AB94" i="4" s="1"/>
  <c r="AC94" i="4" s="1"/>
  <c r="AD94" i="4" s="1"/>
  <c r="AE94" i="4" s="1"/>
  <c r="AF94" i="4" s="1"/>
  <c r="AG94" i="4" s="1"/>
  <c r="AH94" i="4" s="1"/>
  <c r="AI94" i="4" s="1"/>
  <c r="AJ94" i="4" s="1"/>
  <c r="AK94" i="4" s="1"/>
  <c r="AL94" i="4" s="1"/>
  <c r="AM94" i="4" s="1"/>
  <c r="AN94" i="4" s="1"/>
  <c r="AO94" i="4" s="1"/>
  <c r="AP94" i="4" s="1"/>
  <c r="AQ94" i="4" s="1"/>
  <c r="AR94" i="4" s="1"/>
  <c r="AS94" i="4" s="1"/>
  <c r="AT94" i="4" s="1"/>
  <c r="AU94" i="4" s="1"/>
  <c r="T93" i="4"/>
  <c r="U93" i="4" s="1"/>
  <c r="V93" i="4" s="1"/>
  <c r="W93" i="4" s="1"/>
  <c r="X93" i="4" s="1"/>
  <c r="Y93" i="4" s="1"/>
  <c r="Z93" i="4" s="1"/>
  <c r="AA93" i="4" s="1"/>
  <c r="AB93" i="4" s="1"/>
  <c r="AC93" i="4" s="1"/>
  <c r="AD93" i="4" s="1"/>
  <c r="AE93" i="4" s="1"/>
  <c r="AF93" i="4" s="1"/>
  <c r="AG93" i="4" s="1"/>
  <c r="AH93" i="4" s="1"/>
  <c r="AI93" i="4" s="1"/>
  <c r="AJ93" i="4" s="1"/>
  <c r="AK93" i="4" s="1"/>
  <c r="AL93" i="4" s="1"/>
  <c r="AM93" i="4" s="1"/>
  <c r="AN93" i="4" s="1"/>
  <c r="AO93" i="4" s="1"/>
  <c r="AP93" i="4" s="1"/>
  <c r="AQ93" i="4" s="1"/>
  <c r="AR93" i="4" s="1"/>
  <c r="AS93" i="4" s="1"/>
  <c r="AT93" i="4" s="1"/>
  <c r="AU93" i="4" s="1"/>
  <c r="S93" i="4"/>
  <c r="S92" i="4"/>
  <c r="T92" i="4" s="1"/>
  <c r="U92" i="4" s="1"/>
  <c r="V92" i="4" s="1"/>
  <c r="W92" i="4" s="1"/>
  <c r="X92" i="4" s="1"/>
  <c r="Y92" i="4" s="1"/>
  <c r="Z92" i="4" s="1"/>
  <c r="AA92" i="4" s="1"/>
  <c r="AB92" i="4" s="1"/>
  <c r="AC92" i="4" s="1"/>
  <c r="AD92" i="4" s="1"/>
  <c r="AE92" i="4" s="1"/>
  <c r="AF92" i="4" s="1"/>
  <c r="AG92" i="4" s="1"/>
  <c r="AH92" i="4" s="1"/>
  <c r="AI92" i="4" s="1"/>
  <c r="AJ92" i="4" s="1"/>
  <c r="AK92" i="4" s="1"/>
  <c r="AL92" i="4" s="1"/>
  <c r="AM92" i="4" s="1"/>
  <c r="AN92" i="4" s="1"/>
  <c r="AO92" i="4" s="1"/>
  <c r="AP92" i="4" s="1"/>
  <c r="AQ92" i="4" s="1"/>
  <c r="AR92" i="4" s="1"/>
  <c r="AS92" i="4" s="1"/>
  <c r="AT92" i="4" s="1"/>
  <c r="AU92" i="4" s="1"/>
  <c r="S91" i="4"/>
  <c r="T91" i="4" s="1"/>
  <c r="U91" i="4" s="1"/>
  <c r="V91" i="4" s="1"/>
  <c r="W91" i="4" s="1"/>
  <c r="X91" i="4" s="1"/>
  <c r="Y91" i="4" s="1"/>
  <c r="Z91" i="4" s="1"/>
  <c r="AA91" i="4" s="1"/>
  <c r="AB91" i="4" s="1"/>
  <c r="AC91" i="4" s="1"/>
  <c r="AD91" i="4" s="1"/>
  <c r="AE91" i="4" s="1"/>
  <c r="AF91" i="4" s="1"/>
  <c r="AG91" i="4" s="1"/>
  <c r="AH91" i="4" s="1"/>
  <c r="AI91" i="4" s="1"/>
  <c r="AJ91" i="4" s="1"/>
  <c r="AK91" i="4" s="1"/>
  <c r="AL91" i="4" s="1"/>
  <c r="AM91" i="4" s="1"/>
  <c r="AN91" i="4" s="1"/>
  <c r="AO91" i="4" s="1"/>
  <c r="AP91" i="4" s="1"/>
  <c r="AQ91" i="4" s="1"/>
  <c r="AR91" i="4" s="1"/>
  <c r="AS91" i="4" s="1"/>
  <c r="AT91" i="4" s="1"/>
  <c r="AU91" i="4" s="1"/>
  <c r="V90" i="4"/>
  <c r="W90" i="4" s="1"/>
  <c r="X90" i="4" s="1"/>
  <c r="Y90" i="4" s="1"/>
  <c r="Z90" i="4" s="1"/>
  <c r="AA90" i="4" s="1"/>
  <c r="AB90" i="4" s="1"/>
  <c r="AC90" i="4" s="1"/>
  <c r="AD90" i="4" s="1"/>
  <c r="AE90" i="4" s="1"/>
  <c r="AF90" i="4" s="1"/>
  <c r="AG90" i="4" s="1"/>
  <c r="AH90" i="4" s="1"/>
  <c r="AI90" i="4" s="1"/>
  <c r="AJ90" i="4" s="1"/>
  <c r="AK90" i="4" s="1"/>
  <c r="AL90" i="4" s="1"/>
  <c r="AM90" i="4" s="1"/>
  <c r="AN90" i="4" s="1"/>
  <c r="AO90" i="4" s="1"/>
  <c r="AP90" i="4" s="1"/>
  <c r="AQ90" i="4" s="1"/>
  <c r="AR90" i="4" s="1"/>
  <c r="AS90" i="4" s="1"/>
  <c r="AT90" i="4" s="1"/>
  <c r="AU90" i="4" s="1"/>
  <c r="U90" i="4"/>
  <c r="S90" i="4"/>
  <c r="T90" i="4" s="1"/>
  <c r="S89" i="4"/>
  <c r="T89" i="4" s="1"/>
  <c r="U89" i="4" s="1"/>
  <c r="V89" i="4" s="1"/>
  <c r="W89" i="4" s="1"/>
  <c r="X89" i="4" s="1"/>
  <c r="Y89" i="4" s="1"/>
  <c r="Z89" i="4" s="1"/>
  <c r="AA89" i="4" s="1"/>
  <c r="AB89" i="4" s="1"/>
  <c r="AC89" i="4" s="1"/>
  <c r="AD89" i="4" s="1"/>
  <c r="AE89" i="4" s="1"/>
  <c r="AF89" i="4" s="1"/>
  <c r="AG89" i="4" s="1"/>
  <c r="AH89" i="4" s="1"/>
  <c r="AI89" i="4" s="1"/>
  <c r="AJ89" i="4" s="1"/>
  <c r="AK89" i="4" s="1"/>
  <c r="AL89" i="4" s="1"/>
  <c r="AM89" i="4" s="1"/>
  <c r="AN89" i="4" s="1"/>
  <c r="AO89" i="4" s="1"/>
  <c r="AP89" i="4" s="1"/>
  <c r="AQ89" i="4" s="1"/>
  <c r="AR89" i="4" s="1"/>
  <c r="AS89" i="4" s="1"/>
  <c r="AT89" i="4" s="1"/>
  <c r="AU89" i="4" s="1"/>
  <c r="X87" i="4"/>
  <c r="Y87" i="4" s="1"/>
  <c r="Z87" i="4" s="1"/>
  <c r="AA87" i="4" s="1"/>
  <c r="AB87" i="4" s="1"/>
  <c r="AC87" i="4" s="1"/>
  <c r="AD87" i="4" s="1"/>
  <c r="AE87" i="4" s="1"/>
  <c r="AF87" i="4" s="1"/>
  <c r="AG87" i="4" s="1"/>
  <c r="AH87" i="4" s="1"/>
  <c r="AI87" i="4" s="1"/>
  <c r="AJ87" i="4" s="1"/>
  <c r="AK87" i="4" s="1"/>
  <c r="AL87" i="4" s="1"/>
  <c r="AM87" i="4" s="1"/>
  <c r="AN87" i="4" s="1"/>
  <c r="AO87" i="4" s="1"/>
  <c r="AP87" i="4" s="1"/>
  <c r="AQ87" i="4" s="1"/>
  <c r="AR87" i="4" s="1"/>
  <c r="AS87" i="4" s="1"/>
  <c r="AT87" i="4" s="1"/>
  <c r="AU87" i="4" s="1"/>
  <c r="W87" i="4"/>
  <c r="V87" i="4"/>
  <c r="S87" i="4"/>
  <c r="T87" i="4" s="1"/>
  <c r="U87" i="4" s="1"/>
  <c r="A87" i="4"/>
  <c r="A88" i="4" s="1"/>
  <c r="A89" i="4" s="1"/>
  <c r="A90" i="4" s="1"/>
  <c r="A91" i="4" s="1"/>
  <c r="A92" i="4" s="1"/>
  <c r="A93" i="4" s="1"/>
  <c r="A94" i="4" s="1"/>
  <c r="A95" i="4" s="1"/>
  <c r="A96" i="4" s="1"/>
  <c r="AB86" i="4"/>
  <c r="AC86" i="4" s="1"/>
  <c r="AD86" i="4" s="1"/>
  <c r="AE86" i="4" s="1"/>
  <c r="AF86" i="4" s="1"/>
  <c r="AG86" i="4" s="1"/>
  <c r="AH86" i="4" s="1"/>
  <c r="AI86" i="4" s="1"/>
  <c r="AJ86" i="4" s="1"/>
  <c r="AK86" i="4" s="1"/>
  <c r="AL86" i="4" s="1"/>
  <c r="AM86" i="4" s="1"/>
  <c r="AN86" i="4" s="1"/>
  <c r="AO86" i="4" s="1"/>
  <c r="AP86" i="4" s="1"/>
  <c r="AQ86" i="4" s="1"/>
  <c r="AR86" i="4" s="1"/>
  <c r="AS86" i="4" s="1"/>
  <c r="AT86" i="4" s="1"/>
  <c r="AU86" i="4" s="1"/>
  <c r="T86" i="4"/>
  <c r="U86" i="4" s="1"/>
  <c r="V86" i="4" s="1"/>
  <c r="W86" i="4" s="1"/>
  <c r="X86" i="4" s="1"/>
  <c r="Y86" i="4" s="1"/>
  <c r="Z86" i="4" s="1"/>
  <c r="AA86" i="4" s="1"/>
  <c r="S86" i="4"/>
  <c r="AO85" i="4"/>
  <c r="AP85" i="4" s="1"/>
  <c r="AQ85" i="4" s="1"/>
  <c r="AR85" i="4" s="1"/>
  <c r="AS85" i="4" s="1"/>
  <c r="AT85" i="4" s="1"/>
  <c r="AU85" i="4" s="1"/>
  <c r="AL85" i="4"/>
  <c r="AM85" i="4" s="1"/>
  <c r="AN85" i="4" s="1"/>
  <c r="AS84" i="4"/>
  <c r="AT84" i="4" s="1"/>
  <c r="AU84" i="4" s="1"/>
  <c r="AM84" i="4"/>
  <c r="AN84" i="4" s="1"/>
  <c r="AO84" i="4" s="1"/>
  <c r="AP84" i="4" s="1"/>
  <c r="AQ84" i="4" s="1"/>
  <c r="AR84" i="4" s="1"/>
  <c r="AL84" i="4"/>
  <c r="AM83" i="4"/>
  <c r="AN83" i="4" s="1"/>
  <c r="AO83" i="4" s="1"/>
  <c r="AP83" i="4" s="1"/>
  <c r="AQ83" i="4" s="1"/>
  <c r="AR83" i="4" s="1"/>
  <c r="AS83" i="4" s="1"/>
  <c r="AT83" i="4" s="1"/>
  <c r="AU83" i="4" s="1"/>
  <c r="AL83" i="4"/>
  <c r="Z82" i="4"/>
  <c r="AA82" i="4" s="1"/>
  <c r="AB82" i="4" s="1"/>
  <c r="AC82" i="4" s="1"/>
  <c r="AD82" i="4" s="1"/>
  <c r="AE82" i="4" s="1"/>
  <c r="AF82" i="4" s="1"/>
  <c r="AG82" i="4" s="1"/>
  <c r="AH82" i="4" s="1"/>
  <c r="AI82" i="4" s="1"/>
  <c r="AJ82" i="4" s="1"/>
  <c r="AK82" i="4" s="1"/>
  <c r="AL82" i="4" s="1"/>
  <c r="AM82" i="4" s="1"/>
  <c r="AN82" i="4" s="1"/>
  <c r="AO82" i="4" s="1"/>
  <c r="AP82" i="4" s="1"/>
  <c r="AQ82" i="4" s="1"/>
  <c r="AR82" i="4" s="1"/>
  <c r="AS82" i="4" s="1"/>
  <c r="AT82" i="4" s="1"/>
  <c r="AU82" i="4" s="1"/>
  <c r="W82" i="4"/>
  <c r="X82" i="4" s="1"/>
  <c r="Y82" i="4" s="1"/>
  <c r="S78" i="4"/>
  <c r="T78" i="4" s="1"/>
  <c r="U78" i="4" s="1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AH78" i="4" s="1"/>
  <c r="AI78" i="4" s="1"/>
  <c r="AJ78" i="4" s="1"/>
  <c r="AK78" i="4" s="1"/>
  <c r="AL78" i="4" s="1"/>
  <c r="AM78" i="4" s="1"/>
  <c r="AN78" i="4" s="1"/>
  <c r="AO78" i="4" s="1"/>
  <c r="AP78" i="4" s="1"/>
  <c r="AQ78" i="4" s="1"/>
  <c r="AR78" i="4" s="1"/>
  <c r="AS78" i="4" s="1"/>
  <c r="AT78" i="4" s="1"/>
  <c r="AU78" i="4" s="1"/>
  <c r="T77" i="4"/>
  <c r="U77" i="4" s="1"/>
  <c r="V77" i="4" s="1"/>
  <c r="W77" i="4" s="1"/>
  <c r="X77" i="4" s="1"/>
  <c r="Y77" i="4" s="1"/>
  <c r="Z77" i="4" s="1"/>
  <c r="AA77" i="4" s="1"/>
  <c r="AB77" i="4" s="1"/>
  <c r="AC77" i="4" s="1"/>
  <c r="AD77" i="4" s="1"/>
  <c r="AE77" i="4" s="1"/>
  <c r="AF77" i="4" s="1"/>
  <c r="AG77" i="4" s="1"/>
  <c r="AH77" i="4" s="1"/>
  <c r="AI77" i="4" s="1"/>
  <c r="AJ77" i="4" s="1"/>
  <c r="AK77" i="4" s="1"/>
  <c r="AL77" i="4" s="1"/>
  <c r="AM77" i="4" s="1"/>
  <c r="AN77" i="4" s="1"/>
  <c r="AO77" i="4" s="1"/>
  <c r="AP77" i="4" s="1"/>
  <c r="AQ77" i="4" s="1"/>
  <c r="AR77" i="4" s="1"/>
  <c r="AS77" i="4" s="1"/>
  <c r="AT77" i="4" s="1"/>
  <c r="AU77" i="4" s="1"/>
  <c r="S77" i="4"/>
  <c r="S76" i="4"/>
  <c r="T76" i="4" s="1"/>
  <c r="U76" i="4" s="1"/>
  <c r="V76" i="4" s="1"/>
  <c r="W76" i="4" s="1"/>
  <c r="X76" i="4" s="1"/>
  <c r="Y76" i="4" s="1"/>
  <c r="Z76" i="4" s="1"/>
  <c r="AA76" i="4" s="1"/>
  <c r="AB76" i="4" s="1"/>
  <c r="AC76" i="4" s="1"/>
  <c r="AD76" i="4" s="1"/>
  <c r="AE76" i="4" s="1"/>
  <c r="AF76" i="4" s="1"/>
  <c r="AG76" i="4" s="1"/>
  <c r="AH76" i="4" s="1"/>
  <c r="AI76" i="4" s="1"/>
  <c r="AJ76" i="4" s="1"/>
  <c r="AK76" i="4" s="1"/>
  <c r="AL76" i="4" s="1"/>
  <c r="AM76" i="4" s="1"/>
  <c r="AN76" i="4" s="1"/>
  <c r="AO76" i="4" s="1"/>
  <c r="AP76" i="4" s="1"/>
  <c r="AQ76" i="4" s="1"/>
  <c r="AR76" i="4" s="1"/>
  <c r="AS76" i="4" s="1"/>
  <c r="AT76" i="4" s="1"/>
  <c r="AU76" i="4" s="1"/>
  <c r="S75" i="4"/>
  <c r="T75" i="4" s="1"/>
  <c r="U75" i="4" s="1"/>
  <c r="V75" i="4" s="1"/>
  <c r="W75" i="4" s="1"/>
  <c r="X75" i="4" s="1"/>
  <c r="Y75" i="4" s="1"/>
  <c r="Z75" i="4" s="1"/>
  <c r="AA75" i="4" s="1"/>
  <c r="AB75" i="4" s="1"/>
  <c r="AC75" i="4" s="1"/>
  <c r="AD75" i="4" s="1"/>
  <c r="AE75" i="4" s="1"/>
  <c r="AF75" i="4" s="1"/>
  <c r="AG75" i="4" s="1"/>
  <c r="AH75" i="4" s="1"/>
  <c r="AI75" i="4" s="1"/>
  <c r="AJ75" i="4" s="1"/>
  <c r="AK75" i="4" s="1"/>
  <c r="AL75" i="4" s="1"/>
  <c r="AM75" i="4" s="1"/>
  <c r="AN75" i="4" s="1"/>
  <c r="AO75" i="4" s="1"/>
  <c r="AP75" i="4" s="1"/>
  <c r="AQ75" i="4" s="1"/>
  <c r="AR75" i="4" s="1"/>
  <c r="AS75" i="4" s="1"/>
  <c r="AT75" i="4" s="1"/>
  <c r="AU75" i="4" s="1"/>
  <c r="S74" i="4"/>
  <c r="T74" i="4" s="1"/>
  <c r="U74" i="4" s="1"/>
  <c r="V74" i="4" s="1"/>
  <c r="W74" i="4" s="1"/>
  <c r="X74" i="4" s="1"/>
  <c r="Y74" i="4" s="1"/>
  <c r="Z74" i="4" s="1"/>
  <c r="AA74" i="4" s="1"/>
  <c r="AB74" i="4" s="1"/>
  <c r="AC74" i="4" s="1"/>
  <c r="AD74" i="4" s="1"/>
  <c r="AE74" i="4" s="1"/>
  <c r="AF74" i="4" s="1"/>
  <c r="AG74" i="4" s="1"/>
  <c r="AH74" i="4" s="1"/>
  <c r="AI74" i="4" s="1"/>
  <c r="AJ74" i="4" s="1"/>
  <c r="AK74" i="4" s="1"/>
  <c r="AL74" i="4" s="1"/>
  <c r="AM74" i="4" s="1"/>
  <c r="AN74" i="4" s="1"/>
  <c r="AO74" i="4" s="1"/>
  <c r="AP74" i="4" s="1"/>
  <c r="AQ74" i="4" s="1"/>
  <c r="AR74" i="4" s="1"/>
  <c r="AS74" i="4" s="1"/>
  <c r="AT74" i="4" s="1"/>
  <c r="AU74" i="4" s="1"/>
  <c r="T73" i="4"/>
  <c r="U73" i="4" s="1"/>
  <c r="V73" i="4" s="1"/>
  <c r="W73" i="4" s="1"/>
  <c r="X73" i="4" s="1"/>
  <c r="Y73" i="4" s="1"/>
  <c r="Z73" i="4" s="1"/>
  <c r="AA73" i="4" s="1"/>
  <c r="AB73" i="4" s="1"/>
  <c r="AC73" i="4" s="1"/>
  <c r="AD73" i="4" s="1"/>
  <c r="AE73" i="4" s="1"/>
  <c r="AF73" i="4" s="1"/>
  <c r="AG73" i="4" s="1"/>
  <c r="AH73" i="4" s="1"/>
  <c r="AI73" i="4" s="1"/>
  <c r="AJ73" i="4" s="1"/>
  <c r="AK73" i="4" s="1"/>
  <c r="AL73" i="4" s="1"/>
  <c r="AM73" i="4" s="1"/>
  <c r="AN73" i="4" s="1"/>
  <c r="AO73" i="4" s="1"/>
  <c r="AP73" i="4" s="1"/>
  <c r="AQ73" i="4" s="1"/>
  <c r="AR73" i="4" s="1"/>
  <c r="AS73" i="4" s="1"/>
  <c r="AT73" i="4" s="1"/>
  <c r="AU73" i="4" s="1"/>
  <c r="S73" i="4"/>
  <c r="S72" i="4"/>
  <c r="T72" i="4" s="1"/>
  <c r="U72" i="4" s="1"/>
  <c r="V72" i="4" s="1"/>
  <c r="W72" i="4" s="1"/>
  <c r="X72" i="4" s="1"/>
  <c r="Y72" i="4" s="1"/>
  <c r="Z72" i="4" s="1"/>
  <c r="AA72" i="4" s="1"/>
  <c r="AB72" i="4" s="1"/>
  <c r="AC72" i="4" s="1"/>
  <c r="AD72" i="4" s="1"/>
  <c r="AE72" i="4" s="1"/>
  <c r="AF72" i="4" s="1"/>
  <c r="AG72" i="4" s="1"/>
  <c r="AH72" i="4" s="1"/>
  <c r="AI72" i="4" s="1"/>
  <c r="AJ72" i="4" s="1"/>
  <c r="AK72" i="4" s="1"/>
  <c r="AL72" i="4" s="1"/>
  <c r="AM72" i="4" s="1"/>
  <c r="AN72" i="4" s="1"/>
  <c r="AO72" i="4" s="1"/>
  <c r="AP72" i="4" s="1"/>
  <c r="AQ72" i="4" s="1"/>
  <c r="AR72" i="4" s="1"/>
  <c r="AS72" i="4" s="1"/>
  <c r="AT72" i="4" s="1"/>
  <c r="AU72" i="4" s="1"/>
  <c r="S71" i="4"/>
  <c r="T71" i="4" s="1"/>
  <c r="U71" i="4" s="1"/>
  <c r="V71" i="4" s="1"/>
  <c r="W71" i="4" s="1"/>
  <c r="X71" i="4" s="1"/>
  <c r="Y71" i="4" s="1"/>
  <c r="Z71" i="4" s="1"/>
  <c r="AA71" i="4" s="1"/>
  <c r="AB71" i="4" s="1"/>
  <c r="AC71" i="4" s="1"/>
  <c r="AD71" i="4" s="1"/>
  <c r="AE71" i="4" s="1"/>
  <c r="AF71" i="4" s="1"/>
  <c r="AG71" i="4" s="1"/>
  <c r="AH71" i="4" s="1"/>
  <c r="AI71" i="4" s="1"/>
  <c r="AJ71" i="4" s="1"/>
  <c r="AK71" i="4" s="1"/>
  <c r="AL71" i="4" s="1"/>
  <c r="AM71" i="4" s="1"/>
  <c r="AN71" i="4" s="1"/>
  <c r="AO71" i="4" s="1"/>
  <c r="AP71" i="4" s="1"/>
  <c r="AQ71" i="4" s="1"/>
  <c r="AR71" i="4" s="1"/>
  <c r="AS71" i="4" s="1"/>
  <c r="AT71" i="4" s="1"/>
  <c r="AU71" i="4" s="1"/>
  <c r="S70" i="4"/>
  <c r="T70" i="4" s="1"/>
  <c r="U70" i="4" s="1"/>
  <c r="V70" i="4" s="1"/>
  <c r="W70" i="4" s="1"/>
  <c r="X70" i="4" s="1"/>
  <c r="Y70" i="4" s="1"/>
  <c r="Z70" i="4" s="1"/>
  <c r="AA70" i="4" s="1"/>
  <c r="AB70" i="4" s="1"/>
  <c r="AC70" i="4" s="1"/>
  <c r="AD70" i="4" s="1"/>
  <c r="AE70" i="4" s="1"/>
  <c r="AF70" i="4" s="1"/>
  <c r="AG70" i="4" s="1"/>
  <c r="AH70" i="4" s="1"/>
  <c r="AI70" i="4" s="1"/>
  <c r="AJ70" i="4" s="1"/>
  <c r="AK70" i="4" s="1"/>
  <c r="AL70" i="4" s="1"/>
  <c r="AM70" i="4" s="1"/>
  <c r="AN70" i="4" s="1"/>
  <c r="AO70" i="4" s="1"/>
  <c r="AP70" i="4" s="1"/>
  <c r="AQ70" i="4" s="1"/>
  <c r="AR70" i="4" s="1"/>
  <c r="AS70" i="4" s="1"/>
  <c r="AT70" i="4" s="1"/>
  <c r="AU70" i="4" s="1"/>
  <c r="T69" i="4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AH69" i="4" s="1"/>
  <c r="AI69" i="4" s="1"/>
  <c r="AJ69" i="4" s="1"/>
  <c r="AK69" i="4" s="1"/>
  <c r="AL69" i="4" s="1"/>
  <c r="AM69" i="4" s="1"/>
  <c r="AN69" i="4" s="1"/>
  <c r="AO69" i="4" s="1"/>
  <c r="AP69" i="4" s="1"/>
  <c r="AQ69" i="4" s="1"/>
  <c r="AR69" i="4" s="1"/>
  <c r="AS69" i="4" s="1"/>
  <c r="AT69" i="4" s="1"/>
  <c r="AU69" i="4" s="1"/>
  <c r="S69" i="4"/>
  <c r="S68" i="4"/>
  <c r="T68" i="4" s="1"/>
  <c r="U68" i="4" s="1"/>
  <c r="V68" i="4" s="1"/>
  <c r="W68" i="4" s="1"/>
  <c r="X68" i="4" s="1"/>
  <c r="Y68" i="4" s="1"/>
  <c r="Z68" i="4" s="1"/>
  <c r="AA68" i="4" s="1"/>
  <c r="AB68" i="4" s="1"/>
  <c r="AC68" i="4" s="1"/>
  <c r="AD68" i="4" s="1"/>
  <c r="AE68" i="4" s="1"/>
  <c r="AF68" i="4" s="1"/>
  <c r="AG68" i="4" s="1"/>
  <c r="AH68" i="4" s="1"/>
  <c r="AI68" i="4" s="1"/>
  <c r="AJ68" i="4" s="1"/>
  <c r="AK68" i="4" s="1"/>
  <c r="AL68" i="4" s="1"/>
  <c r="AM68" i="4" s="1"/>
  <c r="AN68" i="4" s="1"/>
  <c r="AO68" i="4" s="1"/>
  <c r="AP68" i="4" s="1"/>
  <c r="AQ68" i="4" s="1"/>
  <c r="AR68" i="4" s="1"/>
  <c r="AS68" i="4" s="1"/>
  <c r="AT68" i="4" s="1"/>
  <c r="AU68" i="4" s="1"/>
  <c r="U66" i="4"/>
  <c r="V66" i="4" s="1"/>
  <c r="W66" i="4" s="1"/>
  <c r="X66" i="4" s="1"/>
  <c r="Y66" i="4" s="1"/>
  <c r="Z66" i="4" s="1"/>
  <c r="AA66" i="4" s="1"/>
  <c r="AB66" i="4" s="1"/>
  <c r="AC66" i="4" s="1"/>
  <c r="AD66" i="4" s="1"/>
  <c r="AE66" i="4" s="1"/>
  <c r="AF66" i="4" s="1"/>
  <c r="AG66" i="4" s="1"/>
  <c r="AH66" i="4" s="1"/>
  <c r="AI66" i="4" s="1"/>
  <c r="AJ66" i="4" s="1"/>
  <c r="AK66" i="4" s="1"/>
  <c r="AL66" i="4" s="1"/>
  <c r="AM66" i="4" s="1"/>
  <c r="AN66" i="4" s="1"/>
  <c r="AO66" i="4" s="1"/>
  <c r="AP66" i="4" s="1"/>
  <c r="AQ66" i="4" s="1"/>
  <c r="AR66" i="4" s="1"/>
  <c r="AS66" i="4" s="1"/>
  <c r="AT66" i="4" s="1"/>
  <c r="AU66" i="4" s="1"/>
  <c r="T66" i="4"/>
  <c r="S66" i="4"/>
  <c r="A66" i="4"/>
  <c r="A67" i="4" s="1"/>
  <c r="A68" i="4" s="1"/>
  <c r="A69" i="4" s="1"/>
  <c r="A70" i="4" s="1"/>
  <c r="A71" i="4" s="1"/>
  <c r="A72" i="4" s="1"/>
  <c r="A73" i="4" s="1"/>
  <c r="A74" i="4" s="1"/>
  <c r="A75" i="4" s="1"/>
  <c r="AL65" i="4"/>
  <c r="AM65" i="4" s="1"/>
  <c r="AN65" i="4" s="1"/>
  <c r="AO65" i="4" s="1"/>
  <c r="AP65" i="4" s="1"/>
  <c r="AQ65" i="4" s="1"/>
  <c r="AR65" i="4" s="1"/>
  <c r="AS65" i="4" s="1"/>
  <c r="AT65" i="4" s="1"/>
  <c r="AU65" i="4" s="1"/>
  <c r="G290" i="3"/>
  <c r="G289" i="3" s="1"/>
  <c r="H290" i="3"/>
  <c r="H289" i="3" s="1"/>
  <c r="I290" i="3"/>
  <c r="I289" i="3" s="1"/>
  <c r="J290" i="3"/>
  <c r="J289" i="3" s="1"/>
  <c r="K290" i="3"/>
  <c r="K289" i="3" s="1"/>
  <c r="L290" i="3"/>
  <c r="L289" i="3" s="1"/>
  <c r="M290" i="3"/>
  <c r="M289" i="3" s="1"/>
  <c r="N290" i="3"/>
  <c r="N289" i="3" s="1"/>
  <c r="O290" i="3"/>
  <c r="O289" i="3" s="1"/>
  <c r="P290" i="3"/>
  <c r="P291" i="3" s="1"/>
  <c r="Q290" i="3"/>
  <c r="Q289" i="3" s="1"/>
  <c r="R290" i="3"/>
  <c r="R289" i="3" s="1"/>
  <c r="S290" i="3"/>
  <c r="S289" i="3" s="1"/>
  <c r="T290" i="3"/>
  <c r="T289" i="3" s="1"/>
  <c r="U290" i="3"/>
  <c r="U289" i="3" s="1"/>
  <c r="V290" i="3"/>
  <c r="V289" i="3" s="1"/>
  <c r="W290" i="3"/>
  <c r="W289" i="3" s="1"/>
  <c r="X290" i="3"/>
  <c r="X289" i="3" s="1"/>
  <c r="Y290" i="3"/>
  <c r="Y289" i="3" s="1"/>
  <c r="Z290" i="3"/>
  <c r="Z289" i="3" s="1"/>
  <c r="AA290" i="3"/>
  <c r="AA289" i="3" s="1"/>
  <c r="AB290" i="3"/>
  <c r="AB289" i="3" s="1"/>
  <c r="AC290" i="3"/>
  <c r="AC289" i="3" s="1"/>
  <c r="AD290" i="3"/>
  <c r="AD289" i="3" s="1"/>
  <c r="AE290" i="3"/>
  <c r="AE289" i="3" s="1"/>
  <c r="F290" i="3"/>
  <c r="F289" i="3" s="1"/>
  <c r="G293" i="3"/>
  <c r="G292" i="3" s="1"/>
  <c r="H293" i="3"/>
  <c r="H292" i="3" s="1"/>
  <c r="I293" i="3"/>
  <c r="I292" i="3" s="1"/>
  <c r="J293" i="3"/>
  <c r="J292" i="3" s="1"/>
  <c r="K293" i="3"/>
  <c r="K292" i="3" s="1"/>
  <c r="L293" i="3"/>
  <c r="L292" i="3" s="1"/>
  <c r="M293" i="3"/>
  <c r="M292" i="3" s="1"/>
  <c r="N293" i="3"/>
  <c r="N292" i="3" s="1"/>
  <c r="O293" i="3"/>
  <c r="O292" i="3" s="1"/>
  <c r="P293" i="3"/>
  <c r="P292" i="3" s="1"/>
  <c r="Q293" i="3"/>
  <c r="Q292" i="3" s="1"/>
  <c r="R293" i="3"/>
  <c r="R292" i="3" s="1"/>
  <c r="S293" i="3"/>
  <c r="S292" i="3" s="1"/>
  <c r="T293" i="3"/>
  <c r="T292" i="3" s="1"/>
  <c r="U293" i="3"/>
  <c r="U292" i="3" s="1"/>
  <c r="V293" i="3"/>
  <c r="V292" i="3" s="1"/>
  <c r="W293" i="3"/>
  <c r="W294" i="3" s="1"/>
  <c r="X293" i="3"/>
  <c r="X292" i="3" s="1"/>
  <c r="Y293" i="3"/>
  <c r="Y292" i="3" s="1"/>
  <c r="Z293" i="3"/>
  <c r="Z292" i="3" s="1"/>
  <c r="AA293" i="3"/>
  <c r="AA292" i="3" s="1"/>
  <c r="AB293" i="3"/>
  <c r="AB292" i="3" s="1"/>
  <c r="AC293" i="3"/>
  <c r="AC292" i="3" s="1"/>
  <c r="AD293" i="3"/>
  <c r="AD292" i="3" s="1"/>
  <c r="AE293" i="3"/>
  <c r="F293" i="3"/>
  <c r="F292" i="3" s="1"/>
  <c r="G296" i="3"/>
  <c r="G295" i="3" s="1"/>
  <c r="H296" i="3"/>
  <c r="H295" i="3" s="1"/>
  <c r="I296" i="3"/>
  <c r="I295" i="3" s="1"/>
  <c r="J296" i="3"/>
  <c r="J295" i="3" s="1"/>
  <c r="K296" i="3"/>
  <c r="K295" i="3" s="1"/>
  <c r="L296" i="3"/>
  <c r="L295" i="3" s="1"/>
  <c r="M296" i="3"/>
  <c r="M295" i="3" s="1"/>
  <c r="N296" i="3"/>
  <c r="N295" i="3" s="1"/>
  <c r="O296" i="3"/>
  <c r="O295" i="3" s="1"/>
  <c r="P296" i="3"/>
  <c r="P295" i="3" s="1"/>
  <c r="Q296" i="3"/>
  <c r="Q295" i="3" s="1"/>
  <c r="R296" i="3"/>
  <c r="R295" i="3" s="1"/>
  <c r="S296" i="3"/>
  <c r="S297" i="3" s="1"/>
  <c r="T296" i="3"/>
  <c r="T295" i="3" s="1"/>
  <c r="U296" i="3"/>
  <c r="U295" i="3" s="1"/>
  <c r="V296" i="3"/>
  <c r="V295" i="3" s="1"/>
  <c r="W296" i="3"/>
  <c r="W295" i="3" s="1"/>
  <c r="X296" i="3"/>
  <c r="X295" i="3" s="1"/>
  <c r="Y296" i="3"/>
  <c r="Y295" i="3" s="1"/>
  <c r="Z296" i="3"/>
  <c r="Z295" i="3" s="1"/>
  <c r="AA296" i="3"/>
  <c r="AA295" i="3" s="1"/>
  <c r="AB296" i="3"/>
  <c r="AB295" i="3" s="1"/>
  <c r="AC296" i="3"/>
  <c r="AC295" i="3" s="1"/>
  <c r="AD296" i="3"/>
  <c r="AD295" i="3" s="1"/>
  <c r="AE296" i="3"/>
  <c r="F296" i="3"/>
  <c r="F295" i="3" s="1"/>
  <c r="A259" i="3"/>
  <c r="A260" i="3" s="1"/>
  <c r="A261" i="3" s="1"/>
  <c r="A262" i="3" s="1"/>
  <c r="A263" i="3" s="1"/>
  <c r="A264" i="3" s="1"/>
  <c r="A265" i="3" s="1"/>
  <c r="A266" i="3" s="1"/>
  <c r="A255" i="3" s="1"/>
  <c r="A256" i="3" s="1"/>
  <c r="A257" i="3" s="1"/>
  <c r="A267" i="3" s="1"/>
  <c r="A268" i="3" s="1"/>
  <c r="A269" i="3" s="1"/>
  <c r="A270" i="3" s="1"/>
  <c r="A271" i="3" s="1"/>
  <c r="A242" i="3"/>
  <c r="A243" i="3" s="1"/>
  <c r="A244" i="3" s="1"/>
  <c r="A245" i="3" s="1"/>
  <c r="A246" i="3" s="1"/>
  <c r="A247" i="3" s="1"/>
  <c r="A248" i="3" s="1"/>
  <c r="A249" i="3" s="1"/>
  <c r="A238" i="3" s="1"/>
  <c r="A239" i="3" s="1"/>
  <c r="A240" i="3" s="1"/>
  <c r="A250" i="3" s="1"/>
  <c r="A251" i="3" s="1"/>
  <c r="A252" i="3" s="1"/>
  <c r="A253" i="3" s="1"/>
  <c r="A254" i="3" s="1"/>
  <c r="AF274" i="3"/>
  <c r="AG274" i="3" s="1"/>
  <c r="AH274" i="3" s="1"/>
  <c r="AI274" i="3" s="1"/>
  <c r="AJ274" i="3" s="1"/>
  <c r="AK274" i="3" s="1"/>
  <c r="AL274" i="3" s="1"/>
  <c r="AM274" i="3" s="1"/>
  <c r="AN274" i="3" s="1"/>
  <c r="AO274" i="3" s="1"/>
  <c r="AF273" i="3"/>
  <c r="AG273" i="3" s="1"/>
  <c r="AG296" i="3" s="1"/>
  <c r="AF272" i="3"/>
  <c r="AG272" i="3" s="1"/>
  <c r="AH272" i="3" s="1"/>
  <c r="AI272" i="3" s="1"/>
  <c r="AJ272" i="3" s="1"/>
  <c r="AK272" i="3" s="1"/>
  <c r="AL272" i="3" s="1"/>
  <c r="AM272" i="3" s="1"/>
  <c r="AN272" i="3" s="1"/>
  <c r="AO272" i="3" s="1"/>
  <c r="AF240" i="3"/>
  <c r="AG240" i="3" s="1"/>
  <c r="AH240" i="3" s="1"/>
  <c r="AI240" i="3" s="1"/>
  <c r="AJ240" i="3" s="1"/>
  <c r="AK240" i="3" s="1"/>
  <c r="AL240" i="3" s="1"/>
  <c r="AM240" i="3" s="1"/>
  <c r="AN240" i="3" s="1"/>
  <c r="AO240" i="3" s="1"/>
  <c r="AF239" i="3"/>
  <c r="AG239" i="3" s="1"/>
  <c r="AG290" i="3" s="1"/>
  <c r="AF238" i="3"/>
  <c r="AG238" i="3" s="1"/>
  <c r="AH238" i="3" s="1"/>
  <c r="AI238" i="3" s="1"/>
  <c r="AJ238" i="3" s="1"/>
  <c r="AK238" i="3" s="1"/>
  <c r="AL238" i="3" s="1"/>
  <c r="AM238" i="3" s="1"/>
  <c r="AN238" i="3" s="1"/>
  <c r="AO238" i="3" s="1"/>
  <c r="AF257" i="3"/>
  <c r="AG257" i="3" s="1"/>
  <c r="AH257" i="3" s="1"/>
  <c r="AI257" i="3" s="1"/>
  <c r="AJ257" i="3" s="1"/>
  <c r="AK257" i="3" s="1"/>
  <c r="AL257" i="3" s="1"/>
  <c r="AM257" i="3" s="1"/>
  <c r="AN257" i="3" s="1"/>
  <c r="AO257" i="3" s="1"/>
  <c r="AF256" i="3"/>
  <c r="AG256" i="3" s="1"/>
  <c r="AG293" i="3" s="1"/>
  <c r="AF255" i="3"/>
  <c r="AG255" i="3" s="1"/>
  <c r="AH255" i="3" s="1"/>
  <c r="AI255" i="3" s="1"/>
  <c r="AJ255" i="3" s="1"/>
  <c r="AK255" i="3" s="1"/>
  <c r="AL255" i="3" s="1"/>
  <c r="AM255" i="3" s="1"/>
  <c r="AN255" i="3" s="1"/>
  <c r="AO255" i="3" s="1"/>
  <c r="E296" i="3"/>
  <c r="E297" i="3" s="1"/>
  <c r="E293" i="3"/>
  <c r="E294" i="3" s="1"/>
  <c r="AB291" i="3"/>
  <c r="E290" i="3"/>
  <c r="E291" i="3" s="1"/>
  <c r="T297" i="3" l="1"/>
  <c r="H291" i="3"/>
  <c r="P289" i="3"/>
  <c r="A373" i="3"/>
  <c r="A374" i="3" s="1"/>
  <c r="A375" i="3" s="1"/>
  <c r="A376" i="3" s="1"/>
  <c r="A377" i="3" s="1"/>
  <c r="A378" i="3" s="1"/>
  <c r="A379" i="3" s="1"/>
  <c r="A372" i="3"/>
  <c r="A392" i="3"/>
  <c r="A393" i="3" s="1"/>
  <c r="A394" i="3" s="1"/>
  <c r="A395" i="3" s="1"/>
  <c r="A396" i="3" s="1"/>
  <c r="A397" i="3" s="1"/>
  <c r="A398" i="3" s="1"/>
  <c r="A391" i="3"/>
  <c r="A410" i="3"/>
  <c r="A411" i="3"/>
  <c r="A412" i="3" s="1"/>
  <c r="A413" i="3" s="1"/>
  <c r="A414" i="3" s="1"/>
  <c r="A415" i="3" s="1"/>
  <c r="A416" i="3" s="1"/>
  <c r="A417" i="3" s="1"/>
  <c r="E404" i="3"/>
  <c r="E405" i="3" s="1"/>
  <c r="E406" i="3" s="1"/>
  <c r="E407" i="3" s="1"/>
  <c r="E408" i="3" s="1"/>
  <c r="S295" i="3"/>
  <c r="G294" i="3"/>
  <c r="W292" i="3"/>
  <c r="O294" i="3"/>
  <c r="AF296" i="3"/>
  <c r="AF295" i="3" s="1"/>
  <c r="A78" i="4"/>
  <c r="A80" i="4" s="1"/>
  <c r="A81" i="4" s="1"/>
  <c r="A82" i="4" s="1"/>
  <c r="A83" i="4" s="1"/>
  <c r="A84" i="4" s="1"/>
  <c r="A85" i="4" s="1"/>
  <c r="A76" i="4"/>
  <c r="A97" i="4"/>
  <c r="A99" i="4"/>
  <c r="A101" i="4" s="1"/>
  <c r="A102" i="4" s="1"/>
  <c r="A103" i="4" s="1"/>
  <c r="A104" i="4" s="1"/>
  <c r="A105" i="4" s="1"/>
  <c r="A106" i="4" s="1"/>
  <c r="A119" i="4"/>
  <c r="A121" i="4"/>
  <c r="A120" i="4"/>
  <c r="A122" i="4" s="1"/>
  <c r="A123" i="4" s="1"/>
  <c r="A124" i="4" s="1"/>
  <c r="A125" i="4" s="1"/>
  <c r="A126" i="4" s="1"/>
  <c r="A127" i="4" s="1"/>
  <c r="AF290" i="3"/>
  <c r="AF291" i="3" s="1"/>
  <c r="AF293" i="3"/>
  <c r="AF292" i="3" s="1"/>
  <c r="R294" i="3"/>
  <c r="M297" i="3"/>
  <c r="X291" i="3"/>
  <c r="V291" i="3"/>
  <c r="N291" i="3"/>
  <c r="AC297" i="3"/>
  <c r="F291" i="3"/>
  <c r="K294" i="3"/>
  <c r="AD291" i="3"/>
  <c r="R297" i="3"/>
  <c r="L291" i="3"/>
  <c r="AD297" i="3"/>
  <c r="AC294" i="3"/>
  <c r="M294" i="3"/>
  <c r="N297" i="3"/>
  <c r="U291" i="3"/>
  <c r="AB294" i="3"/>
  <c r="Z294" i="3"/>
  <c r="L294" i="3"/>
  <c r="AA297" i="3"/>
  <c r="L297" i="3"/>
  <c r="J294" i="3"/>
  <c r="M291" i="3"/>
  <c r="T291" i="3"/>
  <c r="AB297" i="3"/>
  <c r="S291" i="3"/>
  <c r="R291" i="3"/>
  <c r="V297" i="3"/>
  <c r="K297" i="3"/>
  <c r="U294" i="3"/>
  <c r="AC291" i="3"/>
  <c r="U297" i="3"/>
  <c r="F297" i="3"/>
  <c r="T294" i="3"/>
  <c r="AH239" i="3"/>
  <c r="AH290" i="3" s="1"/>
  <c r="AH273" i="3"/>
  <c r="AI273" i="3" s="1"/>
  <c r="AI296" i="3" s="1"/>
  <c r="Q297" i="3"/>
  <c r="AE295" i="3"/>
  <c r="Z291" i="3"/>
  <c r="AA291" i="3"/>
  <c r="K291" i="3"/>
  <c r="J291" i="3"/>
  <c r="E289" i="3"/>
  <c r="Z297" i="3"/>
  <c r="Y297" i="3"/>
  <c r="J297" i="3"/>
  <c r="I297" i="3"/>
  <c r="AH256" i="3"/>
  <c r="S294" i="3"/>
  <c r="AE292" i="3"/>
  <c r="AA294" i="3"/>
  <c r="Y294" i="3"/>
  <c r="Q294" i="3"/>
  <c r="I294" i="3"/>
  <c r="X294" i="3"/>
  <c r="P294" i="3"/>
  <c r="H294" i="3"/>
  <c r="AD294" i="3"/>
  <c r="V294" i="3"/>
  <c r="N294" i="3"/>
  <c r="F294" i="3"/>
  <c r="X297" i="3"/>
  <c r="P297" i="3"/>
  <c r="H297" i="3"/>
  <c r="W297" i="3"/>
  <c r="O297" i="3"/>
  <c r="G297" i="3"/>
  <c r="E295" i="3"/>
  <c r="E292" i="3"/>
  <c r="Y291" i="3"/>
  <c r="Q291" i="3"/>
  <c r="I291" i="3"/>
  <c r="AE291" i="3"/>
  <c r="W291" i="3"/>
  <c r="O291" i="3"/>
  <c r="G291" i="3"/>
  <c r="AF289" i="3" l="1"/>
  <c r="A100" i="4"/>
  <c r="A98" i="4"/>
  <c r="A79" i="4"/>
  <c r="A77" i="4"/>
  <c r="AG295" i="3"/>
  <c r="AH296" i="3"/>
  <c r="AG292" i="3"/>
  <c r="AH293" i="3"/>
  <c r="AG289" i="3"/>
  <c r="AG291" i="3"/>
  <c r="AI239" i="3"/>
  <c r="AI290" i="3" s="1"/>
  <c r="AE294" i="3"/>
  <c r="AE297" i="3"/>
  <c r="AI256" i="3"/>
  <c r="AI293" i="3" s="1"/>
  <c r="AG297" i="3"/>
  <c r="AF294" i="3"/>
  <c r="AF297" i="3"/>
  <c r="AJ273" i="3"/>
  <c r="AJ296" i="3" s="1"/>
  <c r="AJ239" i="3"/>
  <c r="AJ290" i="3" s="1"/>
  <c r="AG294" i="3"/>
  <c r="AJ256" i="3" l="1"/>
  <c r="AJ293" i="3" s="1"/>
  <c r="AH295" i="3"/>
  <c r="AH297" i="3"/>
  <c r="AK273" i="3"/>
  <c r="AK296" i="3" s="1"/>
  <c r="AK239" i="3"/>
  <c r="AK290" i="3" s="1"/>
  <c r="AH289" i="3"/>
  <c r="AH291" i="3"/>
  <c r="AH294" i="3"/>
  <c r="AH292" i="3"/>
  <c r="AK256" i="3" l="1"/>
  <c r="AK293" i="3" s="1"/>
  <c r="AI295" i="3"/>
  <c r="AI297" i="3"/>
  <c r="AL273" i="3"/>
  <c r="AL296" i="3" s="1"/>
  <c r="AL239" i="3"/>
  <c r="AL290" i="3" s="1"/>
  <c r="AI289" i="3"/>
  <c r="AI291" i="3"/>
  <c r="AI292" i="3"/>
  <c r="AI294" i="3"/>
  <c r="AL256" i="3" l="1"/>
  <c r="AL293" i="3" s="1"/>
  <c r="AJ295" i="3"/>
  <c r="AJ297" i="3"/>
  <c r="AM273" i="3"/>
  <c r="AM296" i="3" s="1"/>
  <c r="AM239" i="3"/>
  <c r="AM290" i="3" s="1"/>
  <c r="AJ289" i="3"/>
  <c r="AJ291" i="3"/>
  <c r="AJ294" i="3"/>
  <c r="AJ292" i="3"/>
  <c r="AM256" i="3" l="1"/>
  <c r="AM293" i="3" s="1"/>
  <c r="AK295" i="3"/>
  <c r="AK297" i="3"/>
  <c r="AN273" i="3"/>
  <c r="AN296" i="3" s="1"/>
  <c r="AN239" i="3"/>
  <c r="AN290" i="3" s="1"/>
  <c r="AK289" i="3"/>
  <c r="AK291" i="3"/>
  <c r="AK294" i="3"/>
  <c r="AK292" i="3"/>
  <c r="AN256" i="3" l="1"/>
  <c r="AN293" i="3" s="1"/>
  <c r="AO273" i="3"/>
  <c r="AO296" i="3" s="1"/>
  <c r="AL295" i="3"/>
  <c r="AL297" i="3"/>
  <c r="AL289" i="3"/>
  <c r="AL291" i="3"/>
  <c r="AO239" i="3"/>
  <c r="AO290" i="3" s="1"/>
  <c r="AL292" i="3"/>
  <c r="AL294" i="3"/>
  <c r="AO256" i="3" l="1"/>
  <c r="AO293" i="3" s="1"/>
  <c r="AO289" i="3"/>
  <c r="AO291" i="3"/>
  <c r="AO295" i="3"/>
  <c r="AO297" i="3"/>
  <c r="AM295" i="3"/>
  <c r="AM297" i="3"/>
  <c r="AN295" i="3"/>
  <c r="AN297" i="3"/>
  <c r="AM289" i="3"/>
  <c r="AM291" i="3"/>
  <c r="AN289" i="3"/>
  <c r="AN291" i="3"/>
  <c r="AM292" i="3"/>
  <c r="AM294" i="3"/>
  <c r="AN292" i="3" l="1"/>
  <c r="AN294" i="3"/>
  <c r="AO292" i="3"/>
  <c r="AO294" i="3"/>
  <c r="F242" i="3" l="1"/>
  <c r="G242" i="3" s="1"/>
  <c r="H242" i="3" s="1"/>
  <c r="I242" i="3" s="1"/>
  <c r="J242" i="3" s="1"/>
  <c r="K242" i="3" s="1"/>
  <c r="L242" i="3" s="1"/>
  <c r="M242" i="3" s="1"/>
  <c r="N242" i="3" s="1"/>
  <c r="O242" i="3" s="1"/>
  <c r="P242" i="3" s="1"/>
  <c r="Q242" i="3" s="1"/>
  <c r="R242" i="3" s="1"/>
  <c r="S242" i="3" s="1"/>
  <c r="T242" i="3" s="1"/>
  <c r="U242" i="3" s="1"/>
  <c r="V242" i="3" s="1"/>
  <c r="W242" i="3" s="1"/>
  <c r="X242" i="3" s="1"/>
  <c r="Y242" i="3" s="1"/>
  <c r="Z242" i="3" s="1"/>
  <c r="AA242" i="3" s="1"/>
  <c r="AB242" i="3" s="1"/>
  <c r="AC242" i="3" s="1"/>
  <c r="AD242" i="3" s="1"/>
  <c r="AE242" i="3" s="1"/>
  <c r="AF242" i="3" s="1"/>
  <c r="AG242" i="3" s="1"/>
  <c r="AH242" i="3" s="1"/>
  <c r="AI242" i="3" s="1"/>
  <c r="AJ242" i="3" s="1"/>
  <c r="AK242" i="3" s="1"/>
  <c r="AL242" i="3" s="1"/>
  <c r="AM242" i="3" s="1"/>
  <c r="AN242" i="3" s="1"/>
  <c r="AO242" i="3" s="1"/>
  <c r="F259" i="3"/>
  <c r="G259" i="3" s="1"/>
  <c r="H259" i="3" s="1"/>
  <c r="I259" i="3" s="1"/>
  <c r="J259" i="3" s="1"/>
  <c r="K259" i="3" s="1"/>
  <c r="L259" i="3" s="1"/>
  <c r="M259" i="3" s="1"/>
  <c r="N259" i="3" s="1"/>
  <c r="O259" i="3" s="1"/>
  <c r="P259" i="3" s="1"/>
  <c r="Q259" i="3" s="1"/>
  <c r="R259" i="3" s="1"/>
  <c r="S259" i="3" s="1"/>
  <c r="T259" i="3" s="1"/>
  <c r="U259" i="3" s="1"/>
  <c r="V259" i="3" s="1"/>
  <c r="W259" i="3" s="1"/>
  <c r="X259" i="3" s="1"/>
  <c r="Y259" i="3" s="1"/>
  <c r="Z259" i="3" s="1"/>
  <c r="AA259" i="3" s="1"/>
  <c r="AB259" i="3" s="1"/>
  <c r="AC259" i="3" s="1"/>
  <c r="AD259" i="3" s="1"/>
  <c r="AE259" i="3" s="1"/>
  <c r="AF259" i="3" s="1"/>
  <c r="AG259" i="3" s="1"/>
  <c r="AH259" i="3" s="1"/>
  <c r="AI259" i="3" s="1"/>
  <c r="AJ259" i="3" s="1"/>
  <c r="AK259" i="3" s="1"/>
  <c r="AL259" i="3" s="1"/>
  <c r="AM259" i="3" s="1"/>
  <c r="AN259" i="3" s="1"/>
  <c r="AO259" i="3" s="1"/>
  <c r="N16" i="8" l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AH16" i="8" s="1"/>
  <c r="AI16" i="8" s="1"/>
  <c r="AJ16" i="8" s="1"/>
  <c r="AK16" i="8" s="1"/>
  <c r="AL16" i="8" s="1"/>
  <c r="AM16" i="8" s="1"/>
  <c r="AN16" i="8" s="1"/>
  <c r="AO16" i="8" s="1"/>
  <c r="AP16" i="8" s="1"/>
  <c r="AQ16" i="8" s="1"/>
  <c r="AR16" i="8" s="1"/>
  <c r="AS16" i="8" s="1"/>
  <c r="AT16" i="8" s="1"/>
  <c r="AU16" i="8" s="1"/>
  <c r="J17" i="1"/>
  <c r="I17" i="1"/>
  <c r="H17" i="1"/>
  <c r="G17" i="1"/>
  <c r="F17" i="1"/>
  <c r="E17" i="1"/>
  <c r="D17" i="1"/>
  <c r="K24" i="1"/>
  <c r="K23" i="1"/>
  <c r="K22" i="1"/>
  <c r="K21" i="1"/>
  <c r="K20" i="1"/>
  <c r="K19" i="1"/>
  <c r="K18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R15" i="8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AH15" i="8" s="1"/>
  <c r="AI15" i="8" s="1"/>
  <c r="AJ15" i="8" s="1"/>
  <c r="AK15" i="8" s="1"/>
  <c r="AL15" i="8" s="1"/>
  <c r="AM15" i="8" s="1"/>
  <c r="AN15" i="8" s="1"/>
  <c r="AO15" i="8" s="1"/>
  <c r="AP15" i="8" s="1"/>
  <c r="AQ15" i="8" s="1"/>
  <c r="AR15" i="8" s="1"/>
  <c r="AS15" i="8" s="1"/>
  <c r="AT15" i="8" s="1"/>
  <c r="AU15" i="8" s="1"/>
  <c r="S61" i="8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AH61" i="8" s="1"/>
  <c r="AI61" i="8" s="1"/>
  <c r="AJ61" i="8" s="1"/>
  <c r="AK61" i="8" s="1"/>
  <c r="AL61" i="8" s="1"/>
  <c r="AM61" i="8" s="1"/>
  <c r="AN61" i="8" s="1"/>
  <c r="AO61" i="8" s="1"/>
  <c r="AP61" i="8" s="1"/>
  <c r="AQ61" i="8" s="1"/>
  <c r="AR61" i="8" s="1"/>
  <c r="AS61" i="8" s="1"/>
  <c r="AT61" i="8" s="1"/>
  <c r="AU61" i="8" s="1"/>
  <c r="A58" i="4"/>
  <c r="S16" i="4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F455" i="3"/>
  <c r="AG455" i="3" s="1"/>
  <c r="AH455" i="3" s="1"/>
  <c r="AI455" i="3" s="1"/>
  <c r="AJ455" i="3" s="1"/>
  <c r="AK455" i="3" s="1"/>
  <c r="AL455" i="3" s="1"/>
  <c r="AM455" i="3" s="1"/>
  <c r="AN455" i="3" s="1"/>
  <c r="AO455" i="3" s="1"/>
  <c r="L480" i="3"/>
  <c r="M480" i="3" s="1"/>
  <c r="N480" i="3" s="1"/>
  <c r="O480" i="3" s="1"/>
  <c r="P480" i="3" s="1"/>
  <c r="Q480" i="3" s="1"/>
  <c r="R480" i="3" s="1"/>
  <c r="S480" i="3" s="1"/>
  <c r="T480" i="3" s="1"/>
  <c r="U480" i="3" s="1"/>
  <c r="V480" i="3" s="1"/>
  <c r="W480" i="3" s="1"/>
  <c r="X480" i="3" s="1"/>
  <c r="Y480" i="3" s="1"/>
  <c r="Z480" i="3" s="1"/>
  <c r="AA480" i="3" s="1"/>
  <c r="AB480" i="3" s="1"/>
  <c r="AC480" i="3" s="1"/>
  <c r="AD480" i="3" s="1"/>
  <c r="AE480" i="3" s="1"/>
  <c r="AF480" i="3" s="1"/>
  <c r="AG480" i="3" s="1"/>
  <c r="AH480" i="3" s="1"/>
  <c r="AI480" i="3" s="1"/>
  <c r="AJ480" i="3" s="1"/>
  <c r="AK480" i="3" s="1"/>
  <c r="AL480" i="3" s="1"/>
  <c r="AM480" i="3" s="1"/>
  <c r="AN480" i="3" s="1"/>
  <c r="AO480" i="3" s="1"/>
  <c r="AF507" i="3"/>
  <c r="AG507" i="3" s="1"/>
  <c r="AH507" i="3" s="1"/>
  <c r="AI507" i="3" s="1"/>
  <c r="AJ507" i="3" s="1"/>
  <c r="AK507" i="3" s="1"/>
  <c r="AL507" i="3" s="1"/>
  <c r="AM507" i="3" s="1"/>
  <c r="AN507" i="3" s="1"/>
  <c r="AO507" i="3" s="1"/>
  <c r="AF118" i="3"/>
  <c r="AG118" i="3" s="1"/>
  <c r="AH118" i="3" s="1"/>
  <c r="AI118" i="3" s="1"/>
  <c r="AJ118" i="3" s="1"/>
  <c r="AK118" i="3" s="1"/>
  <c r="AL118" i="3" s="1"/>
  <c r="AM118" i="3" s="1"/>
  <c r="AN118" i="3" s="1"/>
  <c r="AO118" i="3" s="1"/>
  <c r="AF65" i="3"/>
  <c r="AG65" i="3" s="1"/>
  <c r="AH65" i="3" s="1"/>
  <c r="AI65" i="3" s="1"/>
  <c r="AJ65" i="3" s="1"/>
  <c r="AK65" i="3" s="1"/>
  <c r="AL65" i="3" s="1"/>
  <c r="AM65" i="3" s="1"/>
  <c r="AN65" i="3" s="1"/>
  <c r="AO65" i="3" s="1"/>
  <c r="C290" i="3" l="1"/>
  <c r="J24" i="1"/>
  <c r="J23" i="1"/>
  <c r="J22" i="1"/>
  <c r="J21" i="1"/>
  <c r="J20" i="1"/>
  <c r="J19" i="1"/>
  <c r="J18" i="1"/>
  <c r="J16" i="1"/>
  <c r="J15" i="1"/>
  <c r="J8" i="1"/>
  <c r="J7" i="1"/>
  <c r="J6" i="1"/>
  <c r="J5" i="1"/>
  <c r="J4" i="1"/>
  <c r="J3" i="1"/>
  <c r="J2" i="1"/>
  <c r="F303" i="3"/>
  <c r="G303" i="3" s="1"/>
  <c r="H303" i="3" s="1"/>
  <c r="I303" i="3" s="1"/>
  <c r="J303" i="3" s="1"/>
  <c r="K303" i="3" s="1"/>
  <c r="L303" i="3" s="1"/>
  <c r="M303" i="3" s="1"/>
  <c r="N303" i="3" s="1"/>
  <c r="O303" i="3" s="1"/>
  <c r="P303" i="3" s="1"/>
  <c r="Q303" i="3" s="1"/>
  <c r="R303" i="3" s="1"/>
  <c r="S303" i="3" s="1"/>
  <c r="T303" i="3" s="1"/>
  <c r="U303" i="3" s="1"/>
  <c r="V303" i="3" s="1"/>
  <c r="W303" i="3" s="1"/>
  <c r="X303" i="3" s="1"/>
  <c r="Y303" i="3" s="1"/>
  <c r="Z303" i="3" s="1"/>
  <c r="AA303" i="3" s="1"/>
  <c r="AB303" i="3" s="1"/>
  <c r="AC303" i="3" s="1"/>
  <c r="AD303" i="3" s="1"/>
  <c r="AE303" i="3" s="1"/>
  <c r="AF303" i="3" s="1"/>
  <c r="AG303" i="3" s="1"/>
  <c r="AH303" i="3" s="1"/>
  <c r="AI303" i="3" s="1"/>
  <c r="AJ303" i="3" s="1"/>
  <c r="AK303" i="3" s="1"/>
  <c r="AL303" i="3" s="1"/>
  <c r="AM303" i="3" s="1"/>
  <c r="AN303" i="3" s="1"/>
  <c r="AO303" i="3" s="1"/>
  <c r="F302" i="3"/>
  <c r="G302" i="3" s="1"/>
  <c r="H302" i="3" s="1"/>
  <c r="I302" i="3" s="1"/>
  <c r="J302" i="3" s="1"/>
  <c r="K302" i="3" s="1"/>
  <c r="L302" i="3" s="1"/>
  <c r="M302" i="3" s="1"/>
  <c r="N302" i="3" s="1"/>
  <c r="O302" i="3" s="1"/>
  <c r="P302" i="3" s="1"/>
  <c r="Q302" i="3" s="1"/>
  <c r="R302" i="3" s="1"/>
  <c r="S302" i="3" s="1"/>
  <c r="T302" i="3" s="1"/>
  <c r="U302" i="3" s="1"/>
  <c r="V302" i="3" s="1"/>
  <c r="W302" i="3" s="1"/>
  <c r="X302" i="3" s="1"/>
  <c r="Y302" i="3" s="1"/>
  <c r="Z302" i="3" s="1"/>
  <c r="AA302" i="3" s="1"/>
  <c r="AB302" i="3" s="1"/>
  <c r="AC302" i="3" s="1"/>
  <c r="AD302" i="3" s="1"/>
  <c r="AE302" i="3" s="1"/>
  <c r="AF302" i="3" s="1"/>
  <c r="AG302" i="3" s="1"/>
  <c r="AH302" i="3" s="1"/>
  <c r="AI302" i="3" s="1"/>
  <c r="AJ302" i="3" s="1"/>
  <c r="AK302" i="3" s="1"/>
  <c r="AL302" i="3" s="1"/>
  <c r="AM302" i="3" s="1"/>
  <c r="AN302" i="3" s="1"/>
  <c r="AO302" i="3" s="1"/>
  <c r="F301" i="3"/>
  <c r="G301" i="3" s="1"/>
  <c r="H301" i="3" s="1"/>
  <c r="I301" i="3" s="1"/>
  <c r="J301" i="3" s="1"/>
  <c r="K301" i="3" s="1"/>
  <c r="L301" i="3" s="1"/>
  <c r="M301" i="3" s="1"/>
  <c r="N301" i="3" s="1"/>
  <c r="O301" i="3" s="1"/>
  <c r="P301" i="3" s="1"/>
  <c r="Q301" i="3" s="1"/>
  <c r="R301" i="3" s="1"/>
  <c r="S301" i="3" s="1"/>
  <c r="T301" i="3" s="1"/>
  <c r="U301" i="3" s="1"/>
  <c r="V301" i="3" s="1"/>
  <c r="W301" i="3" s="1"/>
  <c r="X301" i="3" s="1"/>
  <c r="Y301" i="3" s="1"/>
  <c r="Z301" i="3" s="1"/>
  <c r="AA301" i="3" s="1"/>
  <c r="AB301" i="3" s="1"/>
  <c r="AC301" i="3" s="1"/>
  <c r="AD301" i="3" s="1"/>
  <c r="AE301" i="3" s="1"/>
  <c r="AF301" i="3" s="1"/>
  <c r="AG301" i="3" s="1"/>
  <c r="AH301" i="3" s="1"/>
  <c r="AI301" i="3" s="1"/>
  <c r="AJ301" i="3" s="1"/>
  <c r="AK301" i="3" s="1"/>
  <c r="AL301" i="3" s="1"/>
  <c r="AM301" i="3" s="1"/>
  <c r="AN301" i="3" s="1"/>
  <c r="AO301" i="3" s="1"/>
  <c r="A302" i="3"/>
  <c r="A303" i="3" s="1"/>
  <c r="G10" i="5" l="1"/>
  <c r="G5" i="5"/>
  <c r="L4" i="4"/>
  <c r="L46" i="4"/>
  <c r="L25" i="4"/>
  <c r="G11" i="5"/>
  <c r="G6" i="5"/>
  <c r="G4" i="5"/>
  <c r="H3" i="5"/>
  <c r="H2" i="5"/>
  <c r="M4" i="4" s="1"/>
  <c r="Q65" i="8"/>
  <c r="R65" i="8" s="1"/>
  <c r="S65" i="8" s="1"/>
  <c r="T65" i="8" s="1"/>
  <c r="U65" i="8" s="1"/>
  <c r="S52" i="4"/>
  <c r="T52" i="4" s="1"/>
  <c r="U52" i="4" s="1"/>
  <c r="V52" i="4" s="1"/>
  <c r="AA8" i="7"/>
  <c r="AB8" i="7" s="1"/>
  <c r="AC8" i="7" s="1"/>
  <c r="AD8" i="7" s="1"/>
  <c r="AE8" i="7" s="1"/>
  <c r="AF8" i="7" s="1"/>
  <c r="AG8" i="7" s="1"/>
  <c r="AH8" i="7" s="1"/>
  <c r="AI8" i="7" s="1"/>
  <c r="AJ8" i="7" s="1"/>
  <c r="AK8" i="7" s="1"/>
  <c r="AL8" i="7" s="1"/>
  <c r="AM8" i="7" s="1"/>
  <c r="AN8" i="7" s="1"/>
  <c r="AO8" i="7" s="1"/>
  <c r="AP8" i="7" s="1"/>
  <c r="AQ8" i="7" s="1"/>
  <c r="AR8" i="7" s="1"/>
  <c r="AS8" i="7" s="1"/>
  <c r="AT8" i="7" s="1"/>
  <c r="AU8" i="7" s="1"/>
  <c r="AA7" i="7"/>
  <c r="AB7" i="7" s="1"/>
  <c r="AC7" i="7" s="1"/>
  <c r="AD7" i="7" s="1"/>
  <c r="AE7" i="7" s="1"/>
  <c r="AF7" i="7" s="1"/>
  <c r="AG7" i="7" s="1"/>
  <c r="AH7" i="7" s="1"/>
  <c r="AI7" i="7" s="1"/>
  <c r="AJ7" i="7" s="1"/>
  <c r="AK7" i="7" s="1"/>
  <c r="AL7" i="7" s="1"/>
  <c r="AM7" i="7" s="1"/>
  <c r="AN7" i="7" s="1"/>
  <c r="AO7" i="7" s="1"/>
  <c r="AP7" i="7" s="1"/>
  <c r="AQ7" i="7" s="1"/>
  <c r="AR7" i="7" s="1"/>
  <c r="AS7" i="7" s="1"/>
  <c r="AT7" i="7" s="1"/>
  <c r="AU7" i="7" s="1"/>
  <c r="H11" i="5" l="1"/>
  <c r="M25" i="4"/>
  <c r="I3" i="5"/>
  <c r="H5" i="5"/>
  <c r="H10" i="5"/>
  <c r="H6" i="5"/>
  <c r="M46" i="4"/>
  <c r="H4" i="5"/>
  <c r="I2" i="5"/>
  <c r="Q29" i="8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AH29" i="8" s="1"/>
  <c r="AI29" i="8" s="1"/>
  <c r="AJ29" i="8" s="1"/>
  <c r="AK29" i="8" s="1"/>
  <c r="AL29" i="8" s="1"/>
  <c r="AM29" i="8" s="1"/>
  <c r="AN29" i="8" s="1"/>
  <c r="AO29" i="8" s="1"/>
  <c r="AP29" i="8" s="1"/>
  <c r="AQ29" i="8" s="1"/>
  <c r="AR29" i="8" s="1"/>
  <c r="AS29" i="8" s="1"/>
  <c r="AT29" i="8" s="1"/>
  <c r="AU29" i="8" s="1"/>
  <c r="N6" i="8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R53" i="8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AH53" i="8" s="1"/>
  <c r="AI53" i="8" s="1"/>
  <c r="AJ53" i="8" s="1"/>
  <c r="AK53" i="8" s="1"/>
  <c r="AL53" i="8" s="1"/>
  <c r="AM53" i="8" s="1"/>
  <c r="AN53" i="8" s="1"/>
  <c r="AO53" i="8" s="1"/>
  <c r="AP53" i="8" s="1"/>
  <c r="AQ53" i="8" s="1"/>
  <c r="AR53" i="8" s="1"/>
  <c r="AS53" i="8" s="1"/>
  <c r="AT53" i="8" s="1"/>
  <c r="AU53" i="8" s="1"/>
  <c r="W52" i="8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AH52" i="8" s="1"/>
  <c r="AI52" i="8" s="1"/>
  <c r="AJ52" i="8" s="1"/>
  <c r="AK52" i="8" s="1"/>
  <c r="AL52" i="8" s="1"/>
  <c r="AM52" i="8" s="1"/>
  <c r="AN52" i="8" s="1"/>
  <c r="AO52" i="8" s="1"/>
  <c r="AP52" i="8" s="1"/>
  <c r="AQ52" i="8" s="1"/>
  <c r="AR52" i="8" s="1"/>
  <c r="AS52" i="8" s="1"/>
  <c r="AT52" i="8" s="1"/>
  <c r="AU52" i="8" s="1"/>
  <c r="R7" i="8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AH7" i="8" s="1"/>
  <c r="AI7" i="8" s="1"/>
  <c r="AJ7" i="8" s="1"/>
  <c r="AK7" i="8" s="1"/>
  <c r="AL7" i="8" s="1"/>
  <c r="AM7" i="8" s="1"/>
  <c r="AN7" i="8" s="1"/>
  <c r="AO7" i="8" s="1"/>
  <c r="AP7" i="8" s="1"/>
  <c r="AQ7" i="8" s="1"/>
  <c r="AR7" i="8" s="1"/>
  <c r="AS7" i="8" s="1"/>
  <c r="AT7" i="8" s="1"/>
  <c r="AU7" i="8" s="1"/>
  <c r="M70" i="8"/>
  <c r="N70" i="8" s="1"/>
  <c r="O70" i="8" s="1"/>
  <c r="P70" i="8" s="1"/>
  <c r="Q70" i="8" s="1"/>
  <c r="W65" i="8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AH65" i="8" s="1"/>
  <c r="AI65" i="8" s="1"/>
  <c r="AJ65" i="8" s="1"/>
  <c r="AK65" i="8" s="1"/>
  <c r="AL65" i="8" s="1"/>
  <c r="AM65" i="8" s="1"/>
  <c r="AN65" i="8" s="1"/>
  <c r="AO65" i="8" s="1"/>
  <c r="AP65" i="8" s="1"/>
  <c r="AQ65" i="8" s="1"/>
  <c r="AR65" i="8" s="1"/>
  <c r="AS65" i="8" s="1"/>
  <c r="AT65" i="8" s="1"/>
  <c r="AU65" i="8" s="1"/>
  <c r="Q64" i="8"/>
  <c r="R64" i="8" s="1"/>
  <c r="S64" i="8" s="1"/>
  <c r="T64" i="8" s="1"/>
  <c r="U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AH64" i="8" s="1"/>
  <c r="AI64" i="8" s="1"/>
  <c r="AJ64" i="8" s="1"/>
  <c r="AK64" i="8" s="1"/>
  <c r="AL64" i="8" s="1"/>
  <c r="AM64" i="8" s="1"/>
  <c r="AN64" i="8" s="1"/>
  <c r="AO64" i="8" s="1"/>
  <c r="AP64" i="8" s="1"/>
  <c r="AQ64" i="8" s="1"/>
  <c r="AR64" i="8" s="1"/>
  <c r="AS64" i="8" s="1"/>
  <c r="AT64" i="8" s="1"/>
  <c r="AU64" i="8" s="1"/>
  <c r="Q63" i="8"/>
  <c r="R63" i="8" s="1"/>
  <c r="S63" i="8" s="1"/>
  <c r="T63" i="8" s="1"/>
  <c r="AR60" i="8"/>
  <c r="AS60" i="8" s="1"/>
  <c r="AT60" i="8" s="1"/>
  <c r="AU60" i="8" s="1"/>
  <c r="AM60" i="8"/>
  <c r="AN60" i="8" s="1"/>
  <c r="AO60" i="8" s="1"/>
  <c r="AP60" i="8" s="1"/>
  <c r="S60" i="8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AH60" i="8" s="1"/>
  <c r="AI60" i="8" s="1"/>
  <c r="AJ60" i="8" s="1"/>
  <c r="AK60" i="8" s="1"/>
  <c r="AM59" i="8"/>
  <c r="AN59" i="8" s="1"/>
  <c r="AO59" i="8" s="1"/>
  <c r="AP59" i="8" s="1"/>
  <c r="AQ59" i="8" s="1"/>
  <c r="AR59" i="8" s="1"/>
  <c r="AS59" i="8" s="1"/>
  <c r="AT59" i="8" s="1"/>
  <c r="AU59" i="8" s="1"/>
  <c r="AH59" i="8"/>
  <c r="AI59" i="8" s="1"/>
  <c r="AJ59" i="8" s="1"/>
  <c r="AK59" i="8" s="1"/>
  <c r="AC59" i="8"/>
  <c r="AD59" i="8" s="1"/>
  <c r="AE59" i="8" s="1"/>
  <c r="AF59" i="8" s="1"/>
  <c r="S59" i="8"/>
  <c r="T59" i="8" s="1"/>
  <c r="U59" i="8" s="1"/>
  <c r="V59" i="8" s="1"/>
  <c r="W59" i="8" s="1"/>
  <c r="X59" i="8" s="1"/>
  <c r="Y59" i="8" s="1"/>
  <c r="Z59" i="8" s="1"/>
  <c r="AA59" i="8" s="1"/>
  <c r="AL58" i="8"/>
  <c r="AM58" i="8" s="1"/>
  <c r="AN58" i="8" s="1"/>
  <c r="AO58" i="8" s="1"/>
  <c r="AP58" i="8" s="1"/>
  <c r="AQ58" i="8" s="1"/>
  <c r="AR58" i="8" s="1"/>
  <c r="AS58" i="8" s="1"/>
  <c r="AT58" i="8" s="1"/>
  <c r="AU58" i="8" s="1"/>
  <c r="AH58" i="8"/>
  <c r="AI58" i="8" s="1"/>
  <c r="AJ58" i="8" s="1"/>
  <c r="AE58" i="8"/>
  <c r="AF58" i="8" s="1"/>
  <c r="S58" i="8"/>
  <c r="T58" i="8" s="1"/>
  <c r="U58" i="8" s="1"/>
  <c r="V58" i="8" s="1"/>
  <c r="W58" i="8" s="1"/>
  <c r="X58" i="8" s="1"/>
  <c r="Y58" i="8" s="1"/>
  <c r="Z58" i="8" s="1"/>
  <c r="AA58" i="8" s="1"/>
  <c r="AG57" i="8"/>
  <c r="AH57" i="8" s="1"/>
  <c r="AI57" i="8" s="1"/>
  <c r="AJ57" i="8" s="1"/>
  <c r="AK57" i="8" s="1"/>
  <c r="AL57" i="8" s="1"/>
  <c r="AM57" i="8" s="1"/>
  <c r="AN57" i="8" s="1"/>
  <c r="AO57" i="8" s="1"/>
  <c r="AP57" i="8" s="1"/>
  <c r="AQ57" i="8" s="1"/>
  <c r="AR57" i="8" s="1"/>
  <c r="AS57" i="8" s="1"/>
  <c r="AT57" i="8" s="1"/>
  <c r="AU57" i="8" s="1"/>
  <c r="AC57" i="8"/>
  <c r="AD57" i="8" s="1"/>
  <c r="AE57" i="8" s="1"/>
  <c r="Y57" i="8"/>
  <c r="Z57" i="8" s="1"/>
  <c r="AA57" i="8" s="1"/>
  <c r="S57" i="8"/>
  <c r="T57" i="8" s="1"/>
  <c r="U57" i="8" s="1"/>
  <c r="AB56" i="8"/>
  <c r="AC56" i="8" s="1"/>
  <c r="AD56" i="8" s="1"/>
  <c r="AE56" i="8" s="1"/>
  <c r="AF56" i="8" s="1"/>
  <c r="AG56" i="8" s="1"/>
  <c r="AH56" i="8" s="1"/>
  <c r="AI56" i="8" s="1"/>
  <c r="AJ56" i="8" s="1"/>
  <c r="AK56" i="8" s="1"/>
  <c r="AL56" i="8" s="1"/>
  <c r="AM56" i="8" s="1"/>
  <c r="AN56" i="8" s="1"/>
  <c r="AO56" i="8" s="1"/>
  <c r="AP56" i="8" s="1"/>
  <c r="AQ56" i="8" s="1"/>
  <c r="AR56" i="8" s="1"/>
  <c r="AS56" i="8" s="1"/>
  <c r="AT56" i="8" s="1"/>
  <c r="AU56" i="8" s="1"/>
  <c r="X56" i="8"/>
  <c r="Y56" i="8" s="1"/>
  <c r="Z56" i="8" s="1"/>
  <c r="U56" i="8"/>
  <c r="V56" i="8" s="1"/>
  <c r="S55" i="8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AH55" i="8" s="1"/>
  <c r="AI55" i="8" s="1"/>
  <c r="AJ55" i="8" s="1"/>
  <c r="AK55" i="8" s="1"/>
  <c r="AL55" i="8" s="1"/>
  <c r="AM55" i="8" s="1"/>
  <c r="AN55" i="8" s="1"/>
  <c r="AO55" i="8" s="1"/>
  <c r="AP55" i="8" s="1"/>
  <c r="AQ55" i="8" s="1"/>
  <c r="AR55" i="8" s="1"/>
  <c r="AS55" i="8" s="1"/>
  <c r="AT55" i="8" s="1"/>
  <c r="AU55" i="8" s="1"/>
  <c r="S54" i="8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AH54" i="8" s="1"/>
  <c r="AI54" i="8" s="1"/>
  <c r="AJ54" i="8" s="1"/>
  <c r="AK54" i="8" s="1"/>
  <c r="AL54" i="8" s="1"/>
  <c r="AM54" i="8" s="1"/>
  <c r="AN54" i="8" s="1"/>
  <c r="AO54" i="8" s="1"/>
  <c r="AP54" i="8" s="1"/>
  <c r="AQ54" i="8" s="1"/>
  <c r="AR54" i="8" s="1"/>
  <c r="AS54" i="8" s="1"/>
  <c r="AT54" i="8" s="1"/>
  <c r="AU54" i="8" s="1"/>
  <c r="N51" i="8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AH51" i="8" s="1"/>
  <c r="AI51" i="8" s="1"/>
  <c r="AJ51" i="8" s="1"/>
  <c r="AK51" i="8" s="1"/>
  <c r="AL51" i="8" s="1"/>
  <c r="AM51" i="8" s="1"/>
  <c r="AN51" i="8" s="1"/>
  <c r="AO51" i="8" s="1"/>
  <c r="AP51" i="8" s="1"/>
  <c r="AQ51" i="8" s="1"/>
  <c r="AR51" i="8" s="1"/>
  <c r="AS51" i="8" s="1"/>
  <c r="AT51" i="8" s="1"/>
  <c r="AU51" i="8" s="1"/>
  <c r="AL50" i="8"/>
  <c r="AM50" i="8" s="1"/>
  <c r="AN50" i="8" s="1"/>
  <c r="AO50" i="8" s="1"/>
  <c r="AP50" i="8" s="1"/>
  <c r="AQ50" i="8" s="1"/>
  <c r="AR50" i="8" s="1"/>
  <c r="AS50" i="8" s="1"/>
  <c r="AT50" i="8" s="1"/>
  <c r="AU50" i="8" s="1"/>
  <c r="A50" i="8"/>
  <c r="A51" i="8" s="1"/>
  <c r="A52" i="8" s="1"/>
  <c r="A53" i="8" s="1"/>
  <c r="A54" i="8" s="1"/>
  <c r="A55" i="8" s="1"/>
  <c r="AL49" i="8"/>
  <c r="AM49" i="8" s="1"/>
  <c r="AN49" i="8" s="1"/>
  <c r="AO49" i="8" s="1"/>
  <c r="AP49" i="8" s="1"/>
  <c r="AQ49" i="8" s="1"/>
  <c r="AR49" i="8" s="1"/>
  <c r="AS49" i="8" s="1"/>
  <c r="AT49" i="8" s="1"/>
  <c r="AU49" i="8" s="1"/>
  <c r="M47" i="8"/>
  <c r="N47" i="8" s="1"/>
  <c r="O47" i="8" s="1"/>
  <c r="P47" i="8" s="1"/>
  <c r="Q47" i="8" s="1"/>
  <c r="M46" i="8"/>
  <c r="M42" i="8"/>
  <c r="N42" i="8" s="1"/>
  <c r="O42" i="8" s="1"/>
  <c r="P42" i="8" s="1"/>
  <c r="M41" i="8"/>
  <c r="N41" i="8" s="1"/>
  <c r="O41" i="8" s="1"/>
  <c r="P41" i="8" s="1"/>
  <c r="M40" i="8"/>
  <c r="N40" i="8" s="1"/>
  <c r="O40" i="8" s="1"/>
  <c r="P40" i="8" s="1"/>
  <c r="S38" i="8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AH38" i="8" s="1"/>
  <c r="AI38" i="8" s="1"/>
  <c r="AJ38" i="8" s="1"/>
  <c r="AK38" i="8" s="1"/>
  <c r="AL38" i="8" s="1"/>
  <c r="AM38" i="8" s="1"/>
  <c r="AN38" i="8" s="1"/>
  <c r="AO38" i="8" s="1"/>
  <c r="AP38" i="8" s="1"/>
  <c r="AQ38" i="8" s="1"/>
  <c r="AR38" i="8" s="1"/>
  <c r="AS38" i="8" s="1"/>
  <c r="AT38" i="8" s="1"/>
  <c r="AU38" i="8" s="1"/>
  <c r="AR37" i="8"/>
  <c r="AS37" i="8" s="1"/>
  <c r="AT37" i="8" s="1"/>
  <c r="AU37" i="8" s="1"/>
  <c r="AM37" i="8"/>
  <c r="AN37" i="8" s="1"/>
  <c r="AO37" i="8" s="1"/>
  <c r="AP37" i="8" s="1"/>
  <c r="S37" i="8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AH37" i="8" s="1"/>
  <c r="AI37" i="8" s="1"/>
  <c r="AJ37" i="8" s="1"/>
  <c r="AK37" i="8" s="1"/>
  <c r="AM36" i="8"/>
  <c r="AN36" i="8" s="1"/>
  <c r="AO36" i="8" s="1"/>
  <c r="AP36" i="8" s="1"/>
  <c r="AQ36" i="8" s="1"/>
  <c r="AR36" i="8" s="1"/>
  <c r="AS36" i="8" s="1"/>
  <c r="AT36" i="8" s="1"/>
  <c r="AU36" i="8" s="1"/>
  <c r="AH36" i="8"/>
  <c r="AI36" i="8" s="1"/>
  <c r="AJ36" i="8" s="1"/>
  <c r="AK36" i="8" s="1"/>
  <c r="AC36" i="8"/>
  <c r="AD36" i="8" s="1"/>
  <c r="AE36" i="8" s="1"/>
  <c r="AF36" i="8" s="1"/>
  <c r="S36" i="8"/>
  <c r="T36" i="8" s="1"/>
  <c r="U36" i="8" s="1"/>
  <c r="V36" i="8" s="1"/>
  <c r="W36" i="8" s="1"/>
  <c r="X36" i="8" s="1"/>
  <c r="Y36" i="8" s="1"/>
  <c r="Z36" i="8" s="1"/>
  <c r="AA36" i="8" s="1"/>
  <c r="AL35" i="8"/>
  <c r="AM35" i="8" s="1"/>
  <c r="AN35" i="8" s="1"/>
  <c r="AO35" i="8" s="1"/>
  <c r="AP35" i="8" s="1"/>
  <c r="AQ35" i="8" s="1"/>
  <c r="AR35" i="8" s="1"/>
  <c r="AS35" i="8" s="1"/>
  <c r="AT35" i="8" s="1"/>
  <c r="AU35" i="8" s="1"/>
  <c r="AH35" i="8"/>
  <c r="AI35" i="8" s="1"/>
  <c r="AJ35" i="8" s="1"/>
  <c r="AE35" i="8"/>
  <c r="AF35" i="8" s="1"/>
  <c r="S35" i="8"/>
  <c r="T35" i="8" s="1"/>
  <c r="U35" i="8" s="1"/>
  <c r="V35" i="8" s="1"/>
  <c r="W35" i="8" s="1"/>
  <c r="X35" i="8" s="1"/>
  <c r="Y35" i="8" s="1"/>
  <c r="Z35" i="8" s="1"/>
  <c r="AA35" i="8" s="1"/>
  <c r="AG34" i="8"/>
  <c r="AH34" i="8" s="1"/>
  <c r="AI34" i="8" s="1"/>
  <c r="AJ34" i="8" s="1"/>
  <c r="AK34" i="8" s="1"/>
  <c r="AL34" i="8" s="1"/>
  <c r="AM34" i="8" s="1"/>
  <c r="AN34" i="8" s="1"/>
  <c r="AO34" i="8" s="1"/>
  <c r="AP34" i="8" s="1"/>
  <c r="AQ34" i="8" s="1"/>
  <c r="AR34" i="8" s="1"/>
  <c r="AS34" i="8" s="1"/>
  <c r="AT34" i="8" s="1"/>
  <c r="AU34" i="8" s="1"/>
  <c r="AC34" i="8"/>
  <c r="AD34" i="8" s="1"/>
  <c r="AE34" i="8" s="1"/>
  <c r="Y34" i="8"/>
  <c r="Z34" i="8" s="1"/>
  <c r="AA34" i="8" s="1"/>
  <c r="S34" i="8"/>
  <c r="T34" i="8" s="1"/>
  <c r="U34" i="8" s="1"/>
  <c r="AB33" i="8"/>
  <c r="AC33" i="8" s="1"/>
  <c r="AD33" i="8" s="1"/>
  <c r="AE33" i="8" s="1"/>
  <c r="AF33" i="8" s="1"/>
  <c r="AG33" i="8" s="1"/>
  <c r="AH33" i="8" s="1"/>
  <c r="AI33" i="8" s="1"/>
  <c r="AJ33" i="8" s="1"/>
  <c r="AK33" i="8" s="1"/>
  <c r="AL33" i="8" s="1"/>
  <c r="AM33" i="8" s="1"/>
  <c r="AN33" i="8" s="1"/>
  <c r="AO33" i="8" s="1"/>
  <c r="AP33" i="8" s="1"/>
  <c r="AQ33" i="8" s="1"/>
  <c r="AR33" i="8" s="1"/>
  <c r="AS33" i="8" s="1"/>
  <c r="AT33" i="8" s="1"/>
  <c r="AU33" i="8" s="1"/>
  <c r="X33" i="8"/>
  <c r="Y33" i="8" s="1"/>
  <c r="Z33" i="8" s="1"/>
  <c r="U33" i="8"/>
  <c r="V33" i="8" s="1"/>
  <c r="S32" i="8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AH32" i="8" s="1"/>
  <c r="AI32" i="8" s="1"/>
  <c r="AJ32" i="8" s="1"/>
  <c r="AK32" i="8" s="1"/>
  <c r="AL32" i="8" s="1"/>
  <c r="AM32" i="8" s="1"/>
  <c r="AN32" i="8" s="1"/>
  <c r="AO32" i="8" s="1"/>
  <c r="AP32" i="8" s="1"/>
  <c r="AQ32" i="8" s="1"/>
  <c r="AR32" i="8" s="1"/>
  <c r="AS32" i="8" s="1"/>
  <c r="AT32" i="8" s="1"/>
  <c r="AU32" i="8" s="1"/>
  <c r="S31" i="8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AH31" i="8" s="1"/>
  <c r="AI31" i="8" s="1"/>
  <c r="AJ31" i="8" s="1"/>
  <c r="AK31" i="8" s="1"/>
  <c r="AL31" i="8" s="1"/>
  <c r="AM31" i="8" s="1"/>
  <c r="AN31" i="8" s="1"/>
  <c r="AO31" i="8" s="1"/>
  <c r="AP31" i="8" s="1"/>
  <c r="AQ31" i="8" s="1"/>
  <c r="AR31" i="8" s="1"/>
  <c r="AS31" i="8" s="1"/>
  <c r="AT31" i="8" s="1"/>
  <c r="AU31" i="8" s="1"/>
  <c r="R30" i="8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AH30" i="8" s="1"/>
  <c r="AI30" i="8" s="1"/>
  <c r="AJ30" i="8" s="1"/>
  <c r="AK30" i="8" s="1"/>
  <c r="AL30" i="8" s="1"/>
  <c r="AM30" i="8" s="1"/>
  <c r="AN30" i="8" s="1"/>
  <c r="AO30" i="8" s="1"/>
  <c r="AP30" i="8" s="1"/>
  <c r="AQ30" i="8" s="1"/>
  <c r="AR30" i="8" s="1"/>
  <c r="AS30" i="8" s="1"/>
  <c r="AT30" i="8" s="1"/>
  <c r="AU30" i="8" s="1"/>
  <c r="N28" i="8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AH28" i="8" s="1"/>
  <c r="AI28" i="8" s="1"/>
  <c r="AJ28" i="8" s="1"/>
  <c r="AK28" i="8" s="1"/>
  <c r="AL28" i="8" s="1"/>
  <c r="AM28" i="8" s="1"/>
  <c r="AN28" i="8" s="1"/>
  <c r="AO28" i="8" s="1"/>
  <c r="AP28" i="8" s="1"/>
  <c r="AQ28" i="8" s="1"/>
  <c r="AR28" i="8" s="1"/>
  <c r="AS28" i="8" s="1"/>
  <c r="AT28" i="8" s="1"/>
  <c r="AU28" i="8" s="1"/>
  <c r="AL27" i="8"/>
  <c r="AM27" i="8" s="1"/>
  <c r="AN27" i="8" s="1"/>
  <c r="AO27" i="8" s="1"/>
  <c r="AP27" i="8" s="1"/>
  <c r="AQ27" i="8" s="1"/>
  <c r="AR27" i="8" s="1"/>
  <c r="AS27" i="8" s="1"/>
  <c r="AT27" i="8" s="1"/>
  <c r="AU27" i="8" s="1"/>
  <c r="A27" i="8"/>
  <c r="A28" i="8" s="1"/>
  <c r="A29" i="8" s="1"/>
  <c r="A30" i="8" s="1"/>
  <c r="A31" i="8" s="1"/>
  <c r="A32" i="8" s="1"/>
  <c r="AL26" i="8"/>
  <c r="AM26" i="8" s="1"/>
  <c r="AN26" i="8" s="1"/>
  <c r="AO26" i="8" s="1"/>
  <c r="AP26" i="8" s="1"/>
  <c r="AQ26" i="8" s="1"/>
  <c r="AR26" i="8" s="1"/>
  <c r="AS26" i="8" s="1"/>
  <c r="AT26" i="8" s="1"/>
  <c r="AU26" i="8" s="1"/>
  <c r="L24" i="8"/>
  <c r="M24" i="8" s="1"/>
  <c r="N24" i="8" s="1"/>
  <c r="O24" i="8" s="1"/>
  <c r="P24" i="8" s="1"/>
  <c r="Q24" i="8" s="1"/>
  <c r="L23" i="8"/>
  <c r="M22" i="8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AH22" i="8" s="1"/>
  <c r="AI22" i="8" s="1"/>
  <c r="AJ22" i="8" s="1"/>
  <c r="AK22" i="8" s="1"/>
  <c r="AL22" i="8" s="1"/>
  <c r="AM22" i="8" s="1"/>
  <c r="AN22" i="8" s="1"/>
  <c r="AO22" i="8" s="1"/>
  <c r="AP22" i="8" s="1"/>
  <c r="AQ22" i="8" s="1"/>
  <c r="AR22" i="8" s="1"/>
  <c r="AS22" i="8" s="1"/>
  <c r="AT22" i="8" s="1"/>
  <c r="AU22" i="8" s="1"/>
  <c r="M21" i="8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AH21" i="8" s="1"/>
  <c r="AI21" i="8" s="1"/>
  <c r="AJ21" i="8" s="1"/>
  <c r="AK21" i="8" s="1"/>
  <c r="AL21" i="8" s="1"/>
  <c r="AM21" i="8" s="1"/>
  <c r="AN21" i="8" s="1"/>
  <c r="AO21" i="8" s="1"/>
  <c r="AP21" i="8" s="1"/>
  <c r="AQ21" i="8" s="1"/>
  <c r="AR21" i="8" s="1"/>
  <c r="AS21" i="8" s="1"/>
  <c r="AT21" i="8" s="1"/>
  <c r="AU21" i="8" s="1"/>
  <c r="M20" i="8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AH20" i="8" s="1"/>
  <c r="AI20" i="8" s="1"/>
  <c r="AJ20" i="8" s="1"/>
  <c r="AK20" i="8" s="1"/>
  <c r="AL20" i="8" s="1"/>
  <c r="AM20" i="8" s="1"/>
  <c r="AN20" i="8" s="1"/>
  <c r="AO20" i="8" s="1"/>
  <c r="AP20" i="8" s="1"/>
  <c r="AQ20" i="8" s="1"/>
  <c r="AR20" i="8" s="1"/>
  <c r="AS20" i="8" s="1"/>
  <c r="AT20" i="8" s="1"/>
  <c r="AU20" i="8" s="1"/>
  <c r="M19" i="8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AH19" i="8" s="1"/>
  <c r="AI19" i="8" s="1"/>
  <c r="AJ19" i="8" s="1"/>
  <c r="AK19" i="8" s="1"/>
  <c r="AL19" i="8" s="1"/>
  <c r="AM19" i="8" s="1"/>
  <c r="AN19" i="8" s="1"/>
  <c r="AO19" i="8" s="1"/>
  <c r="AP19" i="8" s="1"/>
  <c r="AQ19" i="8" s="1"/>
  <c r="AR19" i="8" s="1"/>
  <c r="AS19" i="8" s="1"/>
  <c r="AT19" i="8" s="1"/>
  <c r="AU19" i="8" s="1"/>
  <c r="M18" i="8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AH18" i="8" s="1"/>
  <c r="AI18" i="8" s="1"/>
  <c r="AJ18" i="8" s="1"/>
  <c r="AK18" i="8" s="1"/>
  <c r="AL18" i="8" s="1"/>
  <c r="AM18" i="8" s="1"/>
  <c r="AN18" i="8" s="1"/>
  <c r="AO18" i="8" s="1"/>
  <c r="AP18" i="8" s="1"/>
  <c r="AQ18" i="8" s="1"/>
  <c r="AR18" i="8" s="1"/>
  <c r="AS18" i="8" s="1"/>
  <c r="AT18" i="8" s="1"/>
  <c r="AU18" i="8" s="1"/>
  <c r="M17" i="8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AH17" i="8" s="1"/>
  <c r="AI17" i="8" s="1"/>
  <c r="AJ17" i="8" s="1"/>
  <c r="AK17" i="8" s="1"/>
  <c r="AL17" i="8" s="1"/>
  <c r="AM17" i="8" s="1"/>
  <c r="AN17" i="8" s="1"/>
  <c r="AO17" i="8" s="1"/>
  <c r="AP17" i="8" s="1"/>
  <c r="AQ17" i="8" s="1"/>
  <c r="AR17" i="8" s="1"/>
  <c r="AS17" i="8" s="1"/>
  <c r="AT17" i="8" s="1"/>
  <c r="AU17" i="8" s="1"/>
  <c r="AR14" i="8"/>
  <c r="AS14" i="8" s="1"/>
  <c r="AT14" i="8" s="1"/>
  <c r="AU14" i="8" s="1"/>
  <c r="AM14" i="8"/>
  <c r="AN14" i="8" s="1"/>
  <c r="AO14" i="8" s="1"/>
  <c r="AP14" i="8" s="1"/>
  <c r="S14" i="8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AH14" i="8" s="1"/>
  <c r="AI14" i="8" s="1"/>
  <c r="AJ14" i="8" s="1"/>
  <c r="AK14" i="8" s="1"/>
  <c r="AM13" i="8"/>
  <c r="AN13" i="8" s="1"/>
  <c r="AO13" i="8" s="1"/>
  <c r="AP13" i="8" s="1"/>
  <c r="AQ13" i="8" s="1"/>
  <c r="AR13" i="8" s="1"/>
  <c r="AS13" i="8" s="1"/>
  <c r="AT13" i="8" s="1"/>
  <c r="AU13" i="8" s="1"/>
  <c r="AH13" i="8"/>
  <c r="AI13" i="8" s="1"/>
  <c r="AJ13" i="8" s="1"/>
  <c r="AK13" i="8" s="1"/>
  <c r="AC13" i="8"/>
  <c r="AD13" i="8" s="1"/>
  <c r="AE13" i="8" s="1"/>
  <c r="AF13" i="8" s="1"/>
  <c r="S13" i="8"/>
  <c r="T13" i="8" s="1"/>
  <c r="U13" i="8" s="1"/>
  <c r="V13" i="8" s="1"/>
  <c r="W13" i="8" s="1"/>
  <c r="X13" i="8" s="1"/>
  <c r="Y13" i="8" s="1"/>
  <c r="Z13" i="8" s="1"/>
  <c r="AA13" i="8" s="1"/>
  <c r="AL12" i="8"/>
  <c r="AM12" i="8" s="1"/>
  <c r="AN12" i="8" s="1"/>
  <c r="AO12" i="8" s="1"/>
  <c r="AP12" i="8" s="1"/>
  <c r="AQ12" i="8" s="1"/>
  <c r="AR12" i="8" s="1"/>
  <c r="AS12" i="8" s="1"/>
  <c r="AT12" i="8" s="1"/>
  <c r="AU12" i="8" s="1"/>
  <c r="AH12" i="8"/>
  <c r="AI12" i="8" s="1"/>
  <c r="AJ12" i="8" s="1"/>
  <c r="AE12" i="8"/>
  <c r="AF12" i="8" s="1"/>
  <c r="S12" i="8"/>
  <c r="T12" i="8" s="1"/>
  <c r="U12" i="8" s="1"/>
  <c r="V12" i="8" s="1"/>
  <c r="W12" i="8" s="1"/>
  <c r="X12" i="8" s="1"/>
  <c r="Y12" i="8" s="1"/>
  <c r="Z12" i="8" s="1"/>
  <c r="AA12" i="8" s="1"/>
  <c r="AG11" i="8"/>
  <c r="AH11" i="8" s="1"/>
  <c r="AI11" i="8" s="1"/>
  <c r="AJ11" i="8" s="1"/>
  <c r="AK11" i="8" s="1"/>
  <c r="AL11" i="8" s="1"/>
  <c r="AM11" i="8" s="1"/>
  <c r="AN11" i="8" s="1"/>
  <c r="AO11" i="8" s="1"/>
  <c r="AP11" i="8" s="1"/>
  <c r="AQ11" i="8" s="1"/>
  <c r="AR11" i="8" s="1"/>
  <c r="AS11" i="8" s="1"/>
  <c r="AT11" i="8" s="1"/>
  <c r="AU11" i="8" s="1"/>
  <c r="AC11" i="8"/>
  <c r="AD11" i="8" s="1"/>
  <c r="AE11" i="8" s="1"/>
  <c r="Y11" i="8"/>
  <c r="Z11" i="8" s="1"/>
  <c r="AA11" i="8" s="1"/>
  <c r="S11" i="8"/>
  <c r="T11" i="8" s="1"/>
  <c r="U11" i="8" s="1"/>
  <c r="AB10" i="8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AN10" i="8" s="1"/>
  <c r="AO10" i="8" s="1"/>
  <c r="AP10" i="8" s="1"/>
  <c r="AQ10" i="8" s="1"/>
  <c r="AR10" i="8" s="1"/>
  <c r="AS10" i="8" s="1"/>
  <c r="AT10" i="8" s="1"/>
  <c r="AU10" i="8" s="1"/>
  <c r="X10" i="8"/>
  <c r="Y10" i="8" s="1"/>
  <c r="Z10" i="8" s="1"/>
  <c r="U10" i="8"/>
  <c r="V10" i="8" s="1"/>
  <c r="S9" i="8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AN9" i="8" s="1"/>
  <c r="AO9" i="8" s="1"/>
  <c r="AP9" i="8" s="1"/>
  <c r="AQ9" i="8" s="1"/>
  <c r="AR9" i="8" s="1"/>
  <c r="AS9" i="8" s="1"/>
  <c r="AT9" i="8" s="1"/>
  <c r="AU9" i="8" s="1"/>
  <c r="S8" i="8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  <c r="AK8" i="8" s="1"/>
  <c r="AL8" i="8" s="1"/>
  <c r="AM8" i="8" s="1"/>
  <c r="AN8" i="8" s="1"/>
  <c r="AO8" i="8" s="1"/>
  <c r="AP8" i="8" s="1"/>
  <c r="AQ8" i="8" s="1"/>
  <c r="AR8" i="8" s="1"/>
  <c r="AS8" i="8" s="1"/>
  <c r="AT8" i="8" s="1"/>
  <c r="AU8" i="8" s="1"/>
  <c r="R5" i="8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L4" i="8"/>
  <c r="AM4" i="8" s="1"/>
  <c r="AN4" i="8" s="1"/>
  <c r="AO4" i="8" s="1"/>
  <c r="AP4" i="8" s="1"/>
  <c r="AQ4" i="8" s="1"/>
  <c r="AR4" i="8" s="1"/>
  <c r="AS4" i="8" s="1"/>
  <c r="AT4" i="8" s="1"/>
  <c r="AU4" i="8" s="1"/>
  <c r="A4" i="8"/>
  <c r="A5" i="8" s="1"/>
  <c r="A6" i="8" s="1"/>
  <c r="A7" i="8" s="1"/>
  <c r="A8" i="8" s="1"/>
  <c r="A9" i="8" s="1"/>
  <c r="AL3" i="8"/>
  <c r="AM3" i="8" s="1"/>
  <c r="AN3" i="8" s="1"/>
  <c r="AO3" i="8" s="1"/>
  <c r="AP3" i="8" s="1"/>
  <c r="AQ3" i="8" s="1"/>
  <c r="AR3" i="8" s="1"/>
  <c r="AS3" i="8" s="1"/>
  <c r="AT3" i="8" s="1"/>
  <c r="AU3" i="8" s="1"/>
  <c r="AK2" i="8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L1" i="8"/>
  <c r="AM1" i="8" s="1"/>
  <c r="AN1" i="8" s="1"/>
  <c r="AO1" i="8" s="1"/>
  <c r="AP1" i="8" s="1"/>
  <c r="AQ1" i="8" s="1"/>
  <c r="AR1" i="8" s="1"/>
  <c r="AS1" i="8" s="1"/>
  <c r="AT1" i="8" s="1"/>
  <c r="AU1" i="8" s="1"/>
  <c r="AG1" i="8"/>
  <c r="AH1" i="8" s="1"/>
  <c r="AI1" i="8" s="1"/>
  <c r="AJ1" i="8" s="1"/>
  <c r="AB1" i="8"/>
  <c r="AC1" i="8" s="1"/>
  <c r="AD1" i="8" s="1"/>
  <c r="AE1" i="8" s="1"/>
  <c r="W1" i="8"/>
  <c r="X1" i="8" s="1"/>
  <c r="Y1" i="8" s="1"/>
  <c r="Z1" i="8" s="1"/>
  <c r="S1" i="8"/>
  <c r="T1" i="8" s="1"/>
  <c r="U1" i="8" s="1"/>
  <c r="A10" i="8" l="1"/>
  <c r="A16" i="8" s="1"/>
  <c r="A15" i="8"/>
  <c r="A33" i="8"/>
  <c r="A34" i="8" s="1"/>
  <c r="A35" i="8" s="1"/>
  <c r="A40" i="8" s="1"/>
  <c r="A41" i="8" s="1"/>
  <c r="A42" i="8" s="1"/>
  <c r="A43" i="8" s="1"/>
  <c r="A44" i="8" s="1"/>
  <c r="A45" i="8" s="1"/>
  <c r="A39" i="8"/>
  <c r="A56" i="8"/>
  <c r="A57" i="8" s="1"/>
  <c r="A58" i="8" s="1"/>
  <c r="A61" i="8"/>
  <c r="J2" i="5"/>
  <c r="K2" i="5" s="1"/>
  <c r="N4" i="4"/>
  <c r="N46" i="4"/>
  <c r="I6" i="5"/>
  <c r="N25" i="4"/>
  <c r="I11" i="5"/>
  <c r="J3" i="5"/>
  <c r="I5" i="5"/>
  <c r="I10" i="5"/>
  <c r="I4" i="5"/>
  <c r="U63" i="8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AH63" i="8" s="1"/>
  <c r="AI63" i="8" s="1"/>
  <c r="AJ63" i="8" s="1"/>
  <c r="AK63" i="8" s="1"/>
  <c r="AL63" i="8" s="1"/>
  <c r="AM63" i="8" s="1"/>
  <c r="AN63" i="8" s="1"/>
  <c r="AO63" i="8" s="1"/>
  <c r="AP63" i="8" s="1"/>
  <c r="AQ63" i="8" s="1"/>
  <c r="AR63" i="8" s="1"/>
  <c r="AS63" i="8" s="1"/>
  <c r="AT63" i="8" s="1"/>
  <c r="AU63" i="8" s="1"/>
  <c r="L25" i="8"/>
  <c r="R70" i="8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AH70" i="8" s="1"/>
  <c r="AI70" i="8" s="1"/>
  <c r="AJ70" i="8" s="1"/>
  <c r="AK70" i="8" s="1"/>
  <c r="AL70" i="8" s="1"/>
  <c r="AM70" i="8" s="1"/>
  <c r="AN70" i="8" s="1"/>
  <c r="AO70" i="8" s="1"/>
  <c r="AP70" i="8" s="1"/>
  <c r="AQ70" i="8" s="1"/>
  <c r="AR70" i="8" s="1"/>
  <c r="AS70" i="8" s="1"/>
  <c r="AT70" i="8" s="1"/>
  <c r="AU70" i="8" s="1"/>
  <c r="R47" i="8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AH47" i="8" s="1"/>
  <c r="AI47" i="8" s="1"/>
  <c r="AJ47" i="8" s="1"/>
  <c r="AK47" i="8" s="1"/>
  <c r="AL47" i="8" s="1"/>
  <c r="AM47" i="8" s="1"/>
  <c r="AN47" i="8" s="1"/>
  <c r="AO47" i="8" s="1"/>
  <c r="AP47" i="8" s="1"/>
  <c r="AQ47" i="8" s="1"/>
  <c r="AR47" i="8" s="1"/>
  <c r="AS47" i="8" s="1"/>
  <c r="AT47" i="8" s="1"/>
  <c r="AU47" i="8" s="1"/>
  <c r="M23" i="8"/>
  <c r="M25" i="8" s="1"/>
  <c r="R24" i="8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AH24" i="8" s="1"/>
  <c r="AI24" i="8" s="1"/>
  <c r="AJ24" i="8" s="1"/>
  <c r="AK24" i="8" s="1"/>
  <c r="AL24" i="8" s="1"/>
  <c r="AM24" i="8" s="1"/>
  <c r="AN24" i="8" s="1"/>
  <c r="AO24" i="8" s="1"/>
  <c r="AP24" i="8" s="1"/>
  <c r="AQ24" i="8" s="1"/>
  <c r="AR24" i="8" s="1"/>
  <c r="AS24" i="8" s="1"/>
  <c r="AT24" i="8" s="1"/>
  <c r="AU24" i="8" s="1"/>
  <c r="A11" i="8"/>
  <c r="A12" i="8" s="1"/>
  <c r="A62" i="8"/>
  <c r="A36" i="8"/>
  <c r="A37" i="8" s="1"/>
  <c r="A38" i="8"/>
  <c r="M48" i="8"/>
  <c r="N46" i="8"/>
  <c r="M69" i="8"/>
  <c r="J4" i="5" l="1"/>
  <c r="K3" i="5"/>
  <c r="K4" i="5" s="1"/>
  <c r="J10" i="5"/>
  <c r="J5" i="5"/>
  <c r="K6" i="5"/>
  <c r="P25" i="4"/>
  <c r="K11" i="5"/>
  <c r="P4" i="4"/>
  <c r="P46" i="4"/>
  <c r="O25" i="4"/>
  <c r="J11" i="5"/>
  <c r="O4" i="4"/>
  <c r="O46" i="4"/>
  <c r="J6" i="5"/>
  <c r="L2" i="5"/>
  <c r="N23" i="8"/>
  <c r="N25" i="8" s="1"/>
  <c r="M71" i="8"/>
  <c r="N69" i="8"/>
  <c r="A63" i="8"/>
  <c r="A64" i="8" s="1"/>
  <c r="A65" i="8" s="1"/>
  <c r="A66" i="8" s="1"/>
  <c r="A67" i="8" s="1"/>
  <c r="A68" i="8" s="1"/>
  <c r="A59" i="8"/>
  <c r="A60" i="8" s="1"/>
  <c r="O46" i="8"/>
  <c r="N48" i="8"/>
  <c r="A17" i="8"/>
  <c r="A18" i="8" s="1"/>
  <c r="A19" i="8" s="1"/>
  <c r="A20" i="8" s="1"/>
  <c r="A21" i="8" s="1"/>
  <c r="A22" i="8" s="1"/>
  <c r="A13" i="8"/>
  <c r="A14" i="8" s="1"/>
  <c r="V254" i="3"/>
  <c r="W254" i="3" s="1"/>
  <c r="X254" i="3" s="1"/>
  <c r="Y254" i="3" s="1"/>
  <c r="Z254" i="3" s="1"/>
  <c r="AA254" i="3" s="1"/>
  <c r="AB254" i="3" s="1"/>
  <c r="AC254" i="3" s="1"/>
  <c r="AD254" i="3" s="1"/>
  <c r="V253" i="3"/>
  <c r="W253" i="3" s="1"/>
  <c r="X253" i="3" s="1"/>
  <c r="Y253" i="3" s="1"/>
  <c r="Z253" i="3" s="1"/>
  <c r="AA253" i="3" s="1"/>
  <c r="AB253" i="3" s="1"/>
  <c r="AC253" i="3" s="1"/>
  <c r="AD253" i="3" s="1"/>
  <c r="V252" i="3"/>
  <c r="W252" i="3" s="1"/>
  <c r="X252" i="3" s="1"/>
  <c r="Y252" i="3" s="1"/>
  <c r="Z252" i="3" s="1"/>
  <c r="AA252" i="3" s="1"/>
  <c r="AB252" i="3" s="1"/>
  <c r="AC252" i="3" s="1"/>
  <c r="AD252" i="3" s="1"/>
  <c r="L6" i="5" l="1"/>
  <c r="Q46" i="4"/>
  <c r="Q25" i="4"/>
  <c r="L11" i="5"/>
  <c r="Q4" i="4"/>
  <c r="L3" i="5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K5" i="5"/>
  <c r="K10" i="5"/>
  <c r="M2" i="5"/>
  <c r="O23" i="8"/>
  <c r="O25" i="8" s="1"/>
  <c r="N71" i="8"/>
  <c r="O69" i="8"/>
  <c r="P46" i="8"/>
  <c r="O48" i="8"/>
  <c r="F212" i="3"/>
  <c r="G212" i="3" s="1"/>
  <c r="H212" i="3" s="1"/>
  <c r="I212" i="3" s="1"/>
  <c r="J212" i="3" s="1"/>
  <c r="K212" i="3" s="1"/>
  <c r="L212" i="3" s="1"/>
  <c r="M212" i="3" s="1"/>
  <c r="N212" i="3" s="1"/>
  <c r="O212" i="3" s="1"/>
  <c r="P212" i="3" s="1"/>
  <c r="Q212" i="3" s="1"/>
  <c r="R212" i="3" s="1"/>
  <c r="S212" i="3" s="1"/>
  <c r="T212" i="3" s="1"/>
  <c r="U212" i="3" s="1"/>
  <c r="V212" i="3" s="1"/>
  <c r="W212" i="3" s="1"/>
  <c r="X212" i="3" s="1"/>
  <c r="Y212" i="3" s="1"/>
  <c r="Z212" i="3" s="1"/>
  <c r="AA212" i="3" s="1"/>
  <c r="AB212" i="3" s="1"/>
  <c r="AC212" i="3" s="1"/>
  <c r="AD212" i="3" s="1"/>
  <c r="AE212" i="3" s="1"/>
  <c r="AF212" i="3" s="1"/>
  <c r="AG212" i="3" s="1"/>
  <c r="AH212" i="3" s="1"/>
  <c r="AI212" i="3" s="1"/>
  <c r="AJ212" i="3" s="1"/>
  <c r="AK212" i="3" s="1"/>
  <c r="AL212" i="3" s="1"/>
  <c r="AM212" i="3" s="1"/>
  <c r="AN212" i="3" s="1"/>
  <c r="AO212" i="3" s="1"/>
  <c r="L4" i="5" l="1"/>
  <c r="R25" i="4"/>
  <c r="M11" i="5"/>
  <c r="R4" i="4"/>
  <c r="R46" i="4"/>
  <c r="M6" i="5"/>
  <c r="N2" i="5"/>
  <c r="M4" i="5"/>
  <c r="P23" i="8"/>
  <c r="Q46" i="8"/>
  <c r="P48" i="8"/>
  <c r="P69" i="8"/>
  <c r="O71" i="8"/>
  <c r="S4" i="4" l="1"/>
  <c r="S46" i="4"/>
  <c r="N6" i="5"/>
  <c r="S25" i="4"/>
  <c r="N11" i="5"/>
  <c r="O2" i="5"/>
  <c r="N4" i="5"/>
  <c r="Q23" i="8"/>
  <c r="P25" i="8"/>
  <c r="P71" i="8"/>
  <c r="Q69" i="8"/>
  <c r="Q48" i="8"/>
  <c r="R46" i="8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AF346" i="3"/>
  <c r="AG346" i="3"/>
  <c r="AH346" i="3"/>
  <c r="AI346" i="3"/>
  <c r="AJ346" i="3"/>
  <c r="AK346" i="3"/>
  <c r="AL346" i="3"/>
  <c r="AM346" i="3"/>
  <c r="AN346" i="3"/>
  <c r="AO346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AF352" i="3"/>
  <c r="AG352" i="3"/>
  <c r="AH352" i="3"/>
  <c r="AI352" i="3"/>
  <c r="AJ352" i="3"/>
  <c r="AK352" i="3"/>
  <c r="AL352" i="3"/>
  <c r="AM352" i="3"/>
  <c r="AN352" i="3"/>
  <c r="AO352" i="3"/>
  <c r="F346" i="3"/>
  <c r="F352" i="3"/>
  <c r="E346" i="3"/>
  <c r="E352" i="3"/>
  <c r="A343" i="3"/>
  <c r="A344" i="3" s="1"/>
  <c r="A345" i="3" s="1"/>
  <c r="A346" i="3" s="1"/>
  <c r="A347" i="3" s="1"/>
  <c r="A348" i="3" s="1"/>
  <c r="A349" i="3" s="1"/>
  <c r="A350" i="3" s="1"/>
  <c r="A351" i="3" s="1"/>
  <c r="A352" i="3" s="1"/>
  <c r="A419" i="3"/>
  <c r="A420" i="3" s="1"/>
  <c r="A421" i="3" s="1"/>
  <c r="A422" i="3" s="1"/>
  <c r="A423" i="3" s="1"/>
  <c r="A424" i="3" s="1"/>
  <c r="A425" i="3" s="1"/>
  <c r="A426" i="3" s="1"/>
  <c r="A427" i="3" s="1"/>
  <c r="A428" i="3" s="1"/>
  <c r="A324" i="3"/>
  <c r="A325" i="3" s="1"/>
  <c r="A326" i="3" s="1"/>
  <c r="A327" i="3" s="1"/>
  <c r="A328" i="3" s="1"/>
  <c r="A329" i="3" s="1"/>
  <c r="A330" i="3" s="1"/>
  <c r="A331" i="3" s="1"/>
  <c r="A332" i="3" s="1"/>
  <c r="A333" i="3" s="1"/>
  <c r="A430" i="3" l="1"/>
  <c r="A431" i="3" s="1"/>
  <c r="A432" i="3" s="1"/>
  <c r="A433" i="3" s="1"/>
  <c r="A434" i="3" s="1"/>
  <c r="A435" i="3" s="1"/>
  <c r="A436" i="3" s="1"/>
  <c r="A429" i="3"/>
  <c r="AJ347" i="3"/>
  <c r="AJ348" i="3" s="1"/>
  <c r="AJ349" i="3" s="1"/>
  <c r="AJ350" i="3" s="1"/>
  <c r="AJ351" i="3" s="1"/>
  <c r="AJ353" i="3"/>
  <c r="F347" i="3"/>
  <c r="F348" i="3" s="1"/>
  <c r="F349" i="3" s="1"/>
  <c r="F350" i="3" s="1"/>
  <c r="F351" i="3" s="1"/>
  <c r="F353" i="3"/>
  <c r="AK347" i="3"/>
  <c r="AK348" i="3" s="1"/>
  <c r="AK349" i="3" s="1"/>
  <c r="AK350" i="3" s="1"/>
  <c r="AK351" i="3" s="1"/>
  <c r="AK353" i="3"/>
  <c r="AC347" i="3"/>
  <c r="AC348" i="3" s="1"/>
  <c r="AC349" i="3" s="1"/>
  <c r="AC350" i="3" s="1"/>
  <c r="AC351" i="3" s="1"/>
  <c r="AC353" i="3"/>
  <c r="U347" i="3"/>
  <c r="U348" i="3" s="1"/>
  <c r="U349" i="3" s="1"/>
  <c r="U350" i="3" s="1"/>
  <c r="U351" i="3" s="1"/>
  <c r="U353" i="3"/>
  <c r="M347" i="3"/>
  <c r="M348" i="3" s="1"/>
  <c r="M349" i="3" s="1"/>
  <c r="M350" i="3" s="1"/>
  <c r="M351" i="3" s="1"/>
  <c r="M353" i="3"/>
  <c r="AB347" i="3"/>
  <c r="AB348" i="3" s="1"/>
  <c r="AB349" i="3" s="1"/>
  <c r="AB350" i="3" s="1"/>
  <c r="AB351" i="3" s="1"/>
  <c r="AB353" i="3"/>
  <c r="K347" i="3"/>
  <c r="K348" i="3" s="1"/>
  <c r="K349" i="3" s="1"/>
  <c r="K350" i="3" s="1"/>
  <c r="K351" i="3" s="1"/>
  <c r="K353" i="3"/>
  <c r="AH347" i="3"/>
  <c r="AH348" i="3" s="1"/>
  <c r="AH349" i="3" s="1"/>
  <c r="AH350" i="3" s="1"/>
  <c r="AH351" i="3" s="1"/>
  <c r="AH353" i="3"/>
  <c r="J347" i="3"/>
  <c r="J348" i="3" s="1"/>
  <c r="J349" i="3" s="1"/>
  <c r="J350" i="3" s="1"/>
  <c r="J351" i="3" s="1"/>
  <c r="J353" i="3"/>
  <c r="T347" i="3"/>
  <c r="T348" i="3" s="1"/>
  <c r="T349" i="3" s="1"/>
  <c r="T350" i="3" s="1"/>
  <c r="T351" i="3" s="1"/>
  <c r="T353" i="3"/>
  <c r="AI347" i="3"/>
  <c r="AI348" i="3" s="1"/>
  <c r="AI349" i="3" s="1"/>
  <c r="AI350" i="3" s="1"/>
  <c r="AI351" i="3" s="1"/>
  <c r="AI353" i="3"/>
  <c r="I347" i="3"/>
  <c r="I348" i="3" s="1"/>
  <c r="I349" i="3" s="1"/>
  <c r="I350" i="3" s="1"/>
  <c r="I351" i="3" s="1"/>
  <c r="I353" i="3"/>
  <c r="A354" i="3"/>
  <c r="A355" i="3" s="1"/>
  <c r="A356" i="3" s="1"/>
  <c r="A357" i="3" s="1"/>
  <c r="A358" i="3" s="1"/>
  <c r="A359" i="3" s="1"/>
  <c r="A360" i="3" s="1"/>
  <c r="A353" i="3"/>
  <c r="Y347" i="3"/>
  <c r="Y348" i="3" s="1"/>
  <c r="Y349" i="3" s="1"/>
  <c r="Y350" i="3" s="1"/>
  <c r="Y351" i="3" s="1"/>
  <c r="Y353" i="3"/>
  <c r="AN347" i="3"/>
  <c r="AN348" i="3" s="1"/>
  <c r="AN349" i="3" s="1"/>
  <c r="AN350" i="3" s="1"/>
  <c r="AN351" i="3" s="1"/>
  <c r="AN353" i="3"/>
  <c r="AF347" i="3"/>
  <c r="AF348" i="3" s="1"/>
  <c r="AF349" i="3" s="1"/>
  <c r="AF350" i="3" s="1"/>
  <c r="AF351" i="3" s="1"/>
  <c r="AF353" i="3"/>
  <c r="X347" i="3"/>
  <c r="X348" i="3" s="1"/>
  <c r="X349" i="3" s="1"/>
  <c r="X350" i="3" s="1"/>
  <c r="X351" i="3" s="1"/>
  <c r="X353" i="3"/>
  <c r="P347" i="3"/>
  <c r="P348" i="3" s="1"/>
  <c r="P349" i="3" s="1"/>
  <c r="P350" i="3" s="1"/>
  <c r="P351" i="3" s="1"/>
  <c r="P353" i="3"/>
  <c r="H347" i="3"/>
  <c r="H348" i="3" s="1"/>
  <c r="H349" i="3" s="1"/>
  <c r="H350" i="3" s="1"/>
  <c r="H351" i="3" s="1"/>
  <c r="H353" i="3"/>
  <c r="L347" i="3"/>
  <c r="L348" i="3" s="1"/>
  <c r="L349" i="3" s="1"/>
  <c r="L350" i="3" s="1"/>
  <c r="L351" i="3" s="1"/>
  <c r="L353" i="3"/>
  <c r="AA347" i="3"/>
  <c r="AA348" i="3" s="1"/>
  <c r="AA349" i="3" s="1"/>
  <c r="AA350" i="3" s="1"/>
  <c r="AA351" i="3" s="1"/>
  <c r="AA353" i="3"/>
  <c r="Z347" i="3"/>
  <c r="Z348" i="3" s="1"/>
  <c r="Z349" i="3" s="1"/>
  <c r="Z350" i="3" s="1"/>
  <c r="Z351" i="3" s="1"/>
  <c r="Z353" i="3"/>
  <c r="AG347" i="3"/>
  <c r="AG348" i="3" s="1"/>
  <c r="AG349" i="3" s="1"/>
  <c r="AG350" i="3" s="1"/>
  <c r="AG351" i="3" s="1"/>
  <c r="AG353" i="3"/>
  <c r="E347" i="3"/>
  <c r="E348" i="3" s="1"/>
  <c r="E349" i="3" s="1"/>
  <c r="E350" i="3" s="1"/>
  <c r="E351" i="3" s="1"/>
  <c r="E353" i="3"/>
  <c r="AE347" i="3"/>
  <c r="AE348" i="3" s="1"/>
  <c r="AE349" i="3" s="1"/>
  <c r="AE350" i="3" s="1"/>
  <c r="AE351" i="3" s="1"/>
  <c r="AE353" i="3"/>
  <c r="W347" i="3"/>
  <c r="W348" i="3" s="1"/>
  <c r="W349" i="3" s="1"/>
  <c r="W350" i="3" s="1"/>
  <c r="W351" i="3" s="1"/>
  <c r="W353" i="3"/>
  <c r="O347" i="3"/>
  <c r="O348" i="3" s="1"/>
  <c r="O349" i="3" s="1"/>
  <c r="O350" i="3" s="1"/>
  <c r="O351" i="3" s="1"/>
  <c r="O353" i="3"/>
  <c r="G347" i="3"/>
  <c r="G348" i="3" s="1"/>
  <c r="G349" i="3" s="1"/>
  <c r="G350" i="3" s="1"/>
  <c r="G351" i="3" s="1"/>
  <c r="G353" i="3"/>
  <c r="S347" i="3"/>
  <c r="S348" i="3" s="1"/>
  <c r="S349" i="3" s="1"/>
  <c r="S350" i="3" s="1"/>
  <c r="S351" i="3" s="1"/>
  <c r="S353" i="3"/>
  <c r="R347" i="3"/>
  <c r="R348" i="3" s="1"/>
  <c r="R349" i="3" s="1"/>
  <c r="R350" i="3" s="1"/>
  <c r="R351" i="3" s="1"/>
  <c r="R353" i="3"/>
  <c r="AO347" i="3"/>
  <c r="AO348" i="3" s="1"/>
  <c r="AO349" i="3" s="1"/>
  <c r="AO350" i="3" s="1"/>
  <c r="AO351" i="3" s="1"/>
  <c r="AO353" i="3"/>
  <c r="Q347" i="3"/>
  <c r="Q348" i="3" s="1"/>
  <c r="Q349" i="3" s="1"/>
  <c r="Q350" i="3" s="1"/>
  <c r="Q351" i="3" s="1"/>
  <c r="Q353" i="3"/>
  <c r="AM347" i="3"/>
  <c r="AM348" i="3" s="1"/>
  <c r="AM349" i="3" s="1"/>
  <c r="AM350" i="3" s="1"/>
  <c r="AM351" i="3" s="1"/>
  <c r="AM353" i="3"/>
  <c r="AL347" i="3"/>
  <c r="AL348" i="3" s="1"/>
  <c r="AL349" i="3" s="1"/>
  <c r="AL350" i="3" s="1"/>
  <c r="AL351" i="3" s="1"/>
  <c r="AL353" i="3"/>
  <c r="AD347" i="3"/>
  <c r="AD348" i="3" s="1"/>
  <c r="AD349" i="3" s="1"/>
  <c r="AD350" i="3" s="1"/>
  <c r="AD351" i="3" s="1"/>
  <c r="AD353" i="3"/>
  <c r="V347" i="3"/>
  <c r="V348" i="3" s="1"/>
  <c r="V349" i="3" s="1"/>
  <c r="V350" i="3" s="1"/>
  <c r="V351" i="3" s="1"/>
  <c r="V353" i="3"/>
  <c r="N347" i="3"/>
  <c r="N348" i="3" s="1"/>
  <c r="N349" i="3" s="1"/>
  <c r="N350" i="3" s="1"/>
  <c r="N351" i="3" s="1"/>
  <c r="N353" i="3"/>
  <c r="A335" i="3"/>
  <c r="A336" i="3" s="1"/>
  <c r="A337" i="3" s="1"/>
  <c r="A338" i="3" s="1"/>
  <c r="A339" i="3" s="1"/>
  <c r="A340" i="3" s="1"/>
  <c r="A341" i="3" s="1"/>
  <c r="A334" i="3"/>
  <c r="T4" i="4"/>
  <c r="T46" i="4"/>
  <c r="O6" i="5"/>
  <c r="T25" i="4"/>
  <c r="O11" i="5"/>
  <c r="P2" i="5"/>
  <c r="O4" i="5"/>
  <c r="R23" i="8"/>
  <c r="Q25" i="8"/>
  <c r="S46" i="8"/>
  <c r="R48" i="8"/>
  <c r="R69" i="8"/>
  <c r="Q71" i="8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6" i="3" l="1"/>
  <c r="A317" i="3" s="1"/>
  <c r="A318" i="3" s="1"/>
  <c r="A319" i="3" s="1"/>
  <c r="A320" i="3" s="1"/>
  <c r="A321" i="3" s="1"/>
  <c r="A322" i="3" s="1"/>
  <c r="A315" i="3"/>
  <c r="U25" i="4"/>
  <c r="P11" i="5"/>
  <c r="U4" i="4"/>
  <c r="U46" i="4"/>
  <c r="P6" i="5"/>
  <c r="Q2" i="5"/>
  <c r="P4" i="5"/>
  <c r="S23" i="8"/>
  <c r="R25" i="8"/>
  <c r="S69" i="8"/>
  <c r="R71" i="8"/>
  <c r="S48" i="8"/>
  <c r="T46" i="8"/>
  <c r="V4" i="4" l="1"/>
  <c r="V46" i="4"/>
  <c r="Q6" i="5"/>
  <c r="V25" i="4"/>
  <c r="Q11" i="5"/>
  <c r="Q4" i="5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R2" i="5"/>
  <c r="S25" i="8"/>
  <c r="T23" i="8"/>
  <c r="T48" i="8"/>
  <c r="U46" i="8"/>
  <c r="T69" i="8"/>
  <c r="S71" i="8"/>
  <c r="S2" i="5" l="1"/>
  <c r="W25" i="4"/>
  <c r="R11" i="5"/>
  <c r="W4" i="4"/>
  <c r="R6" i="5"/>
  <c r="W46" i="4"/>
  <c r="U23" i="8"/>
  <c r="T25" i="8"/>
  <c r="T71" i="8"/>
  <c r="U69" i="8"/>
  <c r="V46" i="8"/>
  <c r="U48" i="8"/>
  <c r="T2" i="5" l="1"/>
  <c r="X25" i="4"/>
  <c r="S11" i="5"/>
  <c r="X4" i="4"/>
  <c r="S6" i="5"/>
  <c r="X46" i="4"/>
  <c r="V23" i="8"/>
  <c r="U25" i="8"/>
  <c r="V48" i="8"/>
  <c r="W46" i="8"/>
  <c r="V69" i="8"/>
  <c r="U71" i="8"/>
  <c r="U2" i="5" l="1"/>
  <c r="Y4" i="4"/>
  <c r="Y25" i="4"/>
  <c r="T11" i="5"/>
  <c r="Y46" i="4"/>
  <c r="T6" i="5"/>
  <c r="W23" i="8"/>
  <c r="V25" i="8"/>
  <c r="V71" i="8"/>
  <c r="W69" i="8"/>
  <c r="X46" i="8"/>
  <c r="W48" i="8"/>
  <c r="V2" i="5" l="1"/>
  <c r="Z25" i="4"/>
  <c r="U11" i="5"/>
  <c r="Z4" i="4"/>
  <c r="Z46" i="4"/>
  <c r="U6" i="5"/>
  <c r="X23" i="8"/>
  <c r="W25" i="8"/>
  <c r="Y46" i="8"/>
  <c r="X48" i="8"/>
  <c r="X69" i="8"/>
  <c r="W71" i="8"/>
  <c r="W2" i="5" l="1"/>
  <c r="AA4" i="4"/>
  <c r="AA46" i="4"/>
  <c r="V6" i="5"/>
  <c r="AA25" i="4"/>
  <c r="V11" i="5"/>
  <c r="X25" i="8"/>
  <c r="Y23" i="8"/>
  <c r="X71" i="8"/>
  <c r="Y69" i="8"/>
  <c r="Y48" i="8"/>
  <c r="Z46" i="8"/>
  <c r="I24" i="1"/>
  <c r="I23" i="1"/>
  <c r="I22" i="1"/>
  <c r="I21" i="1"/>
  <c r="I20" i="1"/>
  <c r="I19" i="1"/>
  <c r="I18" i="1"/>
  <c r="I16" i="1"/>
  <c r="I15" i="1"/>
  <c r="I11" i="1"/>
  <c r="I10" i="1"/>
  <c r="I9" i="1"/>
  <c r="I8" i="1"/>
  <c r="I7" i="1"/>
  <c r="I6" i="1"/>
  <c r="I5" i="1"/>
  <c r="I4" i="1"/>
  <c r="I3" i="1"/>
  <c r="I2" i="1"/>
  <c r="X2" i="5" l="1"/>
  <c r="W11" i="5"/>
  <c r="AB4" i="4"/>
  <c r="AB46" i="4"/>
  <c r="W6" i="5"/>
  <c r="AB25" i="4"/>
  <c r="Z23" i="8"/>
  <c r="Y25" i="8"/>
  <c r="Y71" i="8"/>
  <c r="Z69" i="8"/>
  <c r="Z48" i="8"/>
  <c r="AA46" i="8"/>
  <c r="H12" i="1"/>
  <c r="H11" i="1"/>
  <c r="H10" i="1"/>
  <c r="H24" i="1"/>
  <c r="H23" i="1"/>
  <c r="H22" i="1"/>
  <c r="H21" i="1"/>
  <c r="H20" i="1"/>
  <c r="H19" i="1"/>
  <c r="H18" i="1"/>
  <c r="H16" i="1"/>
  <c r="H15" i="1"/>
  <c r="H14" i="1"/>
  <c r="H9" i="1"/>
  <c r="H8" i="1"/>
  <c r="H7" i="1"/>
  <c r="H6" i="1"/>
  <c r="H5" i="1"/>
  <c r="H4" i="1"/>
  <c r="H3" i="1"/>
  <c r="H2" i="1"/>
  <c r="Y2" i="5" l="1"/>
  <c r="AC25" i="4"/>
  <c r="X11" i="5"/>
  <c r="AC4" i="4"/>
  <c r="AC46" i="4"/>
  <c r="X6" i="5"/>
  <c r="Z25" i="8"/>
  <c r="AA23" i="8"/>
  <c r="AB46" i="8"/>
  <c r="AA48" i="8"/>
  <c r="Z71" i="8"/>
  <c r="AA69" i="8"/>
  <c r="AA6" i="7"/>
  <c r="AB6" i="7" s="1"/>
  <c r="AC6" i="7" s="1"/>
  <c r="AD6" i="7" s="1"/>
  <c r="AE6" i="7" s="1"/>
  <c r="AF6" i="7" s="1"/>
  <c r="AG6" i="7" s="1"/>
  <c r="AH6" i="7" s="1"/>
  <c r="AI6" i="7" s="1"/>
  <c r="AJ6" i="7" s="1"/>
  <c r="AK6" i="7" s="1"/>
  <c r="AL6" i="7" s="1"/>
  <c r="AM6" i="7" s="1"/>
  <c r="AN6" i="7" s="1"/>
  <c r="AO6" i="7" s="1"/>
  <c r="AP6" i="7" s="1"/>
  <c r="AQ6" i="7" s="1"/>
  <c r="AR6" i="7" s="1"/>
  <c r="AS6" i="7" s="1"/>
  <c r="AT6" i="7" s="1"/>
  <c r="AU6" i="7" s="1"/>
  <c r="AA5" i="7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A4" i="7"/>
  <c r="AB4" i="7" s="1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S4" i="7" s="1"/>
  <c r="AT4" i="7" s="1"/>
  <c r="AU4" i="7" s="1"/>
  <c r="AA3" i="7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A2" i="7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P2" i="7"/>
  <c r="Q2" i="7" s="1"/>
  <c r="AL1" i="7"/>
  <c r="AM1" i="7" s="1"/>
  <c r="AN1" i="7" s="1"/>
  <c r="AO1" i="7" s="1"/>
  <c r="AP1" i="7" s="1"/>
  <c r="AQ1" i="7" s="1"/>
  <c r="AR1" i="7" s="1"/>
  <c r="AS1" i="7" s="1"/>
  <c r="AT1" i="7" s="1"/>
  <c r="AU1" i="7" s="1"/>
  <c r="AG14" i="5"/>
  <c r="AH14" i="5" s="1"/>
  <c r="AI14" i="5" s="1"/>
  <c r="AJ14" i="5" s="1"/>
  <c r="AK14" i="5" s="1"/>
  <c r="AL14" i="5" s="1"/>
  <c r="AM14" i="5" s="1"/>
  <c r="AN14" i="5" s="1"/>
  <c r="AO14" i="5" s="1"/>
  <c r="AP14" i="5" s="1"/>
  <c r="AG13" i="5"/>
  <c r="AG12" i="5"/>
  <c r="AH12" i="5" s="1"/>
  <c r="AI12" i="5" s="1"/>
  <c r="AJ12" i="5" s="1"/>
  <c r="AK12" i="5" s="1"/>
  <c r="AL12" i="5" s="1"/>
  <c r="AM12" i="5" s="1"/>
  <c r="AN12" i="5" s="1"/>
  <c r="AO12" i="5" s="1"/>
  <c r="AP12" i="5" s="1"/>
  <c r="A11" i="5"/>
  <c r="A12" i="5" s="1"/>
  <c r="A13" i="5" s="1"/>
  <c r="A14" i="5" s="1"/>
  <c r="AG10" i="5"/>
  <c r="AH10" i="5" s="1"/>
  <c r="AI10" i="5" s="1"/>
  <c r="AJ10" i="5" s="1"/>
  <c r="AK10" i="5" s="1"/>
  <c r="AL10" i="5" s="1"/>
  <c r="AM10" i="5" s="1"/>
  <c r="AN10" i="5" s="1"/>
  <c r="AO10" i="5" s="1"/>
  <c r="AP10" i="5" s="1"/>
  <c r="AG9" i="5"/>
  <c r="AH9" i="5" s="1"/>
  <c r="AI9" i="5" s="1"/>
  <c r="AJ9" i="5" s="1"/>
  <c r="AK9" i="5" s="1"/>
  <c r="AL9" i="5" s="1"/>
  <c r="AM9" i="5" s="1"/>
  <c r="AN9" i="5" s="1"/>
  <c r="AO9" i="5" s="1"/>
  <c r="AP9" i="5" s="1"/>
  <c r="AG8" i="5"/>
  <c r="AH8" i="5" s="1"/>
  <c r="AI8" i="5" s="1"/>
  <c r="AJ8" i="5" s="1"/>
  <c r="AK8" i="5" s="1"/>
  <c r="AL8" i="5" s="1"/>
  <c r="AM8" i="5" s="1"/>
  <c r="AN8" i="5" s="1"/>
  <c r="AO8" i="5" s="1"/>
  <c r="AP8" i="5" s="1"/>
  <c r="AG7" i="5"/>
  <c r="AH7" i="5" s="1"/>
  <c r="AI7" i="5" s="1"/>
  <c r="AJ7" i="5" s="1"/>
  <c r="AK7" i="5" s="1"/>
  <c r="AL7" i="5" s="1"/>
  <c r="AM7" i="5" s="1"/>
  <c r="AN7" i="5" s="1"/>
  <c r="AO7" i="5" s="1"/>
  <c r="AP7" i="5" s="1"/>
  <c r="A6" i="5"/>
  <c r="A7" i="5" s="1"/>
  <c r="A8" i="5" s="1"/>
  <c r="A9" i="5" s="1"/>
  <c r="AG5" i="5"/>
  <c r="AH5" i="5" s="1"/>
  <c r="AI5" i="5" s="1"/>
  <c r="AJ5" i="5" s="1"/>
  <c r="AK5" i="5" s="1"/>
  <c r="AL5" i="5" s="1"/>
  <c r="AM5" i="5" s="1"/>
  <c r="AN5" i="5" s="1"/>
  <c r="AO5" i="5" s="1"/>
  <c r="AP5" i="5" s="1"/>
  <c r="H1" i="5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G64" i="4"/>
  <c r="AH64" i="4" s="1"/>
  <c r="AI64" i="4" s="1"/>
  <c r="AJ64" i="4" s="1"/>
  <c r="AK64" i="4" s="1"/>
  <c r="AL64" i="4" s="1"/>
  <c r="AM64" i="4" s="1"/>
  <c r="AN64" i="4" s="1"/>
  <c r="AO64" i="4" s="1"/>
  <c r="AP64" i="4" s="1"/>
  <c r="AQ64" i="4" s="1"/>
  <c r="AR64" i="4" s="1"/>
  <c r="AS64" i="4" s="1"/>
  <c r="AT64" i="4" s="1"/>
  <c r="AU64" i="4" s="1"/>
  <c r="AG63" i="4"/>
  <c r="AH63" i="4" s="1"/>
  <c r="AI63" i="4" s="1"/>
  <c r="AJ63" i="4" s="1"/>
  <c r="AK63" i="4" s="1"/>
  <c r="AL63" i="4" s="1"/>
  <c r="AM63" i="4" s="1"/>
  <c r="AN63" i="4" s="1"/>
  <c r="AO63" i="4" s="1"/>
  <c r="AP63" i="4" s="1"/>
  <c r="AQ63" i="4" s="1"/>
  <c r="AR63" i="4" s="1"/>
  <c r="AS63" i="4" s="1"/>
  <c r="AT63" i="4" s="1"/>
  <c r="AU63" i="4" s="1"/>
  <c r="AG62" i="4"/>
  <c r="AH62" i="4" s="1"/>
  <c r="AI62" i="4" s="1"/>
  <c r="AJ62" i="4" s="1"/>
  <c r="AK62" i="4" s="1"/>
  <c r="AL62" i="4" s="1"/>
  <c r="AM62" i="4" s="1"/>
  <c r="AN62" i="4" s="1"/>
  <c r="AO62" i="4" s="1"/>
  <c r="AP62" i="4" s="1"/>
  <c r="AQ62" i="4" s="1"/>
  <c r="AR62" i="4" s="1"/>
  <c r="AS62" i="4" s="1"/>
  <c r="AT62" i="4" s="1"/>
  <c r="AU62" i="4" s="1"/>
  <c r="W61" i="4"/>
  <c r="X61" i="4" s="1"/>
  <c r="Y61" i="4" s="1"/>
  <c r="Z61" i="4" s="1"/>
  <c r="AA61" i="4" s="1"/>
  <c r="AB61" i="4" s="1"/>
  <c r="AC61" i="4" s="1"/>
  <c r="AD61" i="4" s="1"/>
  <c r="AE61" i="4" s="1"/>
  <c r="AF61" i="4" s="1"/>
  <c r="AG61" i="4" s="1"/>
  <c r="AH61" i="4" s="1"/>
  <c r="AI61" i="4" s="1"/>
  <c r="AJ61" i="4" s="1"/>
  <c r="AK61" i="4" s="1"/>
  <c r="AL61" i="4" s="1"/>
  <c r="AM61" i="4" s="1"/>
  <c r="AN61" i="4" s="1"/>
  <c r="AO61" i="4" s="1"/>
  <c r="AP61" i="4" s="1"/>
  <c r="AQ61" i="4" s="1"/>
  <c r="AR61" i="4" s="1"/>
  <c r="AS61" i="4" s="1"/>
  <c r="AT61" i="4" s="1"/>
  <c r="AU61" i="4" s="1"/>
  <c r="AG60" i="4"/>
  <c r="AH60" i="4" s="1"/>
  <c r="AI60" i="4" s="1"/>
  <c r="AJ60" i="4" s="1"/>
  <c r="AK60" i="4" s="1"/>
  <c r="AL60" i="4" s="1"/>
  <c r="AM60" i="4" s="1"/>
  <c r="AN60" i="4" s="1"/>
  <c r="AO60" i="4" s="1"/>
  <c r="AP60" i="4" s="1"/>
  <c r="AQ60" i="4" s="1"/>
  <c r="AR60" i="4" s="1"/>
  <c r="AS60" i="4" s="1"/>
  <c r="AT60" i="4" s="1"/>
  <c r="AU60" i="4" s="1"/>
  <c r="AG59" i="4"/>
  <c r="AH59" i="4" s="1"/>
  <c r="AI59" i="4" s="1"/>
  <c r="AJ59" i="4" s="1"/>
  <c r="AK59" i="4" s="1"/>
  <c r="AL59" i="4" s="1"/>
  <c r="AM59" i="4" s="1"/>
  <c r="AN59" i="4" s="1"/>
  <c r="AO59" i="4" s="1"/>
  <c r="AP59" i="4" s="1"/>
  <c r="AQ59" i="4" s="1"/>
  <c r="AR59" i="4" s="1"/>
  <c r="AS59" i="4" s="1"/>
  <c r="AT59" i="4" s="1"/>
  <c r="AU59" i="4" s="1"/>
  <c r="S57" i="4"/>
  <c r="T57" i="4" s="1"/>
  <c r="U57" i="4" s="1"/>
  <c r="V57" i="4" s="1"/>
  <c r="W57" i="4" s="1"/>
  <c r="X57" i="4" s="1"/>
  <c r="Y57" i="4" s="1"/>
  <c r="Z57" i="4" s="1"/>
  <c r="AA57" i="4" s="1"/>
  <c r="AB57" i="4" s="1"/>
  <c r="AC57" i="4" s="1"/>
  <c r="AD57" i="4" s="1"/>
  <c r="AE57" i="4" s="1"/>
  <c r="AF57" i="4" s="1"/>
  <c r="AG57" i="4" s="1"/>
  <c r="AH57" i="4" s="1"/>
  <c r="AI57" i="4" s="1"/>
  <c r="AJ57" i="4" s="1"/>
  <c r="AK57" i="4" s="1"/>
  <c r="AL57" i="4" s="1"/>
  <c r="AM57" i="4" s="1"/>
  <c r="AN57" i="4" s="1"/>
  <c r="AO57" i="4" s="1"/>
  <c r="AP57" i="4" s="1"/>
  <c r="AQ57" i="4" s="1"/>
  <c r="AR57" i="4" s="1"/>
  <c r="AS57" i="4" s="1"/>
  <c r="AT57" i="4" s="1"/>
  <c r="AU57" i="4" s="1"/>
  <c r="S56" i="4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AD56" i="4" s="1"/>
  <c r="AE56" i="4" s="1"/>
  <c r="AF56" i="4" s="1"/>
  <c r="AG56" i="4" s="1"/>
  <c r="AH56" i="4" s="1"/>
  <c r="AI56" i="4" s="1"/>
  <c r="AJ56" i="4" s="1"/>
  <c r="AK56" i="4" s="1"/>
  <c r="AL56" i="4" s="1"/>
  <c r="AM56" i="4" s="1"/>
  <c r="AN56" i="4" s="1"/>
  <c r="AO56" i="4" s="1"/>
  <c r="AP56" i="4" s="1"/>
  <c r="AQ56" i="4" s="1"/>
  <c r="AR56" i="4" s="1"/>
  <c r="AS56" i="4" s="1"/>
  <c r="AT56" i="4" s="1"/>
  <c r="AU56" i="4" s="1"/>
  <c r="S55" i="4"/>
  <c r="T55" i="4" s="1"/>
  <c r="U55" i="4" s="1"/>
  <c r="V55" i="4" s="1"/>
  <c r="W55" i="4" s="1"/>
  <c r="X55" i="4" s="1"/>
  <c r="Y55" i="4" s="1"/>
  <c r="Z55" i="4" s="1"/>
  <c r="AA55" i="4" s="1"/>
  <c r="AB55" i="4" s="1"/>
  <c r="AC55" i="4" s="1"/>
  <c r="AD55" i="4" s="1"/>
  <c r="AE55" i="4" s="1"/>
  <c r="AF55" i="4" s="1"/>
  <c r="AG55" i="4" s="1"/>
  <c r="AH55" i="4" s="1"/>
  <c r="AI55" i="4" s="1"/>
  <c r="AJ55" i="4" s="1"/>
  <c r="AK55" i="4" s="1"/>
  <c r="AL55" i="4" s="1"/>
  <c r="AM55" i="4" s="1"/>
  <c r="AN55" i="4" s="1"/>
  <c r="AO55" i="4" s="1"/>
  <c r="AP55" i="4" s="1"/>
  <c r="AQ55" i="4" s="1"/>
  <c r="AR55" i="4" s="1"/>
  <c r="AS55" i="4" s="1"/>
  <c r="AT55" i="4" s="1"/>
  <c r="AU55" i="4" s="1"/>
  <c r="S54" i="4"/>
  <c r="T54" i="4" s="1"/>
  <c r="U54" i="4" s="1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AF54" i="4" s="1"/>
  <c r="AG54" i="4" s="1"/>
  <c r="AH54" i="4" s="1"/>
  <c r="AI54" i="4" s="1"/>
  <c r="AJ54" i="4" s="1"/>
  <c r="AK54" i="4" s="1"/>
  <c r="AL54" i="4" s="1"/>
  <c r="AM54" i="4" s="1"/>
  <c r="AN54" i="4" s="1"/>
  <c r="AO54" i="4" s="1"/>
  <c r="AP54" i="4" s="1"/>
  <c r="AQ54" i="4" s="1"/>
  <c r="AR54" i="4" s="1"/>
  <c r="AS54" i="4" s="1"/>
  <c r="AT54" i="4" s="1"/>
  <c r="AU54" i="4" s="1"/>
  <c r="S53" i="4"/>
  <c r="T53" i="4" s="1"/>
  <c r="U53" i="4" s="1"/>
  <c r="V53" i="4" s="1"/>
  <c r="W53" i="4" s="1"/>
  <c r="X53" i="4" s="1"/>
  <c r="Y53" i="4" s="1"/>
  <c r="Z53" i="4" s="1"/>
  <c r="AA53" i="4" s="1"/>
  <c r="AB53" i="4" s="1"/>
  <c r="AC53" i="4" s="1"/>
  <c r="AD53" i="4" s="1"/>
  <c r="AE53" i="4" s="1"/>
  <c r="AF53" i="4" s="1"/>
  <c r="AG53" i="4" s="1"/>
  <c r="AH53" i="4" s="1"/>
  <c r="AI53" i="4" s="1"/>
  <c r="AJ53" i="4" s="1"/>
  <c r="AK53" i="4" s="1"/>
  <c r="AL53" i="4" s="1"/>
  <c r="AM53" i="4" s="1"/>
  <c r="AN53" i="4" s="1"/>
  <c r="AO53" i="4" s="1"/>
  <c r="AP53" i="4" s="1"/>
  <c r="AQ53" i="4" s="1"/>
  <c r="AR53" i="4" s="1"/>
  <c r="AS53" i="4" s="1"/>
  <c r="AT53" i="4" s="1"/>
  <c r="AU53" i="4" s="1"/>
  <c r="W52" i="4"/>
  <c r="X52" i="4" s="1"/>
  <c r="Y52" i="4" s="1"/>
  <c r="Z52" i="4" s="1"/>
  <c r="AA52" i="4" s="1"/>
  <c r="AB52" i="4" s="1"/>
  <c r="AC52" i="4" s="1"/>
  <c r="AD52" i="4" s="1"/>
  <c r="AE52" i="4" s="1"/>
  <c r="AF52" i="4" s="1"/>
  <c r="AG52" i="4" s="1"/>
  <c r="AH52" i="4" s="1"/>
  <c r="AI52" i="4" s="1"/>
  <c r="AJ52" i="4" s="1"/>
  <c r="AK52" i="4" s="1"/>
  <c r="AL52" i="4" s="1"/>
  <c r="AM52" i="4" s="1"/>
  <c r="AN52" i="4" s="1"/>
  <c r="AO52" i="4" s="1"/>
  <c r="AP52" i="4" s="1"/>
  <c r="AQ52" i="4" s="1"/>
  <c r="AR52" i="4" s="1"/>
  <c r="AS52" i="4" s="1"/>
  <c r="AT52" i="4" s="1"/>
  <c r="AU52" i="4" s="1"/>
  <c r="S51" i="4"/>
  <c r="T51" i="4" s="1"/>
  <c r="U51" i="4" s="1"/>
  <c r="V51" i="4" s="1"/>
  <c r="W51" i="4" s="1"/>
  <c r="X51" i="4" s="1"/>
  <c r="Y51" i="4" s="1"/>
  <c r="Z51" i="4" s="1"/>
  <c r="AA51" i="4" s="1"/>
  <c r="AB51" i="4" s="1"/>
  <c r="AC51" i="4" s="1"/>
  <c r="AD51" i="4" s="1"/>
  <c r="AE51" i="4" s="1"/>
  <c r="AF51" i="4" s="1"/>
  <c r="AG51" i="4" s="1"/>
  <c r="AH51" i="4" s="1"/>
  <c r="AI51" i="4" s="1"/>
  <c r="AJ51" i="4" s="1"/>
  <c r="AK51" i="4" s="1"/>
  <c r="AL51" i="4" s="1"/>
  <c r="AM51" i="4" s="1"/>
  <c r="AN51" i="4" s="1"/>
  <c r="AO51" i="4" s="1"/>
  <c r="AP51" i="4" s="1"/>
  <c r="AQ51" i="4" s="1"/>
  <c r="AR51" i="4" s="1"/>
  <c r="AS51" i="4" s="1"/>
  <c r="AT51" i="4" s="1"/>
  <c r="AU51" i="4" s="1"/>
  <c r="S50" i="4"/>
  <c r="T50" i="4" s="1"/>
  <c r="U50" i="4" s="1"/>
  <c r="V50" i="4" s="1"/>
  <c r="W50" i="4" s="1"/>
  <c r="X50" i="4" s="1"/>
  <c r="Y50" i="4" s="1"/>
  <c r="Z50" i="4" s="1"/>
  <c r="AA50" i="4" s="1"/>
  <c r="AB50" i="4" s="1"/>
  <c r="AC50" i="4" s="1"/>
  <c r="AD50" i="4" s="1"/>
  <c r="AE50" i="4" s="1"/>
  <c r="AF50" i="4" s="1"/>
  <c r="AG50" i="4" s="1"/>
  <c r="AH50" i="4" s="1"/>
  <c r="AI50" i="4" s="1"/>
  <c r="AJ50" i="4" s="1"/>
  <c r="AK50" i="4" s="1"/>
  <c r="AL50" i="4" s="1"/>
  <c r="AM50" i="4" s="1"/>
  <c r="AN50" i="4" s="1"/>
  <c r="AO50" i="4" s="1"/>
  <c r="AP50" i="4" s="1"/>
  <c r="AQ50" i="4" s="1"/>
  <c r="AR50" i="4" s="1"/>
  <c r="AS50" i="4" s="1"/>
  <c r="AT50" i="4" s="1"/>
  <c r="AU50" i="4" s="1"/>
  <c r="S49" i="4"/>
  <c r="T49" i="4" s="1"/>
  <c r="U49" i="4" s="1"/>
  <c r="V49" i="4" s="1"/>
  <c r="W49" i="4" s="1"/>
  <c r="X49" i="4" s="1"/>
  <c r="Y49" i="4" s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AK49" i="4" s="1"/>
  <c r="AL49" i="4" s="1"/>
  <c r="AM49" i="4" s="1"/>
  <c r="AN49" i="4" s="1"/>
  <c r="AO49" i="4" s="1"/>
  <c r="AP49" i="4" s="1"/>
  <c r="AQ49" i="4" s="1"/>
  <c r="AR49" i="4" s="1"/>
  <c r="AS49" i="4" s="1"/>
  <c r="AT49" i="4" s="1"/>
  <c r="AU49" i="4" s="1"/>
  <c r="S48" i="4"/>
  <c r="T48" i="4" s="1"/>
  <c r="U48" i="4" s="1"/>
  <c r="V48" i="4" s="1"/>
  <c r="W48" i="4" s="1"/>
  <c r="X48" i="4" s="1"/>
  <c r="Y48" i="4" s="1"/>
  <c r="Z48" i="4" s="1"/>
  <c r="AA48" i="4" s="1"/>
  <c r="AB48" i="4" s="1"/>
  <c r="AC48" i="4" s="1"/>
  <c r="AD48" i="4" s="1"/>
  <c r="AE48" i="4" s="1"/>
  <c r="AF48" i="4" s="1"/>
  <c r="AG48" i="4" s="1"/>
  <c r="AH48" i="4" s="1"/>
  <c r="AI48" i="4" s="1"/>
  <c r="AJ48" i="4" s="1"/>
  <c r="AK48" i="4" s="1"/>
  <c r="AL48" i="4" s="1"/>
  <c r="AM48" i="4" s="1"/>
  <c r="AN48" i="4" s="1"/>
  <c r="AO48" i="4" s="1"/>
  <c r="AP48" i="4" s="1"/>
  <c r="AQ48" i="4" s="1"/>
  <c r="AR48" i="4" s="1"/>
  <c r="AS48" i="4" s="1"/>
  <c r="AT48" i="4" s="1"/>
  <c r="AU48" i="4" s="1"/>
  <c r="S47" i="4"/>
  <c r="T47" i="4" s="1"/>
  <c r="U47" i="4" s="1"/>
  <c r="V47" i="4" s="1"/>
  <c r="W47" i="4" s="1"/>
  <c r="X47" i="4" s="1"/>
  <c r="Y47" i="4" s="1"/>
  <c r="Z47" i="4" s="1"/>
  <c r="AA47" i="4" s="1"/>
  <c r="AB47" i="4" s="1"/>
  <c r="AC47" i="4" s="1"/>
  <c r="AD47" i="4" s="1"/>
  <c r="AE47" i="4" s="1"/>
  <c r="AF47" i="4" s="1"/>
  <c r="AG47" i="4" s="1"/>
  <c r="AH47" i="4" s="1"/>
  <c r="AI47" i="4" s="1"/>
  <c r="AJ47" i="4" s="1"/>
  <c r="AK47" i="4" s="1"/>
  <c r="AL47" i="4" s="1"/>
  <c r="AM47" i="4" s="1"/>
  <c r="AN47" i="4" s="1"/>
  <c r="AO47" i="4" s="1"/>
  <c r="AP47" i="4" s="1"/>
  <c r="AQ47" i="4" s="1"/>
  <c r="AR47" i="4" s="1"/>
  <c r="AS47" i="4" s="1"/>
  <c r="AT47" i="4" s="1"/>
  <c r="AU47" i="4" s="1"/>
  <c r="AL45" i="4"/>
  <c r="AM45" i="4" s="1"/>
  <c r="AN45" i="4" s="1"/>
  <c r="AO45" i="4" s="1"/>
  <c r="AP45" i="4" s="1"/>
  <c r="AQ45" i="4" s="1"/>
  <c r="AR45" i="4" s="1"/>
  <c r="AS45" i="4" s="1"/>
  <c r="AT45" i="4" s="1"/>
  <c r="AU45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S44" i="4"/>
  <c r="T44" i="4" s="1"/>
  <c r="U44" i="4" s="1"/>
  <c r="V44" i="4" s="1"/>
  <c r="W44" i="4" s="1"/>
  <c r="X44" i="4" s="1"/>
  <c r="Y44" i="4" s="1"/>
  <c r="Z44" i="4" s="1"/>
  <c r="AA44" i="4" s="1"/>
  <c r="AB44" i="4" s="1"/>
  <c r="AC44" i="4" s="1"/>
  <c r="AD44" i="4" s="1"/>
  <c r="AE44" i="4" s="1"/>
  <c r="AF44" i="4" s="1"/>
  <c r="AG44" i="4" s="1"/>
  <c r="AH44" i="4" s="1"/>
  <c r="AI44" i="4" s="1"/>
  <c r="AJ44" i="4" s="1"/>
  <c r="AK44" i="4" s="1"/>
  <c r="AL44" i="4" s="1"/>
  <c r="AM44" i="4" s="1"/>
  <c r="AN44" i="4" s="1"/>
  <c r="AO44" i="4" s="1"/>
  <c r="AP44" i="4" s="1"/>
  <c r="AQ44" i="4" s="1"/>
  <c r="AR44" i="4" s="1"/>
  <c r="AS44" i="4" s="1"/>
  <c r="AT44" i="4" s="1"/>
  <c r="AU44" i="4" s="1"/>
  <c r="AB43" i="4"/>
  <c r="AC43" i="4" s="1"/>
  <c r="AD43" i="4" s="1"/>
  <c r="AE43" i="4" s="1"/>
  <c r="AF43" i="4" s="1"/>
  <c r="AG43" i="4" s="1"/>
  <c r="AH43" i="4" s="1"/>
  <c r="AI43" i="4" s="1"/>
  <c r="AJ43" i="4" s="1"/>
  <c r="AK43" i="4" s="1"/>
  <c r="AL43" i="4" s="1"/>
  <c r="AM43" i="4" s="1"/>
  <c r="AN43" i="4" s="1"/>
  <c r="AO43" i="4" s="1"/>
  <c r="AP43" i="4" s="1"/>
  <c r="AQ43" i="4" s="1"/>
  <c r="AR43" i="4" s="1"/>
  <c r="AS43" i="4" s="1"/>
  <c r="AT43" i="4" s="1"/>
  <c r="AU43" i="4" s="1"/>
  <c r="AB42" i="4"/>
  <c r="AC42" i="4" s="1"/>
  <c r="AD42" i="4" s="1"/>
  <c r="AE42" i="4" s="1"/>
  <c r="AF42" i="4" s="1"/>
  <c r="AG42" i="4" s="1"/>
  <c r="AH42" i="4" s="1"/>
  <c r="AI42" i="4" s="1"/>
  <c r="AJ42" i="4" s="1"/>
  <c r="AK42" i="4" s="1"/>
  <c r="AL42" i="4" s="1"/>
  <c r="AM42" i="4" s="1"/>
  <c r="AN42" i="4" s="1"/>
  <c r="AO42" i="4" s="1"/>
  <c r="AP42" i="4" s="1"/>
  <c r="AQ42" i="4" s="1"/>
  <c r="AR42" i="4" s="1"/>
  <c r="AS42" i="4" s="1"/>
  <c r="AT42" i="4" s="1"/>
  <c r="AU42" i="4" s="1"/>
  <c r="AB41" i="4"/>
  <c r="AC41" i="4" s="1"/>
  <c r="AD41" i="4" s="1"/>
  <c r="AE41" i="4" s="1"/>
  <c r="AF41" i="4" s="1"/>
  <c r="AG41" i="4" s="1"/>
  <c r="AH41" i="4" s="1"/>
  <c r="AI41" i="4" s="1"/>
  <c r="AJ41" i="4" s="1"/>
  <c r="AK41" i="4" s="1"/>
  <c r="AL41" i="4" s="1"/>
  <c r="AM41" i="4" s="1"/>
  <c r="AN41" i="4" s="1"/>
  <c r="AO41" i="4" s="1"/>
  <c r="AP41" i="4" s="1"/>
  <c r="AQ41" i="4" s="1"/>
  <c r="AR41" i="4" s="1"/>
  <c r="AS41" i="4" s="1"/>
  <c r="AT41" i="4" s="1"/>
  <c r="AU41" i="4" s="1"/>
  <c r="W40" i="4"/>
  <c r="X40" i="4" s="1"/>
  <c r="Y40" i="4" s="1"/>
  <c r="Z40" i="4" s="1"/>
  <c r="AA40" i="4" s="1"/>
  <c r="AB40" i="4" s="1"/>
  <c r="AC40" i="4" s="1"/>
  <c r="AD40" i="4" s="1"/>
  <c r="AE40" i="4" s="1"/>
  <c r="AF40" i="4" s="1"/>
  <c r="AG40" i="4" s="1"/>
  <c r="AH40" i="4" s="1"/>
  <c r="AI40" i="4" s="1"/>
  <c r="AJ40" i="4" s="1"/>
  <c r="AK40" i="4" s="1"/>
  <c r="AL40" i="4" s="1"/>
  <c r="AM40" i="4" s="1"/>
  <c r="AN40" i="4" s="1"/>
  <c r="AO40" i="4" s="1"/>
  <c r="AP40" i="4" s="1"/>
  <c r="AQ40" i="4" s="1"/>
  <c r="AR40" i="4" s="1"/>
  <c r="AS40" i="4" s="1"/>
  <c r="AT40" i="4" s="1"/>
  <c r="AU40" i="4" s="1"/>
  <c r="AB39" i="4"/>
  <c r="AC39" i="4" s="1"/>
  <c r="AD39" i="4" s="1"/>
  <c r="AE39" i="4" s="1"/>
  <c r="AF39" i="4" s="1"/>
  <c r="AG39" i="4" s="1"/>
  <c r="AH39" i="4" s="1"/>
  <c r="AI39" i="4" s="1"/>
  <c r="AJ39" i="4" s="1"/>
  <c r="AK39" i="4" s="1"/>
  <c r="AL39" i="4" s="1"/>
  <c r="AM39" i="4" s="1"/>
  <c r="AN39" i="4" s="1"/>
  <c r="AO39" i="4" s="1"/>
  <c r="AP39" i="4" s="1"/>
  <c r="AQ39" i="4" s="1"/>
  <c r="AR39" i="4" s="1"/>
  <c r="AS39" i="4" s="1"/>
  <c r="AT39" i="4" s="1"/>
  <c r="AU39" i="4" s="1"/>
  <c r="AB38" i="4"/>
  <c r="AC38" i="4" s="1"/>
  <c r="AD38" i="4" s="1"/>
  <c r="AE38" i="4" s="1"/>
  <c r="AF38" i="4" s="1"/>
  <c r="AG38" i="4" s="1"/>
  <c r="AH38" i="4" s="1"/>
  <c r="AI38" i="4" s="1"/>
  <c r="AJ38" i="4" s="1"/>
  <c r="AK38" i="4" s="1"/>
  <c r="AL38" i="4" s="1"/>
  <c r="AM38" i="4" s="1"/>
  <c r="AN38" i="4" s="1"/>
  <c r="AO38" i="4" s="1"/>
  <c r="AP38" i="4" s="1"/>
  <c r="AQ38" i="4" s="1"/>
  <c r="AR38" i="4" s="1"/>
  <c r="AS38" i="4" s="1"/>
  <c r="AT38" i="4" s="1"/>
  <c r="AU38" i="4" s="1"/>
  <c r="S36" i="4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AI36" i="4" s="1"/>
  <c r="AJ36" i="4" s="1"/>
  <c r="AK36" i="4" s="1"/>
  <c r="AL36" i="4" s="1"/>
  <c r="AM36" i="4" s="1"/>
  <c r="AN36" i="4" s="1"/>
  <c r="AO36" i="4" s="1"/>
  <c r="AP36" i="4" s="1"/>
  <c r="AQ36" i="4" s="1"/>
  <c r="AR36" i="4" s="1"/>
  <c r="AS36" i="4" s="1"/>
  <c r="AT36" i="4" s="1"/>
  <c r="AU36" i="4" s="1"/>
  <c r="S35" i="4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AG35" i="4" s="1"/>
  <c r="AH35" i="4" s="1"/>
  <c r="AI35" i="4" s="1"/>
  <c r="AJ35" i="4" s="1"/>
  <c r="AK35" i="4" s="1"/>
  <c r="AL35" i="4" s="1"/>
  <c r="AM35" i="4" s="1"/>
  <c r="AN35" i="4" s="1"/>
  <c r="AO35" i="4" s="1"/>
  <c r="AP35" i="4" s="1"/>
  <c r="AQ35" i="4" s="1"/>
  <c r="AR35" i="4" s="1"/>
  <c r="AS35" i="4" s="1"/>
  <c r="AT35" i="4" s="1"/>
  <c r="AU35" i="4" s="1"/>
  <c r="S34" i="4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AK34" i="4" s="1"/>
  <c r="AL34" i="4" s="1"/>
  <c r="AM34" i="4" s="1"/>
  <c r="AN34" i="4" s="1"/>
  <c r="AO34" i="4" s="1"/>
  <c r="AP34" i="4" s="1"/>
  <c r="AQ34" i="4" s="1"/>
  <c r="AR34" i="4" s="1"/>
  <c r="AS34" i="4" s="1"/>
  <c r="AT34" i="4" s="1"/>
  <c r="AU34" i="4" s="1"/>
  <c r="S33" i="4"/>
  <c r="T33" i="4" s="1"/>
  <c r="U33" i="4" s="1"/>
  <c r="V33" i="4" s="1"/>
  <c r="W33" i="4" s="1"/>
  <c r="X33" i="4" s="1"/>
  <c r="Y33" i="4" s="1"/>
  <c r="Z33" i="4" s="1"/>
  <c r="AA33" i="4" s="1"/>
  <c r="AB33" i="4" s="1"/>
  <c r="AC33" i="4" s="1"/>
  <c r="AD33" i="4" s="1"/>
  <c r="AE33" i="4" s="1"/>
  <c r="AF33" i="4" s="1"/>
  <c r="AG33" i="4" s="1"/>
  <c r="AH33" i="4" s="1"/>
  <c r="AI33" i="4" s="1"/>
  <c r="AJ33" i="4" s="1"/>
  <c r="AK33" i="4" s="1"/>
  <c r="AL33" i="4" s="1"/>
  <c r="AM33" i="4" s="1"/>
  <c r="AN33" i="4" s="1"/>
  <c r="AO33" i="4" s="1"/>
  <c r="AP33" i="4" s="1"/>
  <c r="AQ33" i="4" s="1"/>
  <c r="AR33" i="4" s="1"/>
  <c r="AS33" i="4" s="1"/>
  <c r="AT33" i="4" s="1"/>
  <c r="AU33" i="4" s="1"/>
  <c r="S32" i="4"/>
  <c r="T32" i="4" s="1"/>
  <c r="U32" i="4" s="1"/>
  <c r="V32" i="4" s="1"/>
  <c r="W32" i="4" s="1"/>
  <c r="X32" i="4" s="1"/>
  <c r="Y32" i="4" s="1"/>
  <c r="Z32" i="4" s="1"/>
  <c r="AA32" i="4" s="1"/>
  <c r="AB32" i="4" s="1"/>
  <c r="AC32" i="4" s="1"/>
  <c r="AD32" i="4" s="1"/>
  <c r="AE32" i="4" s="1"/>
  <c r="AF32" i="4" s="1"/>
  <c r="AG32" i="4" s="1"/>
  <c r="AH32" i="4" s="1"/>
  <c r="AI32" i="4" s="1"/>
  <c r="AJ32" i="4" s="1"/>
  <c r="AK32" i="4" s="1"/>
  <c r="AL32" i="4" s="1"/>
  <c r="AM32" i="4" s="1"/>
  <c r="AN32" i="4" s="1"/>
  <c r="AO32" i="4" s="1"/>
  <c r="AP32" i="4" s="1"/>
  <c r="AQ32" i="4" s="1"/>
  <c r="AR32" i="4" s="1"/>
  <c r="AS32" i="4" s="1"/>
  <c r="AT32" i="4" s="1"/>
  <c r="AU32" i="4" s="1"/>
  <c r="S31" i="4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R31" i="4" s="1"/>
  <c r="AS31" i="4" s="1"/>
  <c r="AT31" i="4" s="1"/>
  <c r="AU31" i="4" s="1"/>
  <c r="S30" i="4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AK30" i="4" s="1"/>
  <c r="AL30" i="4" s="1"/>
  <c r="AM30" i="4" s="1"/>
  <c r="AN30" i="4" s="1"/>
  <c r="AO30" i="4" s="1"/>
  <c r="AP30" i="4" s="1"/>
  <c r="AQ30" i="4" s="1"/>
  <c r="AR30" i="4" s="1"/>
  <c r="AS30" i="4" s="1"/>
  <c r="AT30" i="4" s="1"/>
  <c r="AU30" i="4" s="1"/>
  <c r="S29" i="4"/>
  <c r="T29" i="4" s="1"/>
  <c r="U29" i="4" s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AK29" i="4" s="1"/>
  <c r="AL29" i="4" s="1"/>
  <c r="AM29" i="4" s="1"/>
  <c r="AN29" i="4" s="1"/>
  <c r="AO29" i="4" s="1"/>
  <c r="AP29" i="4" s="1"/>
  <c r="AQ29" i="4" s="1"/>
  <c r="AR29" i="4" s="1"/>
  <c r="AS29" i="4" s="1"/>
  <c r="AT29" i="4" s="1"/>
  <c r="AU29" i="4" s="1"/>
  <c r="S28" i="4"/>
  <c r="T28" i="4" s="1"/>
  <c r="U28" i="4" s="1"/>
  <c r="V28" i="4" s="1"/>
  <c r="W28" i="4" s="1"/>
  <c r="X28" i="4" s="1"/>
  <c r="Y28" i="4" s="1"/>
  <c r="Z28" i="4" s="1"/>
  <c r="AA28" i="4" s="1"/>
  <c r="AB28" i="4" s="1"/>
  <c r="AC28" i="4" s="1"/>
  <c r="AD28" i="4" s="1"/>
  <c r="AE28" i="4" s="1"/>
  <c r="AF28" i="4" s="1"/>
  <c r="AG28" i="4" s="1"/>
  <c r="AH28" i="4" s="1"/>
  <c r="AI28" i="4" s="1"/>
  <c r="AJ28" i="4" s="1"/>
  <c r="AK28" i="4" s="1"/>
  <c r="AL28" i="4" s="1"/>
  <c r="AM28" i="4" s="1"/>
  <c r="AN28" i="4" s="1"/>
  <c r="AO28" i="4" s="1"/>
  <c r="AP28" i="4" s="1"/>
  <c r="AQ28" i="4" s="1"/>
  <c r="AR28" i="4" s="1"/>
  <c r="AS28" i="4" s="1"/>
  <c r="AT28" i="4" s="1"/>
  <c r="AU28" i="4" s="1"/>
  <c r="S27" i="4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AK27" i="4" s="1"/>
  <c r="AL27" i="4" s="1"/>
  <c r="AM27" i="4" s="1"/>
  <c r="AN27" i="4" s="1"/>
  <c r="AO27" i="4" s="1"/>
  <c r="AP27" i="4" s="1"/>
  <c r="AQ27" i="4" s="1"/>
  <c r="AR27" i="4" s="1"/>
  <c r="AS27" i="4" s="1"/>
  <c r="AT27" i="4" s="1"/>
  <c r="AU27" i="4" s="1"/>
  <c r="S26" i="4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s="1"/>
  <c r="AI26" i="4" s="1"/>
  <c r="AJ26" i="4" s="1"/>
  <c r="AK26" i="4" s="1"/>
  <c r="AL26" i="4" s="1"/>
  <c r="AM26" i="4" s="1"/>
  <c r="AN26" i="4" s="1"/>
  <c r="AO26" i="4" s="1"/>
  <c r="AP26" i="4" s="1"/>
  <c r="AQ26" i="4" s="1"/>
  <c r="AR26" i="4" s="1"/>
  <c r="AS26" i="4" s="1"/>
  <c r="AT26" i="4" s="1"/>
  <c r="AU26" i="4" s="1"/>
  <c r="S24" i="4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24" i="4"/>
  <c r="A25" i="4" s="1"/>
  <c r="A26" i="4" s="1"/>
  <c r="A27" i="4" s="1"/>
  <c r="A28" i="4" s="1"/>
  <c r="A29" i="4" s="1"/>
  <c r="A30" i="4" s="1"/>
  <c r="A31" i="4" s="1"/>
  <c r="A32" i="4" s="1"/>
  <c r="A33" i="4" s="1"/>
  <c r="S23" i="4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L22" i="4"/>
  <c r="AM22" i="4" s="1"/>
  <c r="AN22" i="4" s="1"/>
  <c r="AO22" i="4" s="1"/>
  <c r="AP22" i="4" s="1"/>
  <c r="AQ22" i="4" s="1"/>
  <c r="AR22" i="4" s="1"/>
  <c r="AS22" i="4" s="1"/>
  <c r="AT22" i="4" s="1"/>
  <c r="AU22" i="4" s="1"/>
  <c r="AL21" i="4"/>
  <c r="AM21" i="4" s="1"/>
  <c r="AN21" i="4" s="1"/>
  <c r="AO21" i="4" s="1"/>
  <c r="AP21" i="4" s="1"/>
  <c r="AQ21" i="4" s="1"/>
  <c r="AR21" i="4" s="1"/>
  <c r="AS21" i="4" s="1"/>
  <c r="AT21" i="4" s="1"/>
  <c r="AU21" i="4" s="1"/>
  <c r="AL20" i="4"/>
  <c r="AM20" i="4" s="1"/>
  <c r="AN20" i="4" s="1"/>
  <c r="AO20" i="4" s="1"/>
  <c r="AP20" i="4" s="1"/>
  <c r="AQ20" i="4" s="1"/>
  <c r="AR20" i="4" s="1"/>
  <c r="AS20" i="4" s="1"/>
  <c r="AT20" i="4" s="1"/>
  <c r="AU20" i="4" s="1"/>
  <c r="W19" i="4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L18" i="4"/>
  <c r="AM18" i="4" s="1"/>
  <c r="AN18" i="4" s="1"/>
  <c r="AO18" i="4" s="1"/>
  <c r="AP18" i="4" s="1"/>
  <c r="AQ18" i="4" s="1"/>
  <c r="AR18" i="4" s="1"/>
  <c r="AS18" i="4" s="1"/>
  <c r="AT18" i="4" s="1"/>
  <c r="AU18" i="4" s="1"/>
  <c r="AL17" i="4"/>
  <c r="AM17" i="4" s="1"/>
  <c r="AN17" i="4" s="1"/>
  <c r="AO17" i="4" s="1"/>
  <c r="AP17" i="4" s="1"/>
  <c r="AQ17" i="4" s="1"/>
  <c r="AR17" i="4" s="1"/>
  <c r="AS17" i="4" s="1"/>
  <c r="AT17" i="4" s="1"/>
  <c r="AU17" i="4" s="1"/>
  <c r="S15" i="4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S14" i="4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S13" i="4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S12" i="4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S11" i="4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S10" i="4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AP10" i="4" s="1"/>
  <c r="AQ10" i="4" s="1"/>
  <c r="AR10" i="4" s="1"/>
  <c r="AS10" i="4" s="1"/>
  <c r="AT10" i="4" s="1"/>
  <c r="AU10" i="4" s="1"/>
  <c r="S9" i="4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S8" i="4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S7" i="4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I7" i="4" s="1"/>
  <c r="AJ7" i="4" s="1"/>
  <c r="AK7" i="4" s="1"/>
  <c r="AL7" i="4" s="1"/>
  <c r="AM7" i="4" s="1"/>
  <c r="AN7" i="4" s="1"/>
  <c r="AO7" i="4" s="1"/>
  <c r="AP7" i="4" s="1"/>
  <c r="AQ7" i="4" s="1"/>
  <c r="AR7" i="4" s="1"/>
  <c r="AS7" i="4" s="1"/>
  <c r="AT7" i="4" s="1"/>
  <c r="AU7" i="4" s="1"/>
  <c r="S6" i="4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S5" i="4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S3" i="4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T3" i="4" s="1"/>
  <c r="AU3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L2" i="4"/>
  <c r="AM2" i="4" s="1"/>
  <c r="AN2" i="4" s="1"/>
  <c r="AO2" i="4" s="1"/>
  <c r="AP2" i="4" s="1"/>
  <c r="AQ2" i="4" s="1"/>
  <c r="AR2" i="4" s="1"/>
  <c r="AS2" i="4" s="1"/>
  <c r="AT2" i="4" s="1"/>
  <c r="AU2" i="4" s="1"/>
  <c r="AL1" i="4"/>
  <c r="AM1" i="4" s="1"/>
  <c r="AN1" i="4" s="1"/>
  <c r="AO1" i="4" s="1"/>
  <c r="AP1" i="4" s="1"/>
  <c r="AQ1" i="4" s="1"/>
  <c r="AR1" i="4" s="1"/>
  <c r="AS1" i="4" s="1"/>
  <c r="AT1" i="4" s="1"/>
  <c r="AU1" i="4" s="1"/>
  <c r="AF515" i="3"/>
  <c r="AG515" i="3" s="1"/>
  <c r="AH515" i="3" s="1"/>
  <c r="AI515" i="3" s="1"/>
  <c r="AJ515" i="3" s="1"/>
  <c r="AK515" i="3" s="1"/>
  <c r="AL515" i="3" s="1"/>
  <c r="AM515" i="3" s="1"/>
  <c r="AN515" i="3" s="1"/>
  <c r="AO515" i="3" s="1"/>
  <c r="AF514" i="3"/>
  <c r="AG514" i="3" s="1"/>
  <c r="AH514" i="3" s="1"/>
  <c r="AI514" i="3" s="1"/>
  <c r="AJ514" i="3" s="1"/>
  <c r="AK514" i="3" s="1"/>
  <c r="AL514" i="3" s="1"/>
  <c r="AM514" i="3" s="1"/>
  <c r="AN514" i="3" s="1"/>
  <c r="AO514" i="3" s="1"/>
  <c r="AF513" i="3"/>
  <c r="AG513" i="3" s="1"/>
  <c r="AH513" i="3" s="1"/>
  <c r="AI513" i="3" s="1"/>
  <c r="AJ513" i="3" s="1"/>
  <c r="AK513" i="3" s="1"/>
  <c r="AL513" i="3" s="1"/>
  <c r="AM513" i="3" s="1"/>
  <c r="AN513" i="3" s="1"/>
  <c r="AO513" i="3" s="1"/>
  <c r="AF512" i="3"/>
  <c r="AG512" i="3" s="1"/>
  <c r="AH512" i="3" s="1"/>
  <c r="AI512" i="3" s="1"/>
  <c r="AJ512" i="3" s="1"/>
  <c r="AK512" i="3" s="1"/>
  <c r="AL512" i="3" s="1"/>
  <c r="AM512" i="3" s="1"/>
  <c r="AN512" i="3" s="1"/>
  <c r="AO512" i="3" s="1"/>
  <c r="AF511" i="3"/>
  <c r="AG511" i="3" s="1"/>
  <c r="AH511" i="3" s="1"/>
  <c r="AI511" i="3" s="1"/>
  <c r="AJ511" i="3" s="1"/>
  <c r="AK511" i="3" s="1"/>
  <c r="AL511" i="3" s="1"/>
  <c r="AM511" i="3" s="1"/>
  <c r="AN511" i="3" s="1"/>
  <c r="AO511" i="3" s="1"/>
  <c r="AF510" i="3"/>
  <c r="AG510" i="3" s="1"/>
  <c r="AH510" i="3" s="1"/>
  <c r="AI510" i="3" s="1"/>
  <c r="AJ510" i="3" s="1"/>
  <c r="AK510" i="3" s="1"/>
  <c r="AL510" i="3" s="1"/>
  <c r="AM510" i="3" s="1"/>
  <c r="AN510" i="3" s="1"/>
  <c r="AO510" i="3" s="1"/>
  <c r="AF509" i="3"/>
  <c r="AG509" i="3" s="1"/>
  <c r="AH509" i="3" s="1"/>
  <c r="AI509" i="3" s="1"/>
  <c r="AJ509" i="3" s="1"/>
  <c r="AK509" i="3" s="1"/>
  <c r="AL509" i="3" s="1"/>
  <c r="AM509" i="3" s="1"/>
  <c r="AN509" i="3" s="1"/>
  <c r="AO509" i="3" s="1"/>
  <c r="AF508" i="3"/>
  <c r="AG508" i="3" s="1"/>
  <c r="AH508" i="3" s="1"/>
  <c r="AI508" i="3" s="1"/>
  <c r="AJ508" i="3" s="1"/>
  <c r="AK508" i="3" s="1"/>
  <c r="AL508" i="3" s="1"/>
  <c r="AM508" i="3" s="1"/>
  <c r="AN508" i="3" s="1"/>
  <c r="AO508" i="3" s="1"/>
  <c r="AF506" i="3"/>
  <c r="AG506" i="3" s="1"/>
  <c r="AH506" i="3" s="1"/>
  <c r="AI506" i="3" s="1"/>
  <c r="AJ506" i="3" s="1"/>
  <c r="AK506" i="3" s="1"/>
  <c r="AL506" i="3" s="1"/>
  <c r="AM506" i="3" s="1"/>
  <c r="AN506" i="3" s="1"/>
  <c r="AO506" i="3" s="1"/>
  <c r="AF505" i="3"/>
  <c r="AG505" i="3" s="1"/>
  <c r="AH505" i="3" s="1"/>
  <c r="AI505" i="3" s="1"/>
  <c r="AJ505" i="3" s="1"/>
  <c r="AK505" i="3" s="1"/>
  <c r="AL505" i="3" s="1"/>
  <c r="AM505" i="3" s="1"/>
  <c r="AN505" i="3" s="1"/>
  <c r="AO505" i="3" s="1"/>
  <c r="AF504" i="3"/>
  <c r="AG504" i="3" s="1"/>
  <c r="AH504" i="3" s="1"/>
  <c r="AI504" i="3" s="1"/>
  <c r="AJ504" i="3" s="1"/>
  <c r="AK504" i="3" s="1"/>
  <c r="AL504" i="3" s="1"/>
  <c r="AM504" i="3" s="1"/>
  <c r="AN504" i="3" s="1"/>
  <c r="AO504" i="3" s="1"/>
  <c r="AF503" i="3"/>
  <c r="AG503" i="3" s="1"/>
  <c r="AH503" i="3" s="1"/>
  <c r="AI503" i="3" s="1"/>
  <c r="AJ503" i="3" s="1"/>
  <c r="AK503" i="3" s="1"/>
  <c r="AL503" i="3" s="1"/>
  <c r="AM503" i="3" s="1"/>
  <c r="AN503" i="3" s="1"/>
  <c r="AO503" i="3" s="1"/>
  <c r="AF502" i="3"/>
  <c r="AG502" i="3" s="1"/>
  <c r="AH502" i="3" s="1"/>
  <c r="AI502" i="3" s="1"/>
  <c r="AJ502" i="3" s="1"/>
  <c r="AK502" i="3" s="1"/>
  <c r="AL502" i="3" s="1"/>
  <c r="AM502" i="3" s="1"/>
  <c r="AN502" i="3" s="1"/>
  <c r="AO502" i="3" s="1"/>
  <c r="AF501" i="3"/>
  <c r="AG501" i="3" s="1"/>
  <c r="AH501" i="3" s="1"/>
  <c r="AI501" i="3" s="1"/>
  <c r="AJ501" i="3" s="1"/>
  <c r="AK501" i="3" s="1"/>
  <c r="AL501" i="3" s="1"/>
  <c r="AM501" i="3" s="1"/>
  <c r="AN501" i="3" s="1"/>
  <c r="AO501" i="3" s="1"/>
  <c r="AF500" i="3"/>
  <c r="AG500" i="3" s="1"/>
  <c r="AH500" i="3" s="1"/>
  <c r="AI500" i="3" s="1"/>
  <c r="AJ500" i="3" s="1"/>
  <c r="AK500" i="3" s="1"/>
  <c r="AL500" i="3" s="1"/>
  <c r="AM500" i="3" s="1"/>
  <c r="AN500" i="3" s="1"/>
  <c r="AO500" i="3" s="1"/>
  <c r="AF499" i="3"/>
  <c r="AG499" i="3" s="1"/>
  <c r="AH499" i="3" s="1"/>
  <c r="AI499" i="3" s="1"/>
  <c r="AJ499" i="3" s="1"/>
  <c r="AK499" i="3" s="1"/>
  <c r="AL499" i="3" s="1"/>
  <c r="AM499" i="3" s="1"/>
  <c r="AN499" i="3" s="1"/>
  <c r="AO499" i="3" s="1"/>
  <c r="AF498" i="3"/>
  <c r="AG498" i="3" s="1"/>
  <c r="AH498" i="3" s="1"/>
  <c r="AI498" i="3" s="1"/>
  <c r="AJ498" i="3" s="1"/>
  <c r="AK498" i="3" s="1"/>
  <c r="AL498" i="3" s="1"/>
  <c r="AM498" i="3" s="1"/>
  <c r="AN498" i="3" s="1"/>
  <c r="AO498" i="3" s="1"/>
  <c r="AF497" i="3"/>
  <c r="AG497" i="3" s="1"/>
  <c r="AH497" i="3" s="1"/>
  <c r="AI497" i="3" s="1"/>
  <c r="AJ497" i="3" s="1"/>
  <c r="AK497" i="3" s="1"/>
  <c r="AL497" i="3" s="1"/>
  <c r="AM497" i="3" s="1"/>
  <c r="AN497" i="3" s="1"/>
  <c r="AO497" i="3" s="1"/>
  <c r="AF496" i="3"/>
  <c r="AG496" i="3" s="1"/>
  <c r="AH496" i="3" s="1"/>
  <c r="AI496" i="3" s="1"/>
  <c r="AJ496" i="3" s="1"/>
  <c r="AK496" i="3" s="1"/>
  <c r="AL496" i="3" s="1"/>
  <c r="AM496" i="3" s="1"/>
  <c r="AN496" i="3" s="1"/>
  <c r="AO496" i="3" s="1"/>
  <c r="AF495" i="3"/>
  <c r="AG495" i="3" s="1"/>
  <c r="AH495" i="3" s="1"/>
  <c r="AI495" i="3" s="1"/>
  <c r="AJ495" i="3" s="1"/>
  <c r="AK495" i="3" s="1"/>
  <c r="AL495" i="3" s="1"/>
  <c r="AM495" i="3" s="1"/>
  <c r="AN495" i="3" s="1"/>
  <c r="AO495" i="3" s="1"/>
  <c r="AF494" i="3"/>
  <c r="AG494" i="3" s="1"/>
  <c r="AH494" i="3" s="1"/>
  <c r="AI494" i="3" s="1"/>
  <c r="AJ494" i="3" s="1"/>
  <c r="AK494" i="3" s="1"/>
  <c r="AL494" i="3" s="1"/>
  <c r="AM494" i="3" s="1"/>
  <c r="AN494" i="3" s="1"/>
  <c r="AO494" i="3" s="1"/>
  <c r="AF493" i="3"/>
  <c r="AG493" i="3" s="1"/>
  <c r="AH493" i="3" s="1"/>
  <c r="AI493" i="3" s="1"/>
  <c r="AJ493" i="3" s="1"/>
  <c r="AK493" i="3" s="1"/>
  <c r="AL493" i="3" s="1"/>
  <c r="AM493" i="3" s="1"/>
  <c r="AN493" i="3" s="1"/>
  <c r="AO493" i="3" s="1"/>
  <c r="AF492" i="3"/>
  <c r="AG492" i="3" s="1"/>
  <c r="AH492" i="3" s="1"/>
  <c r="AI492" i="3" s="1"/>
  <c r="AJ492" i="3" s="1"/>
  <c r="AK492" i="3" s="1"/>
  <c r="AL492" i="3" s="1"/>
  <c r="AM492" i="3" s="1"/>
  <c r="AN492" i="3" s="1"/>
  <c r="AO492" i="3" s="1"/>
  <c r="AF491" i="3"/>
  <c r="AG491" i="3" s="1"/>
  <c r="AH491" i="3" s="1"/>
  <c r="AI491" i="3" s="1"/>
  <c r="AJ491" i="3" s="1"/>
  <c r="AK491" i="3" s="1"/>
  <c r="AL491" i="3" s="1"/>
  <c r="AM491" i="3" s="1"/>
  <c r="AN491" i="3" s="1"/>
  <c r="AO491" i="3" s="1"/>
  <c r="A491" i="3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F490" i="3"/>
  <c r="AG490" i="3" s="1"/>
  <c r="AH490" i="3" s="1"/>
  <c r="AI490" i="3" s="1"/>
  <c r="AJ490" i="3" s="1"/>
  <c r="AK490" i="3" s="1"/>
  <c r="AL490" i="3" s="1"/>
  <c r="AM490" i="3" s="1"/>
  <c r="AN490" i="3" s="1"/>
  <c r="AO490" i="3" s="1"/>
  <c r="AF489" i="3"/>
  <c r="AG489" i="3" s="1"/>
  <c r="AH489" i="3" s="1"/>
  <c r="AI489" i="3" s="1"/>
  <c r="AJ489" i="3" s="1"/>
  <c r="AK489" i="3" s="1"/>
  <c r="AL489" i="3" s="1"/>
  <c r="AM489" i="3" s="1"/>
  <c r="AN489" i="3" s="1"/>
  <c r="AO489" i="3" s="1"/>
  <c r="L488" i="3"/>
  <c r="M488" i="3" s="1"/>
  <c r="N488" i="3" s="1"/>
  <c r="O488" i="3" s="1"/>
  <c r="P488" i="3" s="1"/>
  <c r="Q488" i="3" s="1"/>
  <c r="R488" i="3" s="1"/>
  <c r="S488" i="3" s="1"/>
  <c r="T488" i="3" s="1"/>
  <c r="U488" i="3" s="1"/>
  <c r="V488" i="3" s="1"/>
  <c r="W488" i="3" s="1"/>
  <c r="X488" i="3" s="1"/>
  <c r="Y488" i="3" s="1"/>
  <c r="Z488" i="3" s="1"/>
  <c r="AA488" i="3" s="1"/>
  <c r="AB488" i="3" s="1"/>
  <c r="AC488" i="3" s="1"/>
  <c r="AD488" i="3" s="1"/>
  <c r="AE488" i="3" s="1"/>
  <c r="AF488" i="3" s="1"/>
  <c r="AG488" i="3" s="1"/>
  <c r="AH488" i="3" s="1"/>
  <c r="AI488" i="3" s="1"/>
  <c r="AJ488" i="3" s="1"/>
  <c r="AK488" i="3" s="1"/>
  <c r="AL488" i="3" s="1"/>
  <c r="AM488" i="3" s="1"/>
  <c r="AN488" i="3" s="1"/>
  <c r="AO488" i="3" s="1"/>
  <c r="L487" i="3"/>
  <c r="M487" i="3" s="1"/>
  <c r="N487" i="3" s="1"/>
  <c r="O487" i="3" s="1"/>
  <c r="P487" i="3" s="1"/>
  <c r="Q487" i="3" s="1"/>
  <c r="R487" i="3" s="1"/>
  <c r="S487" i="3" s="1"/>
  <c r="T487" i="3" s="1"/>
  <c r="U487" i="3" s="1"/>
  <c r="V487" i="3" s="1"/>
  <c r="W487" i="3" s="1"/>
  <c r="X487" i="3" s="1"/>
  <c r="Y487" i="3" s="1"/>
  <c r="Z487" i="3" s="1"/>
  <c r="AA487" i="3" s="1"/>
  <c r="AB487" i="3" s="1"/>
  <c r="AC487" i="3" s="1"/>
  <c r="AD487" i="3" s="1"/>
  <c r="AE487" i="3" s="1"/>
  <c r="AF487" i="3" s="1"/>
  <c r="AG487" i="3" s="1"/>
  <c r="AH487" i="3" s="1"/>
  <c r="AI487" i="3" s="1"/>
  <c r="AJ487" i="3" s="1"/>
  <c r="AK487" i="3" s="1"/>
  <c r="AL487" i="3" s="1"/>
  <c r="AM487" i="3" s="1"/>
  <c r="AN487" i="3" s="1"/>
  <c r="AO487" i="3" s="1"/>
  <c r="L486" i="3"/>
  <c r="M486" i="3" s="1"/>
  <c r="N486" i="3" s="1"/>
  <c r="O486" i="3" s="1"/>
  <c r="P486" i="3" s="1"/>
  <c r="Q486" i="3" s="1"/>
  <c r="R486" i="3" s="1"/>
  <c r="S486" i="3" s="1"/>
  <c r="T486" i="3" s="1"/>
  <c r="U486" i="3" s="1"/>
  <c r="V486" i="3" s="1"/>
  <c r="W486" i="3" s="1"/>
  <c r="X486" i="3" s="1"/>
  <c r="Y486" i="3" s="1"/>
  <c r="Z486" i="3" s="1"/>
  <c r="AA486" i="3" s="1"/>
  <c r="AB486" i="3" s="1"/>
  <c r="AC486" i="3" s="1"/>
  <c r="AD486" i="3" s="1"/>
  <c r="AE486" i="3" s="1"/>
  <c r="AF486" i="3" s="1"/>
  <c r="AG486" i="3" s="1"/>
  <c r="AH486" i="3" s="1"/>
  <c r="AI486" i="3" s="1"/>
  <c r="AJ486" i="3" s="1"/>
  <c r="AK486" i="3" s="1"/>
  <c r="AL486" i="3" s="1"/>
  <c r="AM486" i="3" s="1"/>
  <c r="AN486" i="3" s="1"/>
  <c r="AO486" i="3" s="1"/>
  <c r="L485" i="3"/>
  <c r="M485" i="3" s="1"/>
  <c r="N485" i="3" s="1"/>
  <c r="O485" i="3" s="1"/>
  <c r="P485" i="3" s="1"/>
  <c r="Q485" i="3" s="1"/>
  <c r="R485" i="3" s="1"/>
  <c r="S485" i="3" s="1"/>
  <c r="T485" i="3" s="1"/>
  <c r="U485" i="3" s="1"/>
  <c r="V485" i="3" s="1"/>
  <c r="W485" i="3" s="1"/>
  <c r="X485" i="3" s="1"/>
  <c r="Y485" i="3" s="1"/>
  <c r="Z485" i="3" s="1"/>
  <c r="AA485" i="3" s="1"/>
  <c r="AB485" i="3" s="1"/>
  <c r="AC485" i="3" s="1"/>
  <c r="AD485" i="3" s="1"/>
  <c r="AE485" i="3" s="1"/>
  <c r="AF485" i="3" s="1"/>
  <c r="AG485" i="3" s="1"/>
  <c r="AH485" i="3" s="1"/>
  <c r="AI485" i="3" s="1"/>
  <c r="AJ485" i="3" s="1"/>
  <c r="AK485" i="3" s="1"/>
  <c r="AL485" i="3" s="1"/>
  <c r="AM485" i="3" s="1"/>
  <c r="AN485" i="3" s="1"/>
  <c r="AO485" i="3" s="1"/>
  <c r="L484" i="3"/>
  <c r="M484" i="3" s="1"/>
  <c r="N484" i="3" s="1"/>
  <c r="O484" i="3" s="1"/>
  <c r="P484" i="3" s="1"/>
  <c r="Q484" i="3" s="1"/>
  <c r="R484" i="3" s="1"/>
  <c r="S484" i="3" s="1"/>
  <c r="T484" i="3" s="1"/>
  <c r="U484" i="3" s="1"/>
  <c r="V484" i="3" s="1"/>
  <c r="W484" i="3" s="1"/>
  <c r="X484" i="3" s="1"/>
  <c r="Y484" i="3" s="1"/>
  <c r="Z484" i="3" s="1"/>
  <c r="AA484" i="3" s="1"/>
  <c r="AB484" i="3" s="1"/>
  <c r="AC484" i="3" s="1"/>
  <c r="AD484" i="3" s="1"/>
  <c r="AE484" i="3" s="1"/>
  <c r="AF484" i="3" s="1"/>
  <c r="AG484" i="3" s="1"/>
  <c r="AH484" i="3" s="1"/>
  <c r="AI484" i="3" s="1"/>
  <c r="AJ484" i="3" s="1"/>
  <c r="AK484" i="3" s="1"/>
  <c r="AL484" i="3" s="1"/>
  <c r="AM484" i="3" s="1"/>
  <c r="AN484" i="3" s="1"/>
  <c r="AO484" i="3" s="1"/>
  <c r="L483" i="3"/>
  <c r="M483" i="3" s="1"/>
  <c r="N483" i="3" s="1"/>
  <c r="O483" i="3" s="1"/>
  <c r="P483" i="3" s="1"/>
  <c r="Q483" i="3" s="1"/>
  <c r="R483" i="3" s="1"/>
  <c r="S483" i="3" s="1"/>
  <c r="T483" i="3" s="1"/>
  <c r="U483" i="3" s="1"/>
  <c r="V483" i="3" s="1"/>
  <c r="W483" i="3" s="1"/>
  <c r="X483" i="3" s="1"/>
  <c r="Y483" i="3" s="1"/>
  <c r="Z483" i="3" s="1"/>
  <c r="AA483" i="3" s="1"/>
  <c r="AB483" i="3" s="1"/>
  <c r="AC483" i="3" s="1"/>
  <c r="AD483" i="3" s="1"/>
  <c r="AE483" i="3" s="1"/>
  <c r="AF483" i="3" s="1"/>
  <c r="AG483" i="3" s="1"/>
  <c r="AH483" i="3" s="1"/>
  <c r="AI483" i="3" s="1"/>
  <c r="AJ483" i="3" s="1"/>
  <c r="AK483" i="3" s="1"/>
  <c r="AL483" i="3" s="1"/>
  <c r="AM483" i="3" s="1"/>
  <c r="AN483" i="3" s="1"/>
  <c r="AO483" i="3" s="1"/>
  <c r="L482" i="3"/>
  <c r="M482" i="3" s="1"/>
  <c r="N482" i="3" s="1"/>
  <c r="O482" i="3" s="1"/>
  <c r="P482" i="3" s="1"/>
  <c r="Q482" i="3" s="1"/>
  <c r="R482" i="3" s="1"/>
  <c r="S482" i="3" s="1"/>
  <c r="T482" i="3" s="1"/>
  <c r="U482" i="3" s="1"/>
  <c r="V482" i="3" s="1"/>
  <c r="W482" i="3" s="1"/>
  <c r="X482" i="3" s="1"/>
  <c r="Y482" i="3" s="1"/>
  <c r="Z482" i="3" s="1"/>
  <c r="AA482" i="3" s="1"/>
  <c r="AB482" i="3" s="1"/>
  <c r="AC482" i="3" s="1"/>
  <c r="AD482" i="3" s="1"/>
  <c r="AE482" i="3" s="1"/>
  <c r="AF482" i="3" s="1"/>
  <c r="AG482" i="3" s="1"/>
  <c r="AH482" i="3" s="1"/>
  <c r="AI482" i="3" s="1"/>
  <c r="AJ482" i="3" s="1"/>
  <c r="AK482" i="3" s="1"/>
  <c r="AL482" i="3" s="1"/>
  <c r="AM482" i="3" s="1"/>
  <c r="AN482" i="3" s="1"/>
  <c r="AO482" i="3" s="1"/>
  <c r="L481" i="3"/>
  <c r="M481" i="3" s="1"/>
  <c r="N481" i="3" s="1"/>
  <c r="O481" i="3" s="1"/>
  <c r="P481" i="3" s="1"/>
  <c r="Q481" i="3" s="1"/>
  <c r="R481" i="3" s="1"/>
  <c r="S481" i="3" s="1"/>
  <c r="T481" i="3" s="1"/>
  <c r="U481" i="3" s="1"/>
  <c r="V481" i="3" s="1"/>
  <c r="W481" i="3" s="1"/>
  <c r="X481" i="3" s="1"/>
  <c r="Y481" i="3" s="1"/>
  <c r="Z481" i="3" s="1"/>
  <c r="AA481" i="3" s="1"/>
  <c r="AB481" i="3" s="1"/>
  <c r="AC481" i="3" s="1"/>
  <c r="AD481" i="3" s="1"/>
  <c r="AE481" i="3" s="1"/>
  <c r="AF481" i="3" s="1"/>
  <c r="AG481" i="3" s="1"/>
  <c r="AH481" i="3" s="1"/>
  <c r="AI481" i="3" s="1"/>
  <c r="AJ481" i="3" s="1"/>
  <c r="AK481" i="3" s="1"/>
  <c r="AL481" i="3" s="1"/>
  <c r="AM481" i="3" s="1"/>
  <c r="AN481" i="3" s="1"/>
  <c r="AO481" i="3" s="1"/>
  <c r="L479" i="3"/>
  <c r="M479" i="3" s="1"/>
  <c r="N479" i="3" s="1"/>
  <c r="O479" i="3" s="1"/>
  <c r="P479" i="3" s="1"/>
  <c r="Q479" i="3" s="1"/>
  <c r="R479" i="3" s="1"/>
  <c r="S479" i="3" s="1"/>
  <c r="T479" i="3" s="1"/>
  <c r="U479" i="3" s="1"/>
  <c r="V479" i="3" s="1"/>
  <c r="W479" i="3" s="1"/>
  <c r="X479" i="3" s="1"/>
  <c r="Y479" i="3" s="1"/>
  <c r="Z479" i="3" s="1"/>
  <c r="AA479" i="3" s="1"/>
  <c r="AB479" i="3" s="1"/>
  <c r="AC479" i="3" s="1"/>
  <c r="AD479" i="3" s="1"/>
  <c r="AE479" i="3" s="1"/>
  <c r="AF479" i="3" s="1"/>
  <c r="AG479" i="3" s="1"/>
  <c r="AH479" i="3" s="1"/>
  <c r="AI479" i="3" s="1"/>
  <c r="AJ479" i="3" s="1"/>
  <c r="AK479" i="3" s="1"/>
  <c r="AL479" i="3" s="1"/>
  <c r="AM479" i="3" s="1"/>
  <c r="AN479" i="3" s="1"/>
  <c r="AO479" i="3" s="1"/>
  <c r="L478" i="3"/>
  <c r="M478" i="3" s="1"/>
  <c r="N478" i="3" s="1"/>
  <c r="O478" i="3" s="1"/>
  <c r="P478" i="3" s="1"/>
  <c r="Q478" i="3" s="1"/>
  <c r="R478" i="3" s="1"/>
  <c r="S478" i="3" s="1"/>
  <c r="T478" i="3" s="1"/>
  <c r="U478" i="3" s="1"/>
  <c r="V478" i="3" s="1"/>
  <c r="W478" i="3" s="1"/>
  <c r="X478" i="3" s="1"/>
  <c r="Y478" i="3" s="1"/>
  <c r="Z478" i="3" s="1"/>
  <c r="AA478" i="3" s="1"/>
  <c r="AB478" i="3" s="1"/>
  <c r="AC478" i="3" s="1"/>
  <c r="AD478" i="3" s="1"/>
  <c r="AE478" i="3" s="1"/>
  <c r="AF478" i="3" s="1"/>
  <c r="AG478" i="3" s="1"/>
  <c r="AH478" i="3" s="1"/>
  <c r="AI478" i="3" s="1"/>
  <c r="AJ478" i="3" s="1"/>
  <c r="AK478" i="3" s="1"/>
  <c r="AL478" i="3" s="1"/>
  <c r="AM478" i="3" s="1"/>
  <c r="AN478" i="3" s="1"/>
  <c r="AO478" i="3" s="1"/>
  <c r="L477" i="3"/>
  <c r="M477" i="3" s="1"/>
  <c r="N477" i="3" s="1"/>
  <c r="O477" i="3" s="1"/>
  <c r="P477" i="3" s="1"/>
  <c r="Q477" i="3" s="1"/>
  <c r="R477" i="3" s="1"/>
  <c r="S477" i="3" s="1"/>
  <c r="T477" i="3" s="1"/>
  <c r="U477" i="3" s="1"/>
  <c r="V477" i="3" s="1"/>
  <c r="W477" i="3" s="1"/>
  <c r="X477" i="3" s="1"/>
  <c r="Y477" i="3" s="1"/>
  <c r="Z477" i="3" s="1"/>
  <c r="AA477" i="3" s="1"/>
  <c r="AB477" i="3" s="1"/>
  <c r="AC477" i="3" s="1"/>
  <c r="AD477" i="3" s="1"/>
  <c r="AE477" i="3" s="1"/>
  <c r="AF477" i="3" s="1"/>
  <c r="AG477" i="3" s="1"/>
  <c r="AH477" i="3" s="1"/>
  <c r="AI477" i="3" s="1"/>
  <c r="AJ477" i="3" s="1"/>
  <c r="AK477" i="3" s="1"/>
  <c r="AL477" i="3" s="1"/>
  <c r="AM477" i="3" s="1"/>
  <c r="AN477" i="3" s="1"/>
  <c r="AO477" i="3" s="1"/>
  <c r="L476" i="3"/>
  <c r="M476" i="3" s="1"/>
  <c r="N476" i="3" s="1"/>
  <c r="O476" i="3" s="1"/>
  <c r="P476" i="3" s="1"/>
  <c r="Q476" i="3" s="1"/>
  <c r="R476" i="3" s="1"/>
  <c r="S476" i="3" s="1"/>
  <c r="T476" i="3" s="1"/>
  <c r="U476" i="3" s="1"/>
  <c r="V476" i="3" s="1"/>
  <c r="W476" i="3" s="1"/>
  <c r="X476" i="3" s="1"/>
  <c r="Y476" i="3" s="1"/>
  <c r="Z476" i="3" s="1"/>
  <c r="AA476" i="3" s="1"/>
  <c r="AB476" i="3" s="1"/>
  <c r="AC476" i="3" s="1"/>
  <c r="AD476" i="3" s="1"/>
  <c r="AE476" i="3" s="1"/>
  <c r="AF476" i="3" s="1"/>
  <c r="AG476" i="3" s="1"/>
  <c r="AH476" i="3" s="1"/>
  <c r="AI476" i="3" s="1"/>
  <c r="AJ476" i="3" s="1"/>
  <c r="AK476" i="3" s="1"/>
  <c r="AL476" i="3" s="1"/>
  <c r="AM476" i="3" s="1"/>
  <c r="AN476" i="3" s="1"/>
  <c r="AO476" i="3" s="1"/>
  <c r="L475" i="3"/>
  <c r="M475" i="3" s="1"/>
  <c r="N475" i="3" s="1"/>
  <c r="O475" i="3" s="1"/>
  <c r="P475" i="3" s="1"/>
  <c r="Q475" i="3" s="1"/>
  <c r="R475" i="3" s="1"/>
  <c r="S475" i="3" s="1"/>
  <c r="T475" i="3" s="1"/>
  <c r="U475" i="3" s="1"/>
  <c r="V475" i="3" s="1"/>
  <c r="W475" i="3" s="1"/>
  <c r="X475" i="3" s="1"/>
  <c r="Y475" i="3" s="1"/>
  <c r="Z475" i="3" s="1"/>
  <c r="AA475" i="3" s="1"/>
  <c r="AB475" i="3" s="1"/>
  <c r="AC475" i="3" s="1"/>
  <c r="AD475" i="3" s="1"/>
  <c r="AE475" i="3" s="1"/>
  <c r="AF475" i="3" s="1"/>
  <c r="AG475" i="3" s="1"/>
  <c r="AH475" i="3" s="1"/>
  <c r="AI475" i="3" s="1"/>
  <c r="AJ475" i="3" s="1"/>
  <c r="AK475" i="3" s="1"/>
  <c r="AL475" i="3" s="1"/>
  <c r="AM475" i="3" s="1"/>
  <c r="AN475" i="3" s="1"/>
  <c r="AO475" i="3" s="1"/>
  <c r="L474" i="3"/>
  <c r="M474" i="3" s="1"/>
  <c r="N474" i="3" s="1"/>
  <c r="O474" i="3" s="1"/>
  <c r="P474" i="3" s="1"/>
  <c r="Q474" i="3" s="1"/>
  <c r="R474" i="3" s="1"/>
  <c r="S474" i="3" s="1"/>
  <c r="T474" i="3" s="1"/>
  <c r="U474" i="3" s="1"/>
  <c r="V474" i="3" s="1"/>
  <c r="W474" i="3" s="1"/>
  <c r="X474" i="3" s="1"/>
  <c r="Y474" i="3" s="1"/>
  <c r="Z474" i="3" s="1"/>
  <c r="AA474" i="3" s="1"/>
  <c r="AB474" i="3" s="1"/>
  <c r="AC474" i="3" s="1"/>
  <c r="AD474" i="3" s="1"/>
  <c r="AE474" i="3" s="1"/>
  <c r="AF474" i="3" s="1"/>
  <c r="AG474" i="3" s="1"/>
  <c r="AH474" i="3" s="1"/>
  <c r="AI474" i="3" s="1"/>
  <c r="AJ474" i="3" s="1"/>
  <c r="AK474" i="3" s="1"/>
  <c r="AL474" i="3" s="1"/>
  <c r="AM474" i="3" s="1"/>
  <c r="AN474" i="3" s="1"/>
  <c r="AO474" i="3" s="1"/>
  <c r="L473" i="3"/>
  <c r="M473" i="3" s="1"/>
  <c r="N473" i="3" s="1"/>
  <c r="O473" i="3" s="1"/>
  <c r="P473" i="3" s="1"/>
  <c r="Q473" i="3" s="1"/>
  <c r="R473" i="3" s="1"/>
  <c r="S473" i="3" s="1"/>
  <c r="T473" i="3" s="1"/>
  <c r="U473" i="3" s="1"/>
  <c r="V473" i="3" s="1"/>
  <c r="W473" i="3" s="1"/>
  <c r="X473" i="3" s="1"/>
  <c r="Y473" i="3" s="1"/>
  <c r="Z473" i="3" s="1"/>
  <c r="AA473" i="3" s="1"/>
  <c r="AB473" i="3" s="1"/>
  <c r="AC473" i="3" s="1"/>
  <c r="AD473" i="3" s="1"/>
  <c r="AE473" i="3" s="1"/>
  <c r="AF473" i="3" s="1"/>
  <c r="AG473" i="3" s="1"/>
  <c r="AH473" i="3" s="1"/>
  <c r="AI473" i="3" s="1"/>
  <c r="AJ473" i="3" s="1"/>
  <c r="AK473" i="3" s="1"/>
  <c r="AL473" i="3" s="1"/>
  <c r="AM473" i="3" s="1"/>
  <c r="AN473" i="3" s="1"/>
  <c r="AO473" i="3" s="1"/>
  <c r="L472" i="3"/>
  <c r="M472" i="3" s="1"/>
  <c r="N472" i="3" s="1"/>
  <c r="O472" i="3" s="1"/>
  <c r="P472" i="3" s="1"/>
  <c r="Q472" i="3" s="1"/>
  <c r="R472" i="3" s="1"/>
  <c r="S472" i="3" s="1"/>
  <c r="T472" i="3" s="1"/>
  <c r="U472" i="3" s="1"/>
  <c r="V472" i="3" s="1"/>
  <c r="W472" i="3" s="1"/>
  <c r="X472" i="3" s="1"/>
  <c r="Y472" i="3" s="1"/>
  <c r="Z472" i="3" s="1"/>
  <c r="AA472" i="3" s="1"/>
  <c r="AB472" i="3" s="1"/>
  <c r="AC472" i="3" s="1"/>
  <c r="AD472" i="3" s="1"/>
  <c r="AE472" i="3" s="1"/>
  <c r="AF472" i="3" s="1"/>
  <c r="AG472" i="3" s="1"/>
  <c r="AH472" i="3" s="1"/>
  <c r="AI472" i="3" s="1"/>
  <c r="AJ472" i="3" s="1"/>
  <c r="AK472" i="3" s="1"/>
  <c r="AL472" i="3" s="1"/>
  <c r="AM472" i="3" s="1"/>
  <c r="AN472" i="3" s="1"/>
  <c r="AO472" i="3" s="1"/>
  <c r="L471" i="3"/>
  <c r="M471" i="3" s="1"/>
  <c r="N471" i="3" s="1"/>
  <c r="O471" i="3" s="1"/>
  <c r="P471" i="3" s="1"/>
  <c r="Q471" i="3" s="1"/>
  <c r="R471" i="3" s="1"/>
  <c r="S471" i="3" s="1"/>
  <c r="T471" i="3" s="1"/>
  <c r="U471" i="3" s="1"/>
  <c r="V471" i="3" s="1"/>
  <c r="W471" i="3" s="1"/>
  <c r="X471" i="3" s="1"/>
  <c r="Y471" i="3" s="1"/>
  <c r="Z471" i="3" s="1"/>
  <c r="AA471" i="3" s="1"/>
  <c r="AB471" i="3" s="1"/>
  <c r="AC471" i="3" s="1"/>
  <c r="AD471" i="3" s="1"/>
  <c r="AE471" i="3" s="1"/>
  <c r="AF471" i="3" s="1"/>
  <c r="AG471" i="3" s="1"/>
  <c r="AH471" i="3" s="1"/>
  <c r="AI471" i="3" s="1"/>
  <c r="AJ471" i="3" s="1"/>
  <c r="AK471" i="3" s="1"/>
  <c r="AL471" i="3" s="1"/>
  <c r="AM471" i="3" s="1"/>
  <c r="AN471" i="3" s="1"/>
  <c r="AO471" i="3" s="1"/>
  <c r="L470" i="3"/>
  <c r="M470" i="3" s="1"/>
  <c r="N470" i="3" s="1"/>
  <c r="O470" i="3" s="1"/>
  <c r="P470" i="3" s="1"/>
  <c r="Q470" i="3" s="1"/>
  <c r="R470" i="3" s="1"/>
  <c r="S470" i="3" s="1"/>
  <c r="T470" i="3" s="1"/>
  <c r="U470" i="3" s="1"/>
  <c r="V470" i="3" s="1"/>
  <c r="W470" i="3" s="1"/>
  <c r="X470" i="3" s="1"/>
  <c r="Y470" i="3" s="1"/>
  <c r="Z470" i="3" s="1"/>
  <c r="AA470" i="3" s="1"/>
  <c r="AB470" i="3" s="1"/>
  <c r="AC470" i="3" s="1"/>
  <c r="AD470" i="3" s="1"/>
  <c r="AE470" i="3" s="1"/>
  <c r="AF470" i="3" s="1"/>
  <c r="AG470" i="3" s="1"/>
  <c r="AH470" i="3" s="1"/>
  <c r="AI470" i="3" s="1"/>
  <c r="AJ470" i="3" s="1"/>
  <c r="AK470" i="3" s="1"/>
  <c r="AL470" i="3" s="1"/>
  <c r="AM470" i="3" s="1"/>
  <c r="AN470" i="3" s="1"/>
  <c r="AO470" i="3" s="1"/>
  <c r="L469" i="3"/>
  <c r="M469" i="3" s="1"/>
  <c r="N469" i="3" s="1"/>
  <c r="O469" i="3" s="1"/>
  <c r="P469" i="3" s="1"/>
  <c r="Q469" i="3" s="1"/>
  <c r="R469" i="3" s="1"/>
  <c r="S469" i="3" s="1"/>
  <c r="T469" i="3" s="1"/>
  <c r="U469" i="3" s="1"/>
  <c r="V469" i="3" s="1"/>
  <c r="W469" i="3" s="1"/>
  <c r="X469" i="3" s="1"/>
  <c r="Y469" i="3" s="1"/>
  <c r="Z469" i="3" s="1"/>
  <c r="AA469" i="3" s="1"/>
  <c r="AB469" i="3" s="1"/>
  <c r="AC469" i="3" s="1"/>
  <c r="AD469" i="3" s="1"/>
  <c r="AE469" i="3" s="1"/>
  <c r="AF469" i="3" s="1"/>
  <c r="AG469" i="3" s="1"/>
  <c r="AH469" i="3" s="1"/>
  <c r="AI469" i="3" s="1"/>
  <c r="AJ469" i="3" s="1"/>
  <c r="AK469" i="3" s="1"/>
  <c r="AL469" i="3" s="1"/>
  <c r="AM469" i="3" s="1"/>
  <c r="AN469" i="3" s="1"/>
  <c r="AO469" i="3" s="1"/>
  <c r="L468" i="3"/>
  <c r="M468" i="3" s="1"/>
  <c r="N468" i="3" s="1"/>
  <c r="O468" i="3" s="1"/>
  <c r="P468" i="3" s="1"/>
  <c r="Q468" i="3" s="1"/>
  <c r="R468" i="3" s="1"/>
  <c r="S468" i="3" s="1"/>
  <c r="T468" i="3" s="1"/>
  <c r="U468" i="3" s="1"/>
  <c r="V468" i="3" s="1"/>
  <c r="W468" i="3" s="1"/>
  <c r="X468" i="3" s="1"/>
  <c r="Y468" i="3" s="1"/>
  <c r="Z468" i="3" s="1"/>
  <c r="AA468" i="3" s="1"/>
  <c r="AB468" i="3" s="1"/>
  <c r="AC468" i="3" s="1"/>
  <c r="AD468" i="3" s="1"/>
  <c r="AE468" i="3" s="1"/>
  <c r="AF468" i="3" s="1"/>
  <c r="AG468" i="3" s="1"/>
  <c r="AH468" i="3" s="1"/>
  <c r="AI468" i="3" s="1"/>
  <c r="AJ468" i="3" s="1"/>
  <c r="AK468" i="3" s="1"/>
  <c r="AL468" i="3" s="1"/>
  <c r="AM468" i="3" s="1"/>
  <c r="AN468" i="3" s="1"/>
  <c r="AO468" i="3" s="1"/>
  <c r="L467" i="3"/>
  <c r="M467" i="3" s="1"/>
  <c r="N467" i="3" s="1"/>
  <c r="O467" i="3" s="1"/>
  <c r="P467" i="3" s="1"/>
  <c r="Q467" i="3" s="1"/>
  <c r="R467" i="3" s="1"/>
  <c r="S467" i="3" s="1"/>
  <c r="T467" i="3" s="1"/>
  <c r="U467" i="3" s="1"/>
  <c r="V467" i="3" s="1"/>
  <c r="W467" i="3" s="1"/>
  <c r="X467" i="3" s="1"/>
  <c r="Y467" i="3" s="1"/>
  <c r="Z467" i="3" s="1"/>
  <c r="AA467" i="3" s="1"/>
  <c r="AB467" i="3" s="1"/>
  <c r="AC467" i="3" s="1"/>
  <c r="AD467" i="3" s="1"/>
  <c r="AE467" i="3" s="1"/>
  <c r="AF467" i="3" s="1"/>
  <c r="AG467" i="3" s="1"/>
  <c r="AH467" i="3" s="1"/>
  <c r="AI467" i="3" s="1"/>
  <c r="AJ467" i="3" s="1"/>
  <c r="AK467" i="3" s="1"/>
  <c r="AL467" i="3" s="1"/>
  <c r="AM467" i="3" s="1"/>
  <c r="AN467" i="3" s="1"/>
  <c r="AO467" i="3" s="1"/>
  <c r="L466" i="3"/>
  <c r="M466" i="3" s="1"/>
  <c r="N466" i="3" s="1"/>
  <c r="O466" i="3" s="1"/>
  <c r="P466" i="3" s="1"/>
  <c r="Q466" i="3" s="1"/>
  <c r="R466" i="3" s="1"/>
  <c r="S466" i="3" s="1"/>
  <c r="T466" i="3" s="1"/>
  <c r="U466" i="3" s="1"/>
  <c r="V466" i="3" s="1"/>
  <c r="W466" i="3" s="1"/>
  <c r="X466" i="3" s="1"/>
  <c r="Y466" i="3" s="1"/>
  <c r="Z466" i="3" s="1"/>
  <c r="AA466" i="3" s="1"/>
  <c r="AB466" i="3" s="1"/>
  <c r="AC466" i="3" s="1"/>
  <c r="AD466" i="3" s="1"/>
  <c r="AE466" i="3" s="1"/>
  <c r="AF466" i="3" s="1"/>
  <c r="AG466" i="3" s="1"/>
  <c r="AH466" i="3" s="1"/>
  <c r="AI466" i="3" s="1"/>
  <c r="AJ466" i="3" s="1"/>
  <c r="AK466" i="3" s="1"/>
  <c r="AL466" i="3" s="1"/>
  <c r="AM466" i="3" s="1"/>
  <c r="AN466" i="3" s="1"/>
  <c r="AO466" i="3" s="1"/>
  <c r="L465" i="3"/>
  <c r="M465" i="3" s="1"/>
  <c r="N465" i="3" s="1"/>
  <c r="O465" i="3" s="1"/>
  <c r="P465" i="3" s="1"/>
  <c r="Q465" i="3" s="1"/>
  <c r="R465" i="3" s="1"/>
  <c r="S465" i="3" s="1"/>
  <c r="T465" i="3" s="1"/>
  <c r="U465" i="3" s="1"/>
  <c r="V465" i="3" s="1"/>
  <c r="W465" i="3" s="1"/>
  <c r="X465" i="3" s="1"/>
  <c r="Y465" i="3" s="1"/>
  <c r="Z465" i="3" s="1"/>
  <c r="AA465" i="3" s="1"/>
  <c r="AB465" i="3" s="1"/>
  <c r="AC465" i="3" s="1"/>
  <c r="AD465" i="3" s="1"/>
  <c r="AE465" i="3" s="1"/>
  <c r="AF465" i="3" s="1"/>
  <c r="AG465" i="3" s="1"/>
  <c r="AH465" i="3" s="1"/>
  <c r="AI465" i="3" s="1"/>
  <c r="AJ465" i="3" s="1"/>
  <c r="AK465" i="3" s="1"/>
  <c r="AL465" i="3" s="1"/>
  <c r="AM465" i="3" s="1"/>
  <c r="AN465" i="3" s="1"/>
  <c r="AO465" i="3" s="1"/>
  <c r="L464" i="3"/>
  <c r="M464" i="3" s="1"/>
  <c r="N464" i="3" s="1"/>
  <c r="O464" i="3" s="1"/>
  <c r="P464" i="3" s="1"/>
  <c r="Q464" i="3" s="1"/>
  <c r="R464" i="3" s="1"/>
  <c r="S464" i="3" s="1"/>
  <c r="T464" i="3" s="1"/>
  <c r="U464" i="3" s="1"/>
  <c r="V464" i="3" s="1"/>
  <c r="W464" i="3" s="1"/>
  <c r="X464" i="3" s="1"/>
  <c r="Y464" i="3" s="1"/>
  <c r="Z464" i="3" s="1"/>
  <c r="AA464" i="3" s="1"/>
  <c r="AB464" i="3" s="1"/>
  <c r="AC464" i="3" s="1"/>
  <c r="AD464" i="3" s="1"/>
  <c r="AE464" i="3" s="1"/>
  <c r="AF464" i="3" s="1"/>
  <c r="AG464" i="3" s="1"/>
  <c r="AH464" i="3" s="1"/>
  <c r="AI464" i="3" s="1"/>
  <c r="AJ464" i="3" s="1"/>
  <c r="AK464" i="3" s="1"/>
  <c r="AL464" i="3" s="1"/>
  <c r="AM464" i="3" s="1"/>
  <c r="AN464" i="3" s="1"/>
  <c r="AO464" i="3" s="1"/>
  <c r="L463" i="3"/>
  <c r="M463" i="3" s="1"/>
  <c r="N463" i="3" s="1"/>
  <c r="O463" i="3" s="1"/>
  <c r="P463" i="3" s="1"/>
  <c r="Q463" i="3" s="1"/>
  <c r="R463" i="3" s="1"/>
  <c r="S463" i="3" s="1"/>
  <c r="T463" i="3" s="1"/>
  <c r="U463" i="3" s="1"/>
  <c r="V463" i="3" s="1"/>
  <c r="W463" i="3" s="1"/>
  <c r="X463" i="3" s="1"/>
  <c r="Y463" i="3" s="1"/>
  <c r="Z463" i="3" s="1"/>
  <c r="AA463" i="3" s="1"/>
  <c r="AB463" i="3" s="1"/>
  <c r="AC463" i="3" s="1"/>
  <c r="AD463" i="3" s="1"/>
  <c r="AE463" i="3" s="1"/>
  <c r="AF463" i="3" s="1"/>
  <c r="AG463" i="3" s="1"/>
  <c r="AH463" i="3" s="1"/>
  <c r="AI463" i="3" s="1"/>
  <c r="AJ463" i="3" s="1"/>
  <c r="AK463" i="3" s="1"/>
  <c r="AL463" i="3" s="1"/>
  <c r="AM463" i="3" s="1"/>
  <c r="AN463" i="3" s="1"/>
  <c r="AO463" i="3" s="1"/>
  <c r="AF462" i="3"/>
  <c r="AG462" i="3" s="1"/>
  <c r="AH462" i="3" s="1"/>
  <c r="AI462" i="3" s="1"/>
  <c r="AJ462" i="3" s="1"/>
  <c r="AK462" i="3" s="1"/>
  <c r="AL462" i="3" s="1"/>
  <c r="AM462" i="3" s="1"/>
  <c r="AN462" i="3" s="1"/>
  <c r="AO462" i="3" s="1"/>
  <c r="AF461" i="3"/>
  <c r="AG461" i="3" s="1"/>
  <c r="AH461" i="3" s="1"/>
  <c r="AI461" i="3" s="1"/>
  <c r="AJ461" i="3" s="1"/>
  <c r="AK461" i="3" s="1"/>
  <c r="AL461" i="3" s="1"/>
  <c r="AM461" i="3" s="1"/>
  <c r="AN461" i="3" s="1"/>
  <c r="AO461" i="3" s="1"/>
  <c r="AF460" i="3"/>
  <c r="AG460" i="3" s="1"/>
  <c r="AH460" i="3" s="1"/>
  <c r="AI460" i="3" s="1"/>
  <c r="AJ460" i="3" s="1"/>
  <c r="AK460" i="3" s="1"/>
  <c r="AL460" i="3" s="1"/>
  <c r="AM460" i="3" s="1"/>
  <c r="AN460" i="3" s="1"/>
  <c r="AO460" i="3" s="1"/>
  <c r="AF459" i="3"/>
  <c r="AG459" i="3" s="1"/>
  <c r="AH459" i="3" s="1"/>
  <c r="AI459" i="3" s="1"/>
  <c r="AJ459" i="3" s="1"/>
  <c r="AK459" i="3" s="1"/>
  <c r="AL459" i="3" s="1"/>
  <c r="AM459" i="3" s="1"/>
  <c r="AN459" i="3" s="1"/>
  <c r="AO459" i="3" s="1"/>
  <c r="AF458" i="3"/>
  <c r="AG458" i="3" s="1"/>
  <c r="AH458" i="3" s="1"/>
  <c r="AI458" i="3" s="1"/>
  <c r="AJ458" i="3" s="1"/>
  <c r="AK458" i="3" s="1"/>
  <c r="AL458" i="3" s="1"/>
  <c r="AM458" i="3" s="1"/>
  <c r="AN458" i="3" s="1"/>
  <c r="AO458" i="3" s="1"/>
  <c r="AF457" i="3"/>
  <c r="AG457" i="3" s="1"/>
  <c r="AH457" i="3" s="1"/>
  <c r="AI457" i="3" s="1"/>
  <c r="AJ457" i="3" s="1"/>
  <c r="AK457" i="3" s="1"/>
  <c r="AL457" i="3" s="1"/>
  <c r="AM457" i="3" s="1"/>
  <c r="AN457" i="3" s="1"/>
  <c r="AO457" i="3" s="1"/>
  <c r="AF456" i="3"/>
  <c r="AG456" i="3" s="1"/>
  <c r="AH456" i="3" s="1"/>
  <c r="AI456" i="3" s="1"/>
  <c r="AJ456" i="3" s="1"/>
  <c r="AK456" i="3" s="1"/>
  <c r="AL456" i="3" s="1"/>
  <c r="AM456" i="3" s="1"/>
  <c r="AN456" i="3" s="1"/>
  <c r="AO456" i="3" s="1"/>
  <c r="AF454" i="3"/>
  <c r="AG454" i="3" s="1"/>
  <c r="AH454" i="3" s="1"/>
  <c r="AI454" i="3" s="1"/>
  <c r="AJ454" i="3" s="1"/>
  <c r="AK454" i="3" s="1"/>
  <c r="AL454" i="3" s="1"/>
  <c r="AM454" i="3" s="1"/>
  <c r="AN454" i="3" s="1"/>
  <c r="AO454" i="3" s="1"/>
  <c r="AF453" i="3"/>
  <c r="AG453" i="3" s="1"/>
  <c r="AH453" i="3" s="1"/>
  <c r="AI453" i="3" s="1"/>
  <c r="AJ453" i="3" s="1"/>
  <c r="AK453" i="3" s="1"/>
  <c r="AL453" i="3" s="1"/>
  <c r="AM453" i="3" s="1"/>
  <c r="AN453" i="3" s="1"/>
  <c r="AO453" i="3" s="1"/>
  <c r="AF452" i="3"/>
  <c r="AG452" i="3" s="1"/>
  <c r="AH452" i="3" s="1"/>
  <c r="AI452" i="3" s="1"/>
  <c r="AJ452" i="3" s="1"/>
  <c r="AK452" i="3" s="1"/>
  <c r="AL452" i="3" s="1"/>
  <c r="AM452" i="3" s="1"/>
  <c r="AN452" i="3" s="1"/>
  <c r="AO452" i="3" s="1"/>
  <c r="AF451" i="3"/>
  <c r="AG451" i="3" s="1"/>
  <c r="AH451" i="3" s="1"/>
  <c r="AI451" i="3" s="1"/>
  <c r="AJ451" i="3" s="1"/>
  <c r="AK451" i="3" s="1"/>
  <c r="AL451" i="3" s="1"/>
  <c r="AM451" i="3" s="1"/>
  <c r="AN451" i="3" s="1"/>
  <c r="AO451" i="3" s="1"/>
  <c r="AF450" i="3"/>
  <c r="AG450" i="3" s="1"/>
  <c r="AH450" i="3" s="1"/>
  <c r="AI450" i="3" s="1"/>
  <c r="AJ450" i="3" s="1"/>
  <c r="AK450" i="3" s="1"/>
  <c r="AL450" i="3" s="1"/>
  <c r="AM450" i="3" s="1"/>
  <c r="AN450" i="3" s="1"/>
  <c r="AO450" i="3" s="1"/>
  <c r="AF449" i="3"/>
  <c r="AG449" i="3" s="1"/>
  <c r="AH449" i="3" s="1"/>
  <c r="AI449" i="3" s="1"/>
  <c r="AJ449" i="3" s="1"/>
  <c r="AK449" i="3" s="1"/>
  <c r="AL449" i="3" s="1"/>
  <c r="AM449" i="3" s="1"/>
  <c r="AN449" i="3" s="1"/>
  <c r="AO449" i="3" s="1"/>
  <c r="AF448" i="3"/>
  <c r="AG448" i="3" s="1"/>
  <c r="AH448" i="3" s="1"/>
  <c r="AI448" i="3" s="1"/>
  <c r="AJ448" i="3" s="1"/>
  <c r="AK448" i="3" s="1"/>
  <c r="AL448" i="3" s="1"/>
  <c r="AM448" i="3" s="1"/>
  <c r="AN448" i="3" s="1"/>
  <c r="AO448" i="3" s="1"/>
  <c r="AF447" i="3"/>
  <c r="AG447" i="3" s="1"/>
  <c r="AH447" i="3" s="1"/>
  <c r="AI447" i="3" s="1"/>
  <c r="AJ447" i="3" s="1"/>
  <c r="AK447" i="3" s="1"/>
  <c r="AL447" i="3" s="1"/>
  <c r="AM447" i="3" s="1"/>
  <c r="AN447" i="3" s="1"/>
  <c r="AO447" i="3" s="1"/>
  <c r="AF446" i="3"/>
  <c r="AG446" i="3" s="1"/>
  <c r="AH446" i="3" s="1"/>
  <c r="AI446" i="3" s="1"/>
  <c r="AJ446" i="3" s="1"/>
  <c r="AK446" i="3" s="1"/>
  <c r="AL446" i="3" s="1"/>
  <c r="AM446" i="3" s="1"/>
  <c r="AN446" i="3" s="1"/>
  <c r="AO446" i="3" s="1"/>
  <c r="AF445" i="3"/>
  <c r="AG445" i="3" s="1"/>
  <c r="AH445" i="3" s="1"/>
  <c r="AI445" i="3" s="1"/>
  <c r="AJ445" i="3" s="1"/>
  <c r="AK445" i="3" s="1"/>
  <c r="AL445" i="3" s="1"/>
  <c r="AM445" i="3" s="1"/>
  <c r="AN445" i="3" s="1"/>
  <c r="AO445" i="3" s="1"/>
  <c r="AF444" i="3"/>
  <c r="AG444" i="3" s="1"/>
  <c r="AH444" i="3" s="1"/>
  <c r="AI444" i="3" s="1"/>
  <c r="AJ444" i="3" s="1"/>
  <c r="AK444" i="3" s="1"/>
  <c r="AL444" i="3" s="1"/>
  <c r="AM444" i="3" s="1"/>
  <c r="AN444" i="3" s="1"/>
  <c r="AO444" i="3" s="1"/>
  <c r="AF443" i="3"/>
  <c r="AG443" i="3" s="1"/>
  <c r="AH443" i="3" s="1"/>
  <c r="AI443" i="3" s="1"/>
  <c r="AJ443" i="3" s="1"/>
  <c r="AK443" i="3" s="1"/>
  <c r="AL443" i="3" s="1"/>
  <c r="AM443" i="3" s="1"/>
  <c r="AN443" i="3" s="1"/>
  <c r="AO443" i="3" s="1"/>
  <c r="AF442" i="3"/>
  <c r="AG442" i="3" s="1"/>
  <c r="AH442" i="3" s="1"/>
  <c r="AI442" i="3" s="1"/>
  <c r="AJ442" i="3" s="1"/>
  <c r="AK442" i="3" s="1"/>
  <c r="AL442" i="3" s="1"/>
  <c r="AM442" i="3" s="1"/>
  <c r="AN442" i="3" s="1"/>
  <c r="AO442" i="3" s="1"/>
  <c r="AF441" i="3"/>
  <c r="AG441" i="3" s="1"/>
  <c r="AH441" i="3" s="1"/>
  <c r="AI441" i="3" s="1"/>
  <c r="AJ441" i="3" s="1"/>
  <c r="AK441" i="3" s="1"/>
  <c r="AL441" i="3" s="1"/>
  <c r="AM441" i="3" s="1"/>
  <c r="AN441" i="3" s="1"/>
  <c r="AO441" i="3" s="1"/>
  <c r="AF440" i="3"/>
  <c r="AG440" i="3" s="1"/>
  <c r="AH440" i="3" s="1"/>
  <c r="AI440" i="3" s="1"/>
  <c r="AJ440" i="3" s="1"/>
  <c r="AK440" i="3" s="1"/>
  <c r="AL440" i="3" s="1"/>
  <c r="AM440" i="3" s="1"/>
  <c r="AN440" i="3" s="1"/>
  <c r="AO440" i="3" s="1"/>
  <c r="A440" i="3"/>
  <c r="A441" i="3" s="1"/>
  <c r="A442" i="3" s="1"/>
  <c r="A443" i="3" s="1"/>
  <c r="A444" i="3" s="1"/>
  <c r="A445" i="3" s="1"/>
  <c r="A446" i="3" s="1"/>
  <c r="A447" i="3" s="1"/>
  <c r="AF439" i="3"/>
  <c r="AG439" i="3" s="1"/>
  <c r="AH439" i="3" s="1"/>
  <c r="AI439" i="3" s="1"/>
  <c r="AJ439" i="3" s="1"/>
  <c r="AK439" i="3" s="1"/>
  <c r="AL439" i="3" s="1"/>
  <c r="AM439" i="3" s="1"/>
  <c r="AN439" i="3" s="1"/>
  <c r="AO439" i="3" s="1"/>
  <c r="AF438" i="3"/>
  <c r="AG438" i="3" s="1"/>
  <c r="AH438" i="3" s="1"/>
  <c r="AI438" i="3" s="1"/>
  <c r="AJ438" i="3" s="1"/>
  <c r="AK438" i="3" s="1"/>
  <c r="AL438" i="3" s="1"/>
  <c r="AM438" i="3" s="1"/>
  <c r="AN438" i="3" s="1"/>
  <c r="AO438" i="3" s="1"/>
  <c r="A438" i="3"/>
  <c r="A439" i="3" s="1"/>
  <c r="AF437" i="3"/>
  <c r="AG437" i="3" s="1"/>
  <c r="AH437" i="3" s="1"/>
  <c r="AI437" i="3" s="1"/>
  <c r="AJ437" i="3" s="1"/>
  <c r="AK437" i="3" s="1"/>
  <c r="AL437" i="3" s="1"/>
  <c r="AM437" i="3" s="1"/>
  <c r="AN437" i="3" s="1"/>
  <c r="AO437" i="3" s="1"/>
  <c r="A437" i="3"/>
  <c r="AF199" i="3"/>
  <c r="AG199" i="3" s="1"/>
  <c r="AH199" i="3" s="1"/>
  <c r="AI199" i="3" s="1"/>
  <c r="AJ199" i="3" s="1"/>
  <c r="AK199" i="3" s="1"/>
  <c r="AL199" i="3" s="1"/>
  <c r="AM199" i="3" s="1"/>
  <c r="AN199" i="3" s="1"/>
  <c r="AO199" i="3" s="1"/>
  <c r="AF198" i="3"/>
  <c r="AG198" i="3" s="1"/>
  <c r="AH198" i="3" s="1"/>
  <c r="AI198" i="3" s="1"/>
  <c r="AJ198" i="3" s="1"/>
  <c r="AK198" i="3" s="1"/>
  <c r="AL198" i="3" s="1"/>
  <c r="AM198" i="3" s="1"/>
  <c r="AN198" i="3" s="1"/>
  <c r="AO198" i="3" s="1"/>
  <c r="AF197" i="3"/>
  <c r="AG197" i="3" s="1"/>
  <c r="AH197" i="3" s="1"/>
  <c r="AI197" i="3" s="1"/>
  <c r="AJ197" i="3" s="1"/>
  <c r="AK197" i="3" s="1"/>
  <c r="AL197" i="3" s="1"/>
  <c r="AM197" i="3" s="1"/>
  <c r="AN197" i="3" s="1"/>
  <c r="AO197" i="3" s="1"/>
  <c r="AF196" i="3"/>
  <c r="AG196" i="3" s="1"/>
  <c r="AH196" i="3" s="1"/>
  <c r="AI196" i="3" s="1"/>
  <c r="AJ196" i="3" s="1"/>
  <c r="AK196" i="3" s="1"/>
  <c r="AL196" i="3" s="1"/>
  <c r="AM196" i="3" s="1"/>
  <c r="AN196" i="3" s="1"/>
  <c r="AO196" i="3" s="1"/>
  <c r="AF195" i="3"/>
  <c r="AG195" i="3" s="1"/>
  <c r="AH195" i="3" s="1"/>
  <c r="AI195" i="3" s="1"/>
  <c r="AJ195" i="3" s="1"/>
  <c r="AK195" i="3" s="1"/>
  <c r="AL195" i="3" s="1"/>
  <c r="AM195" i="3" s="1"/>
  <c r="AN195" i="3" s="1"/>
  <c r="AO195" i="3" s="1"/>
  <c r="AF194" i="3"/>
  <c r="AG194" i="3" s="1"/>
  <c r="AH194" i="3" s="1"/>
  <c r="AI194" i="3" s="1"/>
  <c r="AJ194" i="3" s="1"/>
  <c r="AK194" i="3" s="1"/>
  <c r="AL194" i="3" s="1"/>
  <c r="AM194" i="3" s="1"/>
  <c r="AN194" i="3" s="1"/>
  <c r="AO194" i="3" s="1"/>
  <c r="AF193" i="3"/>
  <c r="AG193" i="3" s="1"/>
  <c r="AH193" i="3" s="1"/>
  <c r="AI193" i="3" s="1"/>
  <c r="AJ193" i="3" s="1"/>
  <c r="AK193" i="3" s="1"/>
  <c r="AL193" i="3" s="1"/>
  <c r="AM193" i="3" s="1"/>
  <c r="AN193" i="3" s="1"/>
  <c r="AO193" i="3" s="1"/>
  <c r="AF192" i="3"/>
  <c r="AG192" i="3" s="1"/>
  <c r="AH192" i="3" s="1"/>
  <c r="AI192" i="3" s="1"/>
  <c r="AJ192" i="3" s="1"/>
  <c r="AK192" i="3" s="1"/>
  <c r="AL192" i="3" s="1"/>
  <c r="AM192" i="3" s="1"/>
  <c r="AN192" i="3" s="1"/>
  <c r="AO192" i="3" s="1"/>
  <c r="AF191" i="3"/>
  <c r="AG191" i="3" s="1"/>
  <c r="AH191" i="3" s="1"/>
  <c r="AI191" i="3" s="1"/>
  <c r="AJ191" i="3" s="1"/>
  <c r="AK191" i="3" s="1"/>
  <c r="AL191" i="3" s="1"/>
  <c r="AM191" i="3" s="1"/>
  <c r="AN191" i="3" s="1"/>
  <c r="AO191" i="3" s="1"/>
  <c r="AF190" i="3"/>
  <c r="AG190" i="3" s="1"/>
  <c r="AH190" i="3" s="1"/>
  <c r="AI190" i="3" s="1"/>
  <c r="AJ190" i="3" s="1"/>
  <c r="AK190" i="3" s="1"/>
  <c r="AL190" i="3" s="1"/>
  <c r="AM190" i="3" s="1"/>
  <c r="AN190" i="3" s="1"/>
  <c r="AO190" i="3" s="1"/>
  <c r="AF189" i="3"/>
  <c r="AG189" i="3" s="1"/>
  <c r="AH189" i="3" s="1"/>
  <c r="AI189" i="3" s="1"/>
  <c r="AJ189" i="3" s="1"/>
  <c r="AK189" i="3" s="1"/>
  <c r="AL189" i="3" s="1"/>
  <c r="AM189" i="3" s="1"/>
  <c r="AN189" i="3" s="1"/>
  <c r="AO189" i="3" s="1"/>
  <c r="AF188" i="3"/>
  <c r="AG188" i="3" s="1"/>
  <c r="AH188" i="3" s="1"/>
  <c r="AI188" i="3" s="1"/>
  <c r="AJ188" i="3" s="1"/>
  <c r="AK188" i="3" s="1"/>
  <c r="AL188" i="3" s="1"/>
  <c r="AM188" i="3" s="1"/>
  <c r="AN188" i="3" s="1"/>
  <c r="AO188" i="3" s="1"/>
  <c r="AF187" i="3"/>
  <c r="AG187" i="3" s="1"/>
  <c r="AH187" i="3" s="1"/>
  <c r="AI187" i="3" s="1"/>
  <c r="AJ187" i="3" s="1"/>
  <c r="AK187" i="3" s="1"/>
  <c r="AL187" i="3" s="1"/>
  <c r="AM187" i="3" s="1"/>
  <c r="AN187" i="3" s="1"/>
  <c r="AO187" i="3" s="1"/>
  <c r="AF186" i="3"/>
  <c r="AG186" i="3" s="1"/>
  <c r="AH186" i="3" s="1"/>
  <c r="AI186" i="3" s="1"/>
  <c r="AJ186" i="3" s="1"/>
  <c r="AK186" i="3" s="1"/>
  <c r="AL186" i="3" s="1"/>
  <c r="AM186" i="3" s="1"/>
  <c r="AN186" i="3" s="1"/>
  <c r="AO186" i="3" s="1"/>
  <c r="AF185" i="3"/>
  <c r="AG185" i="3" s="1"/>
  <c r="AH185" i="3" s="1"/>
  <c r="AI185" i="3" s="1"/>
  <c r="AJ185" i="3" s="1"/>
  <c r="AK185" i="3" s="1"/>
  <c r="AL185" i="3" s="1"/>
  <c r="AM185" i="3" s="1"/>
  <c r="AN185" i="3" s="1"/>
  <c r="AO185" i="3" s="1"/>
  <c r="AF184" i="3"/>
  <c r="AG184" i="3" s="1"/>
  <c r="AH184" i="3" s="1"/>
  <c r="AI184" i="3" s="1"/>
  <c r="AJ184" i="3" s="1"/>
  <c r="AK184" i="3" s="1"/>
  <c r="AL184" i="3" s="1"/>
  <c r="AM184" i="3" s="1"/>
  <c r="AN184" i="3" s="1"/>
  <c r="AO184" i="3" s="1"/>
  <c r="AF183" i="3"/>
  <c r="AG183" i="3" s="1"/>
  <c r="AH183" i="3" s="1"/>
  <c r="AI183" i="3" s="1"/>
  <c r="AJ183" i="3" s="1"/>
  <c r="AK183" i="3" s="1"/>
  <c r="AL183" i="3" s="1"/>
  <c r="AM183" i="3" s="1"/>
  <c r="AN183" i="3" s="1"/>
  <c r="AO183" i="3" s="1"/>
  <c r="AF182" i="3"/>
  <c r="AG182" i="3" s="1"/>
  <c r="AH182" i="3" s="1"/>
  <c r="AI182" i="3" s="1"/>
  <c r="AJ182" i="3" s="1"/>
  <c r="AK182" i="3" s="1"/>
  <c r="AL182" i="3" s="1"/>
  <c r="AM182" i="3" s="1"/>
  <c r="AN182" i="3" s="1"/>
  <c r="AO182" i="3" s="1"/>
  <c r="AF181" i="3"/>
  <c r="AG181" i="3" s="1"/>
  <c r="AH181" i="3" s="1"/>
  <c r="AI181" i="3" s="1"/>
  <c r="AJ181" i="3" s="1"/>
  <c r="AK181" i="3" s="1"/>
  <c r="AL181" i="3" s="1"/>
  <c r="AM181" i="3" s="1"/>
  <c r="AN181" i="3" s="1"/>
  <c r="AO181" i="3" s="1"/>
  <c r="AF180" i="3"/>
  <c r="AG180" i="3" s="1"/>
  <c r="AH180" i="3" s="1"/>
  <c r="AI180" i="3" s="1"/>
  <c r="AJ180" i="3" s="1"/>
  <c r="AK180" i="3" s="1"/>
  <c r="AL180" i="3" s="1"/>
  <c r="AM180" i="3" s="1"/>
  <c r="AN180" i="3" s="1"/>
  <c r="AO180" i="3" s="1"/>
  <c r="AF179" i="3"/>
  <c r="AG179" i="3" s="1"/>
  <c r="AH179" i="3" s="1"/>
  <c r="AI179" i="3" s="1"/>
  <c r="AJ179" i="3" s="1"/>
  <c r="AK179" i="3" s="1"/>
  <c r="AL179" i="3" s="1"/>
  <c r="AM179" i="3" s="1"/>
  <c r="AN179" i="3" s="1"/>
  <c r="AO179" i="3" s="1"/>
  <c r="AF178" i="3"/>
  <c r="AG178" i="3" s="1"/>
  <c r="AH178" i="3" s="1"/>
  <c r="AI178" i="3" s="1"/>
  <c r="AJ178" i="3" s="1"/>
  <c r="AK178" i="3" s="1"/>
  <c r="AL178" i="3" s="1"/>
  <c r="AM178" i="3" s="1"/>
  <c r="AN178" i="3" s="1"/>
  <c r="AO178" i="3" s="1"/>
  <c r="AF177" i="3"/>
  <c r="AG177" i="3" s="1"/>
  <c r="AH177" i="3" s="1"/>
  <c r="AI177" i="3" s="1"/>
  <c r="AJ177" i="3" s="1"/>
  <c r="AK177" i="3" s="1"/>
  <c r="AL177" i="3" s="1"/>
  <c r="AM177" i="3" s="1"/>
  <c r="AN177" i="3" s="1"/>
  <c r="AO177" i="3" s="1"/>
  <c r="AF176" i="3"/>
  <c r="AG176" i="3" s="1"/>
  <c r="AH176" i="3" s="1"/>
  <c r="AI176" i="3" s="1"/>
  <c r="AJ176" i="3" s="1"/>
  <c r="AK176" i="3" s="1"/>
  <c r="AL176" i="3" s="1"/>
  <c r="AM176" i="3" s="1"/>
  <c r="AN176" i="3" s="1"/>
  <c r="AO176" i="3" s="1"/>
  <c r="AF175" i="3"/>
  <c r="AG175" i="3" s="1"/>
  <c r="AH175" i="3" s="1"/>
  <c r="AI175" i="3" s="1"/>
  <c r="AJ175" i="3" s="1"/>
  <c r="AK175" i="3" s="1"/>
  <c r="AL175" i="3" s="1"/>
  <c r="AM175" i="3" s="1"/>
  <c r="AN175" i="3" s="1"/>
  <c r="AO175" i="3" s="1"/>
  <c r="AF174" i="3"/>
  <c r="AG174" i="3" s="1"/>
  <c r="AH174" i="3" s="1"/>
  <c r="AI174" i="3" s="1"/>
  <c r="AJ174" i="3" s="1"/>
  <c r="AK174" i="3" s="1"/>
  <c r="AL174" i="3" s="1"/>
  <c r="AM174" i="3" s="1"/>
  <c r="AN174" i="3" s="1"/>
  <c r="AO174" i="3" s="1"/>
  <c r="AF173" i="3"/>
  <c r="AG173" i="3" s="1"/>
  <c r="AH173" i="3" s="1"/>
  <c r="AI173" i="3" s="1"/>
  <c r="AJ173" i="3" s="1"/>
  <c r="AK173" i="3" s="1"/>
  <c r="AL173" i="3" s="1"/>
  <c r="AM173" i="3" s="1"/>
  <c r="AN173" i="3" s="1"/>
  <c r="AO173" i="3" s="1"/>
  <c r="AF172" i="3"/>
  <c r="AG172" i="3" s="1"/>
  <c r="AH172" i="3" s="1"/>
  <c r="AI172" i="3" s="1"/>
  <c r="AJ172" i="3" s="1"/>
  <c r="AK172" i="3" s="1"/>
  <c r="AL172" i="3" s="1"/>
  <c r="AM172" i="3" s="1"/>
  <c r="AN172" i="3" s="1"/>
  <c r="AO172" i="3" s="1"/>
  <c r="AF171" i="3"/>
  <c r="AG171" i="3" s="1"/>
  <c r="AH171" i="3" s="1"/>
  <c r="AI171" i="3" s="1"/>
  <c r="AJ171" i="3" s="1"/>
  <c r="AK171" i="3" s="1"/>
  <c r="AL171" i="3" s="1"/>
  <c r="AM171" i="3" s="1"/>
  <c r="AN171" i="3" s="1"/>
  <c r="AO171" i="3" s="1"/>
  <c r="AF170" i="3"/>
  <c r="AG170" i="3" s="1"/>
  <c r="AH170" i="3" s="1"/>
  <c r="AI170" i="3" s="1"/>
  <c r="AJ170" i="3" s="1"/>
  <c r="AK170" i="3" s="1"/>
  <c r="AL170" i="3" s="1"/>
  <c r="AM170" i="3" s="1"/>
  <c r="AN170" i="3" s="1"/>
  <c r="AO170" i="3" s="1"/>
  <c r="AF169" i="3"/>
  <c r="AG169" i="3" s="1"/>
  <c r="AH169" i="3" s="1"/>
  <c r="AI169" i="3" s="1"/>
  <c r="AJ169" i="3" s="1"/>
  <c r="AK169" i="3" s="1"/>
  <c r="AL169" i="3" s="1"/>
  <c r="AM169" i="3" s="1"/>
  <c r="AN169" i="3" s="1"/>
  <c r="AO169" i="3" s="1"/>
  <c r="AF168" i="3"/>
  <c r="AG168" i="3" s="1"/>
  <c r="AH168" i="3" s="1"/>
  <c r="AI168" i="3" s="1"/>
  <c r="AJ168" i="3" s="1"/>
  <c r="AK168" i="3" s="1"/>
  <c r="AL168" i="3" s="1"/>
  <c r="AM168" i="3" s="1"/>
  <c r="AN168" i="3" s="1"/>
  <c r="AO168" i="3" s="1"/>
  <c r="AF167" i="3"/>
  <c r="AG167" i="3" s="1"/>
  <c r="AH167" i="3" s="1"/>
  <c r="AI167" i="3" s="1"/>
  <c r="AJ167" i="3" s="1"/>
  <c r="AK167" i="3" s="1"/>
  <c r="AL167" i="3" s="1"/>
  <c r="AM167" i="3" s="1"/>
  <c r="AN167" i="3" s="1"/>
  <c r="AO167" i="3" s="1"/>
  <c r="AF166" i="3"/>
  <c r="AG166" i="3" s="1"/>
  <c r="AH166" i="3" s="1"/>
  <c r="AI166" i="3" s="1"/>
  <c r="AJ166" i="3" s="1"/>
  <c r="AK166" i="3" s="1"/>
  <c r="AL166" i="3" s="1"/>
  <c r="AM166" i="3" s="1"/>
  <c r="AN166" i="3" s="1"/>
  <c r="AO166" i="3" s="1"/>
  <c r="AF165" i="3"/>
  <c r="AG165" i="3" s="1"/>
  <c r="AH165" i="3" s="1"/>
  <c r="AI165" i="3" s="1"/>
  <c r="AJ165" i="3" s="1"/>
  <c r="AK165" i="3" s="1"/>
  <c r="AL165" i="3" s="1"/>
  <c r="AM165" i="3" s="1"/>
  <c r="AN165" i="3" s="1"/>
  <c r="AO165" i="3" s="1"/>
  <c r="AF164" i="3"/>
  <c r="AG164" i="3" s="1"/>
  <c r="AH164" i="3" s="1"/>
  <c r="AI164" i="3" s="1"/>
  <c r="AJ164" i="3" s="1"/>
  <c r="AK164" i="3" s="1"/>
  <c r="AL164" i="3" s="1"/>
  <c r="AM164" i="3" s="1"/>
  <c r="AN164" i="3" s="1"/>
  <c r="AO164" i="3" s="1"/>
  <c r="AF163" i="3"/>
  <c r="AG163" i="3" s="1"/>
  <c r="AH163" i="3" s="1"/>
  <c r="AI163" i="3" s="1"/>
  <c r="AJ163" i="3" s="1"/>
  <c r="AK163" i="3" s="1"/>
  <c r="AL163" i="3" s="1"/>
  <c r="AM163" i="3" s="1"/>
  <c r="AN163" i="3" s="1"/>
  <c r="AO163" i="3" s="1"/>
  <c r="AF162" i="3"/>
  <c r="AG162" i="3" s="1"/>
  <c r="AH162" i="3" s="1"/>
  <c r="AI162" i="3" s="1"/>
  <c r="AJ162" i="3" s="1"/>
  <c r="AK162" i="3" s="1"/>
  <c r="AL162" i="3" s="1"/>
  <c r="AM162" i="3" s="1"/>
  <c r="AN162" i="3" s="1"/>
  <c r="AO162" i="3" s="1"/>
  <c r="AF161" i="3"/>
  <c r="AG161" i="3" s="1"/>
  <c r="AH161" i="3" s="1"/>
  <c r="AI161" i="3" s="1"/>
  <c r="AJ161" i="3" s="1"/>
  <c r="AK161" i="3" s="1"/>
  <c r="AL161" i="3" s="1"/>
  <c r="AM161" i="3" s="1"/>
  <c r="AN161" i="3" s="1"/>
  <c r="AO161" i="3" s="1"/>
  <c r="AF160" i="3"/>
  <c r="AG160" i="3" s="1"/>
  <c r="AH160" i="3" s="1"/>
  <c r="AI160" i="3" s="1"/>
  <c r="AJ160" i="3" s="1"/>
  <c r="AK160" i="3" s="1"/>
  <c r="AL160" i="3" s="1"/>
  <c r="AM160" i="3" s="1"/>
  <c r="AN160" i="3" s="1"/>
  <c r="AO160" i="3" s="1"/>
  <c r="AF159" i="3"/>
  <c r="AG159" i="3" s="1"/>
  <c r="AH159" i="3" s="1"/>
  <c r="AI159" i="3" s="1"/>
  <c r="AJ159" i="3" s="1"/>
  <c r="AK159" i="3" s="1"/>
  <c r="AL159" i="3" s="1"/>
  <c r="AM159" i="3" s="1"/>
  <c r="AN159" i="3" s="1"/>
  <c r="AO159" i="3" s="1"/>
  <c r="AF158" i="3"/>
  <c r="AG158" i="3" s="1"/>
  <c r="AH158" i="3" s="1"/>
  <c r="AI158" i="3" s="1"/>
  <c r="AJ158" i="3" s="1"/>
  <c r="AK158" i="3" s="1"/>
  <c r="AL158" i="3" s="1"/>
  <c r="AM158" i="3" s="1"/>
  <c r="AN158" i="3" s="1"/>
  <c r="AO158" i="3" s="1"/>
  <c r="AF157" i="3"/>
  <c r="AG157" i="3" s="1"/>
  <c r="AH157" i="3" s="1"/>
  <c r="AI157" i="3" s="1"/>
  <c r="AJ157" i="3" s="1"/>
  <c r="AK157" i="3" s="1"/>
  <c r="AL157" i="3" s="1"/>
  <c r="AM157" i="3" s="1"/>
  <c r="AN157" i="3" s="1"/>
  <c r="AO157" i="3" s="1"/>
  <c r="E141" i="3"/>
  <c r="F141" i="3" s="1"/>
  <c r="G141" i="3" s="1"/>
  <c r="H141" i="3" s="1"/>
  <c r="I141" i="3" s="1"/>
  <c r="J141" i="3" s="1"/>
  <c r="K141" i="3" s="1"/>
  <c r="L141" i="3" s="1"/>
  <c r="M141" i="3" s="1"/>
  <c r="N141" i="3" s="1"/>
  <c r="O141" i="3" s="1"/>
  <c r="P141" i="3" s="1"/>
  <c r="Q141" i="3" s="1"/>
  <c r="R141" i="3" s="1"/>
  <c r="S141" i="3" s="1"/>
  <c r="T141" i="3" s="1"/>
  <c r="U141" i="3" s="1"/>
  <c r="V141" i="3" s="1"/>
  <c r="W141" i="3" s="1"/>
  <c r="X141" i="3" s="1"/>
  <c r="Y141" i="3" s="1"/>
  <c r="Z141" i="3" s="1"/>
  <c r="AA141" i="3" s="1"/>
  <c r="AB141" i="3" s="1"/>
  <c r="AC141" i="3" s="1"/>
  <c r="AD141" i="3" s="1"/>
  <c r="AE141" i="3" s="1"/>
  <c r="AF141" i="3" s="1"/>
  <c r="AG141" i="3" s="1"/>
  <c r="AH141" i="3" s="1"/>
  <c r="AI141" i="3" s="1"/>
  <c r="AJ141" i="3" s="1"/>
  <c r="AK141" i="3" s="1"/>
  <c r="AL141" i="3" s="1"/>
  <c r="AM141" i="3" s="1"/>
  <c r="AN141" i="3" s="1"/>
  <c r="AO141" i="3" s="1"/>
  <c r="E140" i="3"/>
  <c r="F140" i="3" s="1"/>
  <c r="G140" i="3" s="1"/>
  <c r="H140" i="3" s="1"/>
  <c r="I140" i="3" s="1"/>
  <c r="J140" i="3" s="1"/>
  <c r="K140" i="3" s="1"/>
  <c r="L140" i="3" s="1"/>
  <c r="M140" i="3" s="1"/>
  <c r="N140" i="3" s="1"/>
  <c r="O140" i="3" s="1"/>
  <c r="P140" i="3" s="1"/>
  <c r="Q140" i="3" s="1"/>
  <c r="R140" i="3" s="1"/>
  <c r="S140" i="3" s="1"/>
  <c r="T140" i="3" s="1"/>
  <c r="U140" i="3" s="1"/>
  <c r="V140" i="3" s="1"/>
  <c r="W140" i="3" s="1"/>
  <c r="X140" i="3" s="1"/>
  <c r="Y140" i="3" s="1"/>
  <c r="Z140" i="3" s="1"/>
  <c r="AA140" i="3" s="1"/>
  <c r="AB140" i="3" s="1"/>
  <c r="AC140" i="3" s="1"/>
  <c r="AD140" i="3" s="1"/>
  <c r="AE140" i="3" s="1"/>
  <c r="AF140" i="3" s="1"/>
  <c r="AG140" i="3" s="1"/>
  <c r="AH140" i="3" s="1"/>
  <c r="AI140" i="3" s="1"/>
  <c r="AJ140" i="3" s="1"/>
  <c r="AK140" i="3" s="1"/>
  <c r="AL140" i="3" s="1"/>
  <c r="AM140" i="3" s="1"/>
  <c r="AN140" i="3" s="1"/>
  <c r="AO140" i="3" s="1"/>
  <c r="E139" i="3"/>
  <c r="F139" i="3" s="1"/>
  <c r="G139" i="3" s="1"/>
  <c r="H139" i="3" s="1"/>
  <c r="I139" i="3" s="1"/>
  <c r="J139" i="3" s="1"/>
  <c r="K139" i="3" s="1"/>
  <c r="L139" i="3" s="1"/>
  <c r="M139" i="3" s="1"/>
  <c r="N139" i="3" s="1"/>
  <c r="O139" i="3" s="1"/>
  <c r="P139" i="3" s="1"/>
  <c r="Q139" i="3" s="1"/>
  <c r="R139" i="3" s="1"/>
  <c r="S139" i="3" s="1"/>
  <c r="T139" i="3" s="1"/>
  <c r="U139" i="3" s="1"/>
  <c r="V139" i="3" s="1"/>
  <c r="W139" i="3" s="1"/>
  <c r="X139" i="3" s="1"/>
  <c r="Y139" i="3" s="1"/>
  <c r="Z139" i="3" s="1"/>
  <c r="AA139" i="3" s="1"/>
  <c r="AB139" i="3" s="1"/>
  <c r="AC139" i="3" s="1"/>
  <c r="AD139" i="3" s="1"/>
  <c r="AE139" i="3" s="1"/>
  <c r="AF139" i="3" s="1"/>
  <c r="AG139" i="3" s="1"/>
  <c r="AH139" i="3" s="1"/>
  <c r="AI139" i="3" s="1"/>
  <c r="AJ139" i="3" s="1"/>
  <c r="AK139" i="3" s="1"/>
  <c r="AL139" i="3" s="1"/>
  <c r="AM139" i="3" s="1"/>
  <c r="AN139" i="3" s="1"/>
  <c r="AO139" i="3" s="1"/>
  <c r="E138" i="3"/>
  <c r="F138" i="3" s="1"/>
  <c r="G138" i="3" s="1"/>
  <c r="H138" i="3" s="1"/>
  <c r="I138" i="3" s="1"/>
  <c r="J138" i="3" s="1"/>
  <c r="K138" i="3" s="1"/>
  <c r="L138" i="3" s="1"/>
  <c r="M138" i="3" s="1"/>
  <c r="N138" i="3" s="1"/>
  <c r="O138" i="3" s="1"/>
  <c r="P138" i="3" s="1"/>
  <c r="Q138" i="3" s="1"/>
  <c r="R138" i="3" s="1"/>
  <c r="S138" i="3" s="1"/>
  <c r="T138" i="3" s="1"/>
  <c r="U138" i="3" s="1"/>
  <c r="V138" i="3" s="1"/>
  <c r="W138" i="3" s="1"/>
  <c r="X138" i="3" s="1"/>
  <c r="Y138" i="3" s="1"/>
  <c r="Z138" i="3" s="1"/>
  <c r="AA138" i="3" s="1"/>
  <c r="AB138" i="3" s="1"/>
  <c r="AC138" i="3" s="1"/>
  <c r="AD138" i="3" s="1"/>
  <c r="AE138" i="3" s="1"/>
  <c r="AF138" i="3" s="1"/>
  <c r="AG138" i="3" s="1"/>
  <c r="AH138" i="3" s="1"/>
  <c r="AI138" i="3" s="1"/>
  <c r="AJ138" i="3" s="1"/>
  <c r="AK138" i="3" s="1"/>
  <c r="AL138" i="3" s="1"/>
  <c r="AM138" i="3" s="1"/>
  <c r="AN138" i="3" s="1"/>
  <c r="AO138" i="3" s="1"/>
  <c r="E137" i="3"/>
  <c r="F137" i="3" s="1"/>
  <c r="G137" i="3" s="1"/>
  <c r="H137" i="3" s="1"/>
  <c r="I137" i="3" s="1"/>
  <c r="J137" i="3" s="1"/>
  <c r="K137" i="3" s="1"/>
  <c r="L137" i="3" s="1"/>
  <c r="M137" i="3" s="1"/>
  <c r="N137" i="3" s="1"/>
  <c r="O137" i="3" s="1"/>
  <c r="P137" i="3" s="1"/>
  <c r="Q137" i="3" s="1"/>
  <c r="R137" i="3" s="1"/>
  <c r="S137" i="3" s="1"/>
  <c r="T137" i="3" s="1"/>
  <c r="U137" i="3" s="1"/>
  <c r="V137" i="3" s="1"/>
  <c r="W137" i="3" s="1"/>
  <c r="X137" i="3" s="1"/>
  <c r="Y137" i="3" s="1"/>
  <c r="Z137" i="3" s="1"/>
  <c r="AA137" i="3" s="1"/>
  <c r="AB137" i="3" s="1"/>
  <c r="AC137" i="3" s="1"/>
  <c r="AD137" i="3" s="1"/>
  <c r="AE137" i="3" s="1"/>
  <c r="AF137" i="3" s="1"/>
  <c r="AG137" i="3" s="1"/>
  <c r="AH137" i="3" s="1"/>
  <c r="AI137" i="3" s="1"/>
  <c r="AJ137" i="3" s="1"/>
  <c r="AK137" i="3" s="1"/>
  <c r="AL137" i="3" s="1"/>
  <c r="AM137" i="3" s="1"/>
  <c r="AN137" i="3" s="1"/>
  <c r="AO137" i="3" s="1"/>
  <c r="E136" i="3"/>
  <c r="F136" i="3" s="1"/>
  <c r="G136" i="3" s="1"/>
  <c r="H136" i="3" s="1"/>
  <c r="I136" i="3" s="1"/>
  <c r="J136" i="3" s="1"/>
  <c r="K136" i="3" s="1"/>
  <c r="L136" i="3" s="1"/>
  <c r="M136" i="3" s="1"/>
  <c r="N136" i="3" s="1"/>
  <c r="O136" i="3" s="1"/>
  <c r="P136" i="3" s="1"/>
  <c r="Q136" i="3" s="1"/>
  <c r="R136" i="3" s="1"/>
  <c r="S136" i="3" s="1"/>
  <c r="T136" i="3" s="1"/>
  <c r="U136" i="3" s="1"/>
  <c r="V136" i="3" s="1"/>
  <c r="W136" i="3" s="1"/>
  <c r="X136" i="3" s="1"/>
  <c r="Y136" i="3" s="1"/>
  <c r="Z136" i="3" s="1"/>
  <c r="AA136" i="3" s="1"/>
  <c r="AB136" i="3" s="1"/>
  <c r="AC136" i="3" s="1"/>
  <c r="AD136" i="3" s="1"/>
  <c r="AE136" i="3" s="1"/>
  <c r="AF136" i="3" s="1"/>
  <c r="AG136" i="3" s="1"/>
  <c r="AH136" i="3" s="1"/>
  <c r="AI136" i="3" s="1"/>
  <c r="AJ136" i="3" s="1"/>
  <c r="AK136" i="3" s="1"/>
  <c r="AL136" i="3" s="1"/>
  <c r="AM136" i="3" s="1"/>
  <c r="AN136" i="3" s="1"/>
  <c r="AO136" i="3" s="1"/>
  <c r="E135" i="3"/>
  <c r="F135" i="3" s="1"/>
  <c r="G135" i="3" s="1"/>
  <c r="H135" i="3" s="1"/>
  <c r="I135" i="3" s="1"/>
  <c r="J135" i="3" s="1"/>
  <c r="K135" i="3" s="1"/>
  <c r="L135" i="3" s="1"/>
  <c r="M135" i="3" s="1"/>
  <c r="N135" i="3" s="1"/>
  <c r="O135" i="3" s="1"/>
  <c r="P135" i="3" s="1"/>
  <c r="Q135" i="3" s="1"/>
  <c r="R135" i="3" s="1"/>
  <c r="S135" i="3" s="1"/>
  <c r="T135" i="3" s="1"/>
  <c r="U135" i="3" s="1"/>
  <c r="V135" i="3" s="1"/>
  <c r="W135" i="3" s="1"/>
  <c r="X135" i="3" s="1"/>
  <c r="Y135" i="3" s="1"/>
  <c r="Z135" i="3" s="1"/>
  <c r="AA135" i="3" s="1"/>
  <c r="AB135" i="3" s="1"/>
  <c r="AC135" i="3" s="1"/>
  <c r="AD135" i="3" s="1"/>
  <c r="AE135" i="3" s="1"/>
  <c r="AF135" i="3" s="1"/>
  <c r="AG135" i="3" s="1"/>
  <c r="AH135" i="3" s="1"/>
  <c r="AI135" i="3" s="1"/>
  <c r="AJ135" i="3" s="1"/>
  <c r="AK135" i="3" s="1"/>
  <c r="AL135" i="3" s="1"/>
  <c r="AM135" i="3" s="1"/>
  <c r="AN135" i="3" s="1"/>
  <c r="AO135" i="3" s="1"/>
  <c r="E134" i="3"/>
  <c r="F134" i="3" s="1"/>
  <c r="G134" i="3" s="1"/>
  <c r="H134" i="3" s="1"/>
  <c r="I134" i="3" s="1"/>
  <c r="J134" i="3" s="1"/>
  <c r="K134" i="3" s="1"/>
  <c r="L134" i="3" s="1"/>
  <c r="M134" i="3" s="1"/>
  <c r="N134" i="3" s="1"/>
  <c r="O134" i="3" s="1"/>
  <c r="P134" i="3" s="1"/>
  <c r="Q134" i="3" s="1"/>
  <c r="R134" i="3" s="1"/>
  <c r="S134" i="3" s="1"/>
  <c r="T134" i="3" s="1"/>
  <c r="U134" i="3" s="1"/>
  <c r="V134" i="3" s="1"/>
  <c r="W134" i="3" s="1"/>
  <c r="X134" i="3" s="1"/>
  <c r="Y134" i="3" s="1"/>
  <c r="Z134" i="3" s="1"/>
  <c r="AA134" i="3" s="1"/>
  <c r="AB134" i="3" s="1"/>
  <c r="AC134" i="3" s="1"/>
  <c r="AD134" i="3" s="1"/>
  <c r="AE134" i="3" s="1"/>
  <c r="AF134" i="3" s="1"/>
  <c r="AG134" i="3" s="1"/>
  <c r="AH134" i="3" s="1"/>
  <c r="AI134" i="3" s="1"/>
  <c r="AJ134" i="3" s="1"/>
  <c r="AK134" i="3" s="1"/>
  <c r="AL134" i="3" s="1"/>
  <c r="AM134" i="3" s="1"/>
  <c r="AN134" i="3" s="1"/>
  <c r="AO134" i="3" s="1"/>
  <c r="E133" i="3"/>
  <c r="F133" i="3" s="1"/>
  <c r="G133" i="3" s="1"/>
  <c r="H133" i="3" s="1"/>
  <c r="I133" i="3" s="1"/>
  <c r="J133" i="3" s="1"/>
  <c r="K133" i="3" s="1"/>
  <c r="L133" i="3" s="1"/>
  <c r="M133" i="3" s="1"/>
  <c r="N133" i="3" s="1"/>
  <c r="O133" i="3" s="1"/>
  <c r="P133" i="3" s="1"/>
  <c r="Q133" i="3" s="1"/>
  <c r="R133" i="3" s="1"/>
  <c r="S133" i="3" s="1"/>
  <c r="T133" i="3" s="1"/>
  <c r="U133" i="3" s="1"/>
  <c r="V133" i="3" s="1"/>
  <c r="W133" i="3" s="1"/>
  <c r="X133" i="3" s="1"/>
  <c r="Y133" i="3" s="1"/>
  <c r="Z133" i="3" s="1"/>
  <c r="AA133" i="3" s="1"/>
  <c r="AB133" i="3" s="1"/>
  <c r="AC133" i="3" s="1"/>
  <c r="AD133" i="3" s="1"/>
  <c r="AE133" i="3" s="1"/>
  <c r="AF133" i="3" s="1"/>
  <c r="AG133" i="3" s="1"/>
  <c r="AH133" i="3" s="1"/>
  <c r="AI133" i="3" s="1"/>
  <c r="AJ133" i="3" s="1"/>
  <c r="AK133" i="3" s="1"/>
  <c r="AL133" i="3" s="1"/>
  <c r="AM133" i="3" s="1"/>
  <c r="AN133" i="3" s="1"/>
  <c r="AO133" i="3" s="1"/>
  <c r="E132" i="3"/>
  <c r="F132" i="3" s="1"/>
  <c r="G132" i="3" s="1"/>
  <c r="H132" i="3" s="1"/>
  <c r="I132" i="3" s="1"/>
  <c r="J132" i="3" s="1"/>
  <c r="K132" i="3" s="1"/>
  <c r="L132" i="3" s="1"/>
  <c r="M132" i="3" s="1"/>
  <c r="N132" i="3" s="1"/>
  <c r="O132" i="3" s="1"/>
  <c r="P132" i="3" s="1"/>
  <c r="Q132" i="3" s="1"/>
  <c r="R132" i="3" s="1"/>
  <c r="S132" i="3" s="1"/>
  <c r="T132" i="3" s="1"/>
  <c r="U132" i="3" s="1"/>
  <c r="V132" i="3" s="1"/>
  <c r="W132" i="3" s="1"/>
  <c r="X132" i="3" s="1"/>
  <c r="Y132" i="3" s="1"/>
  <c r="Z132" i="3" s="1"/>
  <c r="AA132" i="3" s="1"/>
  <c r="AB132" i="3" s="1"/>
  <c r="AC132" i="3" s="1"/>
  <c r="AD132" i="3" s="1"/>
  <c r="AE132" i="3" s="1"/>
  <c r="AF132" i="3" s="1"/>
  <c r="AG132" i="3" s="1"/>
  <c r="AH132" i="3" s="1"/>
  <c r="AI132" i="3" s="1"/>
  <c r="AJ132" i="3" s="1"/>
  <c r="AK132" i="3" s="1"/>
  <c r="AL132" i="3" s="1"/>
  <c r="AM132" i="3" s="1"/>
  <c r="AN132" i="3" s="1"/>
  <c r="AO132" i="3" s="1"/>
  <c r="E131" i="3"/>
  <c r="F131" i="3" s="1"/>
  <c r="G131" i="3" s="1"/>
  <c r="H131" i="3" s="1"/>
  <c r="I131" i="3" s="1"/>
  <c r="J131" i="3" s="1"/>
  <c r="K131" i="3" s="1"/>
  <c r="L131" i="3" s="1"/>
  <c r="M131" i="3" s="1"/>
  <c r="N131" i="3" s="1"/>
  <c r="O131" i="3" s="1"/>
  <c r="P131" i="3" s="1"/>
  <c r="Q131" i="3" s="1"/>
  <c r="R131" i="3" s="1"/>
  <c r="S131" i="3" s="1"/>
  <c r="T131" i="3" s="1"/>
  <c r="U131" i="3" s="1"/>
  <c r="V131" i="3" s="1"/>
  <c r="W131" i="3" s="1"/>
  <c r="X131" i="3" s="1"/>
  <c r="Y131" i="3" s="1"/>
  <c r="Z131" i="3" s="1"/>
  <c r="AA131" i="3" s="1"/>
  <c r="AB131" i="3" s="1"/>
  <c r="AC131" i="3" s="1"/>
  <c r="AD131" i="3" s="1"/>
  <c r="AE131" i="3" s="1"/>
  <c r="AF131" i="3" s="1"/>
  <c r="AG131" i="3" s="1"/>
  <c r="AH131" i="3" s="1"/>
  <c r="AI131" i="3" s="1"/>
  <c r="AJ131" i="3" s="1"/>
  <c r="AK131" i="3" s="1"/>
  <c r="AL131" i="3" s="1"/>
  <c r="AM131" i="3" s="1"/>
  <c r="AN131" i="3" s="1"/>
  <c r="AO131" i="3" s="1"/>
  <c r="F130" i="3"/>
  <c r="G130" i="3" s="1"/>
  <c r="H130" i="3" s="1"/>
  <c r="I130" i="3" s="1"/>
  <c r="J130" i="3" s="1"/>
  <c r="K130" i="3" s="1"/>
  <c r="L130" i="3" s="1"/>
  <c r="M130" i="3" s="1"/>
  <c r="N130" i="3" s="1"/>
  <c r="O130" i="3" s="1"/>
  <c r="P130" i="3" s="1"/>
  <c r="Q130" i="3" s="1"/>
  <c r="R130" i="3" s="1"/>
  <c r="S130" i="3" s="1"/>
  <c r="T130" i="3" s="1"/>
  <c r="U130" i="3" s="1"/>
  <c r="V130" i="3" s="1"/>
  <c r="W130" i="3" s="1"/>
  <c r="X130" i="3" s="1"/>
  <c r="Y130" i="3" s="1"/>
  <c r="Z130" i="3" s="1"/>
  <c r="AA130" i="3" s="1"/>
  <c r="AB130" i="3" s="1"/>
  <c r="AC130" i="3" s="1"/>
  <c r="AD130" i="3" s="1"/>
  <c r="AE130" i="3" s="1"/>
  <c r="AF130" i="3" s="1"/>
  <c r="AG130" i="3" s="1"/>
  <c r="AH130" i="3" s="1"/>
  <c r="AI130" i="3" s="1"/>
  <c r="AJ130" i="3" s="1"/>
  <c r="AK130" i="3" s="1"/>
  <c r="AL130" i="3" s="1"/>
  <c r="AM130" i="3" s="1"/>
  <c r="AN130" i="3" s="1"/>
  <c r="AO130" i="3" s="1"/>
  <c r="AF129" i="3"/>
  <c r="AG129" i="3" s="1"/>
  <c r="AH129" i="3" s="1"/>
  <c r="AI129" i="3" s="1"/>
  <c r="AJ129" i="3" s="1"/>
  <c r="AK129" i="3" s="1"/>
  <c r="AL129" i="3" s="1"/>
  <c r="AM129" i="3" s="1"/>
  <c r="AN129" i="3" s="1"/>
  <c r="AO129" i="3" s="1"/>
  <c r="F128" i="3"/>
  <c r="G128" i="3" s="1"/>
  <c r="H128" i="3" s="1"/>
  <c r="I128" i="3" s="1"/>
  <c r="J128" i="3" s="1"/>
  <c r="K128" i="3" s="1"/>
  <c r="L128" i="3" s="1"/>
  <c r="M128" i="3" s="1"/>
  <c r="N128" i="3" s="1"/>
  <c r="O128" i="3" s="1"/>
  <c r="P128" i="3" s="1"/>
  <c r="Q128" i="3" s="1"/>
  <c r="R128" i="3" s="1"/>
  <c r="S128" i="3" s="1"/>
  <c r="T128" i="3" s="1"/>
  <c r="U128" i="3" s="1"/>
  <c r="V128" i="3" s="1"/>
  <c r="W128" i="3" s="1"/>
  <c r="X128" i="3" s="1"/>
  <c r="Y128" i="3" s="1"/>
  <c r="Z128" i="3" s="1"/>
  <c r="AA128" i="3" s="1"/>
  <c r="AB128" i="3" s="1"/>
  <c r="AC128" i="3" s="1"/>
  <c r="AD128" i="3" s="1"/>
  <c r="AE128" i="3" s="1"/>
  <c r="AF128" i="3" s="1"/>
  <c r="AG128" i="3" s="1"/>
  <c r="AH128" i="3" s="1"/>
  <c r="AI128" i="3" s="1"/>
  <c r="AJ128" i="3" s="1"/>
  <c r="AK128" i="3" s="1"/>
  <c r="AL128" i="3" s="1"/>
  <c r="AM128" i="3" s="1"/>
  <c r="AN128" i="3" s="1"/>
  <c r="AO128" i="3" s="1"/>
  <c r="AF127" i="3"/>
  <c r="AG127" i="3" s="1"/>
  <c r="AH127" i="3" s="1"/>
  <c r="AI127" i="3" s="1"/>
  <c r="AJ127" i="3" s="1"/>
  <c r="AK127" i="3" s="1"/>
  <c r="AL127" i="3" s="1"/>
  <c r="AM127" i="3" s="1"/>
  <c r="AN127" i="3" s="1"/>
  <c r="AO127" i="3" s="1"/>
  <c r="AF126" i="3"/>
  <c r="AG126" i="3" s="1"/>
  <c r="AH126" i="3" s="1"/>
  <c r="AI126" i="3" s="1"/>
  <c r="AJ126" i="3" s="1"/>
  <c r="AK126" i="3" s="1"/>
  <c r="AL126" i="3" s="1"/>
  <c r="AM126" i="3" s="1"/>
  <c r="AN126" i="3" s="1"/>
  <c r="AO126" i="3" s="1"/>
  <c r="AF125" i="3"/>
  <c r="AG125" i="3" s="1"/>
  <c r="AH125" i="3" s="1"/>
  <c r="AI125" i="3" s="1"/>
  <c r="AJ125" i="3" s="1"/>
  <c r="AK125" i="3" s="1"/>
  <c r="AL125" i="3" s="1"/>
  <c r="AM125" i="3" s="1"/>
  <c r="AN125" i="3" s="1"/>
  <c r="AO125" i="3" s="1"/>
  <c r="AF124" i="3"/>
  <c r="AG124" i="3" s="1"/>
  <c r="AH124" i="3" s="1"/>
  <c r="AI124" i="3" s="1"/>
  <c r="AJ124" i="3" s="1"/>
  <c r="AK124" i="3" s="1"/>
  <c r="AL124" i="3" s="1"/>
  <c r="AM124" i="3" s="1"/>
  <c r="AN124" i="3" s="1"/>
  <c r="AO124" i="3" s="1"/>
  <c r="AF123" i="3"/>
  <c r="AG123" i="3" s="1"/>
  <c r="AH123" i="3" s="1"/>
  <c r="AI123" i="3" s="1"/>
  <c r="AJ123" i="3" s="1"/>
  <c r="AK123" i="3" s="1"/>
  <c r="AL123" i="3" s="1"/>
  <c r="AM123" i="3" s="1"/>
  <c r="AN123" i="3" s="1"/>
  <c r="AO123" i="3" s="1"/>
  <c r="AF122" i="3"/>
  <c r="AG122" i="3" s="1"/>
  <c r="AH122" i="3" s="1"/>
  <c r="AI122" i="3" s="1"/>
  <c r="AJ122" i="3" s="1"/>
  <c r="AK122" i="3" s="1"/>
  <c r="AL122" i="3" s="1"/>
  <c r="AM122" i="3" s="1"/>
  <c r="AN122" i="3" s="1"/>
  <c r="AO122" i="3" s="1"/>
  <c r="AF121" i="3"/>
  <c r="AG121" i="3" s="1"/>
  <c r="AH121" i="3" s="1"/>
  <c r="AI121" i="3" s="1"/>
  <c r="AJ121" i="3" s="1"/>
  <c r="AK121" i="3" s="1"/>
  <c r="AL121" i="3" s="1"/>
  <c r="AM121" i="3" s="1"/>
  <c r="AN121" i="3" s="1"/>
  <c r="AO121" i="3" s="1"/>
  <c r="AF120" i="3"/>
  <c r="AG120" i="3" s="1"/>
  <c r="AH120" i="3" s="1"/>
  <c r="AI120" i="3" s="1"/>
  <c r="AJ120" i="3" s="1"/>
  <c r="AK120" i="3" s="1"/>
  <c r="AL120" i="3" s="1"/>
  <c r="AM120" i="3" s="1"/>
  <c r="AN120" i="3" s="1"/>
  <c r="AO120" i="3" s="1"/>
  <c r="AF119" i="3"/>
  <c r="AG119" i="3" s="1"/>
  <c r="AH119" i="3" s="1"/>
  <c r="AI119" i="3" s="1"/>
  <c r="AJ119" i="3" s="1"/>
  <c r="AK119" i="3" s="1"/>
  <c r="AL119" i="3" s="1"/>
  <c r="AM119" i="3" s="1"/>
  <c r="AN119" i="3" s="1"/>
  <c r="AO119" i="3" s="1"/>
  <c r="AF117" i="3"/>
  <c r="AG117" i="3" s="1"/>
  <c r="AH117" i="3" s="1"/>
  <c r="AI117" i="3" s="1"/>
  <c r="AJ117" i="3" s="1"/>
  <c r="AK117" i="3" s="1"/>
  <c r="AL117" i="3" s="1"/>
  <c r="AM117" i="3" s="1"/>
  <c r="AN117" i="3" s="1"/>
  <c r="AO117" i="3" s="1"/>
  <c r="AF116" i="3"/>
  <c r="AG116" i="3" s="1"/>
  <c r="AH116" i="3" s="1"/>
  <c r="AI116" i="3" s="1"/>
  <c r="AJ116" i="3" s="1"/>
  <c r="AK116" i="3" s="1"/>
  <c r="AL116" i="3" s="1"/>
  <c r="AM116" i="3" s="1"/>
  <c r="AN116" i="3" s="1"/>
  <c r="AO116" i="3" s="1"/>
  <c r="AF115" i="3"/>
  <c r="AG115" i="3" s="1"/>
  <c r="AH115" i="3" s="1"/>
  <c r="AI115" i="3" s="1"/>
  <c r="AJ115" i="3" s="1"/>
  <c r="AK115" i="3" s="1"/>
  <c r="AL115" i="3" s="1"/>
  <c r="AM115" i="3" s="1"/>
  <c r="AN115" i="3" s="1"/>
  <c r="AO115" i="3" s="1"/>
  <c r="AF114" i="3"/>
  <c r="AG114" i="3" s="1"/>
  <c r="AH114" i="3" s="1"/>
  <c r="AI114" i="3" s="1"/>
  <c r="AJ114" i="3" s="1"/>
  <c r="AK114" i="3" s="1"/>
  <c r="AL114" i="3" s="1"/>
  <c r="AM114" i="3" s="1"/>
  <c r="AN114" i="3" s="1"/>
  <c r="AO114" i="3" s="1"/>
  <c r="AF113" i="3"/>
  <c r="AG113" i="3" s="1"/>
  <c r="AH113" i="3" s="1"/>
  <c r="AI113" i="3" s="1"/>
  <c r="AJ113" i="3" s="1"/>
  <c r="AK113" i="3" s="1"/>
  <c r="AL113" i="3" s="1"/>
  <c r="AM113" i="3" s="1"/>
  <c r="AN113" i="3" s="1"/>
  <c r="AO113" i="3" s="1"/>
  <c r="AF112" i="3"/>
  <c r="AG112" i="3" s="1"/>
  <c r="AH112" i="3" s="1"/>
  <c r="AI112" i="3" s="1"/>
  <c r="AJ112" i="3" s="1"/>
  <c r="AK112" i="3" s="1"/>
  <c r="AL112" i="3" s="1"/>
  <c r="AM112" i="3" s="1"/>
  <c r="AN112" i="3" s="1"/>
  <c r="AO112" i="3" s="1"/>
  <c r="F111" i="3"/>
  <c r="G111" i="3" s="1"/>
  <c r="H111" i="3" s="1"/>
  <c r="I111" i="3" s="1"/>
  <c r="J111" i="3" s="1"/>
  <c r="K111" i="3" s="1"/>
  <c r="L111" i="3" s="1"/>
  <c r="M111" i="3" s="1"/>
  <c r="N111" i="3" s="1"/>
  <c r="O111" i="3" s="1"/>
  <c r="P111" i="3" s="1"/>
  <c r="Q111" i="3" s="1"/>
  <c r="R111" i="3" s="1"/>
  <c r="S111" i="3" s="1"/>
  <c r="T111" i="3" s="1"/>
  <c r="U111" i="3" s="1"/>
  <c r="V111" i="3" s="1"/>
  <c r="W111" i="3" s="1"/>
  <c r="X111" i="3" s="1"/>
  <c r="Y111" i="3" s="1"/>
  <c r="Z111" i="3" s="1"/>
  <c r="AA111" i="3" s="1"/>
  <c r="AB111" i="3" s="1"/>
  <c r="AC111" i="3" s="1"/>
  <c r="AD111" i="3" s="1"/>
  <c r="AE111" i="3" s="1"/>
  <c r="AF111" i="3" s="1"/>
  <c r="AG111" i="3" s="1"/>
  <c r="AH111" i="3" s="1"/>
  <c r="AI111" i="3" s="1"/>
  <c r="AJ111" i="3" s="1"/>
  <c r="AK111" i="3" s="1"/>
  <c r="AL111" i="3" s="1"/>
  <c r="AM111" i="3" s="1"/>
  <c r="AN111" i="3" s="1"/>
  <c r="AO111" i="3" s="1"/>
  <c r="AF110" i="3"/>
  <c r="AG110" i="3" s="1"/>
  <c r="AH110" i="3" s="1"/>
  <c r="AI110" i="3" s="1"/>
  <c r="AJ110" i="3" s="1"/>
  <c r="AK110" i="3" s="1"/>
  <c r="AL110" i="3" s="1"/>
  <c r="AM110" i="3" s="1"/>
  <c r="AN110" i="3" s="1"/>
  <c r="AO110" i="3" s="1"/>
  <c r="AF109" i="3"/>
  <c r="AG109" i="3" s="1"/>
  <c r="AH109" i="3" s="1"/>
  <c r="AI109" i="3" s="1"/>
  <c r="AJ109" i="3" s="1"/>
  <c r="AK109" i="3" s="1"/>
  <c r="AL109" i="3" s="1"/>
  <c r="AM109" i="3" s="1"/>
  <c r="AN109" i="3" s="1"/>
  <c r="AO109" i="3" s="1"/>
  <c r="AF108" i="3"/>
  <c r="AG108" i="3" s="1"/>
  <c r="AH108" i="3" s="1"/>
  <c r="AI108" i="3" s="1"/>
  <c r="AJ108" i="3" s="1"/>
  <c r="AK108" i="3" s="1"/>
  <c r="AL108" i="3" s="1"/>
  <c r="AM108" i="3" s="1"/>
  <c r="AN108" i="3" s="1"/>
  <c r="AO108" i="3" s="1"/>
  <c r="AF107" i="3"/>
  <c r="AG107" i="3" s="1"/>
  <c r="AH107" i="3" s="1"/>
  <c r="AI107" i="3" s="1"/>
  <c r="AJ107" i="3" s="1"/>
  <c r="AK107" i="3" s="1"/>
  <c r="AL107" i="3" s="1"/>
  <c r="AM107" i="3" s="1"/>
  <c r="AN107" i="3" s="1"/>
  <c r="AO107" i="3" s="1"/>
  <c r="AF106" i="3"/>
  <c r="AG106" i="3" s="1"/>
  <c r="AH106" i="3" s="1"/>
  <c r="AI106" i="3" s="1"/>
  <c r="AJ106" i="3" s="1"/>
  <c r="AK106" i="3" s="1"/>
  <c r="AL106" i="3" s="1"/>
  <c r="AM106" i="3" s="1"/>
  <c r="AN106" i="3" s="1"/>
  <c r="AO106" i="3" s="1"/>
  <c r="AF105" i="3"/>
  <c r="AG105" i="3" s="1"/>
  <c r="AH105" i="3" s="1"/>
  <c r="AI105" i="3" s="1"/>
  <c r="AJ105" i="3" s="1"/>
  <c r="AK105" i="3" s="1"/>
  <c r="AL105" i="3" s="1"/>
  <c r="AM105" i="3" s="1"/>
  <c r="AN105" i="3" s="1"/>
  <c r="AO105" i="3" s="1"/>
  <c r="AF104" i="3"/>
  <c r="AG104" i="3" s="1"/>
  <c r="AH104" i="3" s="1"/>
  <c r="AI104" i="3" s="1"/>
  <c r="AJ104" i="3" s="1"/>
  <c r="AK104" i="3" s="1"/>
  <c r="AL104" i="3" s="1"/>
  <c r="AM104" i="3" s="1"/>
  <c r="AN104" i="3" s="1"/>
  <c r="AO104" i="3" s="1"/>
  <c r="F103" i="3"/>
  <c r="G103" i="3" s="1"/>
  <c r="H103" i="3" s="1"/>
  <c r="I103" i="3" s="1"/>
  <c r="J103" i="3" s="1"/>
  <c r="K103" i="3" s="1"/>
  <c r="L103" i="3" s="1"/>
  <c r="M103" i="3" s="1"/>
  <c r="N103" i="3" s="1"/>
  <c r="O103" i="3" s="1"/>
  <c r="P103" i="3" s="1"/>
  <c r="Q103" i="3" s="1"/>
  <c r="R103" i="3" s="1"/>
  <c r="S103" i="3" s="1"/>
  <c r="T103" i="3" s="1"/>
  <c r="U103" i="3" s="1"/>
  <c r="V103" i="3" s="1"/>
  <c r="W103" i="3" s="1"/>
  <c r="X103" i="3" s="1"/>
  <c r="Y103" i="3" s="1"/>
  <c r="Z103" i="3" s="1"/>
  <c r="AA103" i="3" s="1"/>
  <c r="AB103" i="3" s="1"/>
  <c r="AC103" i="3" s="1"/>
  <c r="AD103" i="3" s="1"/>
  <c r="AE103" i="3" s="1"/>
  <c r="AF103" i="3" s="1"/>
  <c r="AG103" i="3" s="1"/>
  <c r="AH103" i="3" s="1"/>
  <c r="AI103" i="3" s="1"/>
  <c r="AJ103" i="3" s="1"/>
  <c r="AK103" i="3" s="1"/>
  <c r="AL103" i="3" s="1"/>
  <c r="AM103" i="3" s="1"/>
  <c r="AN103" i="3" s="1"/>
  <c r="AO103" i="3" s="1"/>
  <c r="AF102" i="3"/>
  <c r="AG102" i="3" s="1"/>
  <c r="AH102" i="3" s="1"/>
  <c r="AI102" i="3" s="1"/>
  <c r="AJ102" i="3" s="1"/>
  <c r="AK102" i="3" s="1"/>
  <c r="AL102" i="3" s="1"/>
  <c r="AM102" i="3" s="1"/>
  <c r="AN102" i="3" s="1"/>
  <c r="AO102" i="3" s="1"/>
  <c r="AF101" i="3"/>
  <c r="AG101" i="3" s="1"/>
  <c r="AH101" i="3" s="1"/>
  <c r="AI101" i="3" s="1"/>
  <c r="AJ101" i="3" s="1"/>
  <c r="AK101" i="3" s="1"/>
  <c r="AL101" i="3" s="1"/>
  <c r="AM101" i="3" s="1"/>
  <c r="AN101" i="3" s="1"/>
  <c r="AO101" i="3" s="1"/>
  <c r="AF100" i="3"/>
  <c r="AG100" i="3" s="1"/>
  <c r="AH100" i="3" s="1"/>
  <c r="AI100" i="3" s="1"/>
  <c r="AJ100" i="3" s="1"/>
  <c r="AK100" i="3" s="1"/>
  <c r="AL100" i="3" s="1"/>
  <c r="AM100" i="3" s="1"/>
  <c r="AN100" i="3" s="1"/>
  <c r="AO100" i="3" s="1"/>
  <c r="AF99" i="3"/>
  <c r="AG99" i="3" s="1"/>
  <c r="AH99" i="3" s="1"/>
  <c r="AI99" i="3" s="1"/>
  <c r="AJ99" i="3" s="1"/>
  <c r="AK99" i="3" s="1"/>
  <c r="AL99" i="3" s="1"/>
  <c r="AM99" i="3" s="1"/>
  <c r="AN99" i="3" s="1"/>
  <c r="AO99" i="3" s="1"/>
  <c r="AF98" i="3"/>
  <c r="AG98" i="3" s="1"/>
  <c r="AH98" i="3" s="1"/>
  <c r="AI98" i="3" s="1"/>
  <c r="AJ98" i="3" s="1"/>
  <c r="AK98" i="3" s="1"/>
  <c r="AL98" i="3" s="1"/>
  <c r="AM98" i="3" s="1"/>
  <c r="AN98" i="3" s="1"/>
  <c r="AO98" i="3" s="1"/>
  <c r="AF97" i="3"/>
  <c r="AG97" i="3" s="1"/>
  <c r="AH97" i="3" s="1"/>
  <c r="AI97" i="3" s="1"/>
  <c r="AJ97" i="3" s="1"/>
  <c r="AK97" i="3" s="1"/>
  <c r="AL97" i="3" s="1"/>
  <c r="AM97" i="3" s="1"/>
  <c r="AN97" i="3" s="1"/>
  <c r="AO97" i="3" s="1"/>
  <c r="AF96" i="3"/>
  <c r="AG96" i="3" s="1"/>
  <c r="AH96" i="3" s="1"/>
  <c r="AI96" i="3" s="1"/>
  <c r="AJ96" i="3" s="1"/>
  <c r="AK96" i="3" s="1"/>
  <c r="AL96" i="3" s="1"/>
  <c r="AM96" i="3" s="1"/>
  <c r="AN96" i="3" s="1"/>
  <c r="AO96" i="3" s="1"/>
  <c r="AF95" i="3"/>
  <c r="AG95" i="3" s="1"/>
  <c r="AH95" i="3" s="1"/>
  <c r="AI95" i="3" s="1"/>
  <c r="AJ95" i="3" s="1"/>
  <c r="AK95" i="3" s="1"/>
  <c r="AL95" i="3" s="1"/>
  <c r="AM95" i="3" s="1"/>
  <c r="AN95" i="3" s="1"/>
  <c r="AO95" i="3" s="1"/>
  <c r="AF94" i="3"/>
  <c r="AG94" i="3" s="1"/>
  <c r="AH94" i="3" s="1"/>
  <c r="AI94" i="3" s="1"/>
  <c r="AJ94" i="3" s="1"/>
  <c r="AK94" i="3" s="1"/>
  <c r="AL94" i="3" s="1"/>
  <c r="AM94" i="3" s="1"/>
  <c r="AN94" i="3" s="1"/>
  <c r="AO94" i="3" s="1"/>
  <c r="AF93" i="3"/>
  <c r="AG93" i="3" s="1"/>
  <c r="AH93" i="3" s="1"/>
  <c r="AI93" i="3" s="1"/>
  <c r="AJ93" i="3" s="1"/>
  <c r="AK93" i="3" s="1"/>
  <c r="AL93" i="3" s="1"/>
  <c r="AM93" i="3" s="1"/>
  <c r="AN93" i="3" s="1"/>
  <c r="AO93" i="3" s="1"/>
  <c r="AF92" i="3"/>
  <c r="AG92" i="3" s="1"/>
  <c r="AH92" i="3" s="1"/>
  <c r="AI92" i="3" s="1"/>
  <c r="AJ92" i="3" s="1"/>
  <c r="AK92" i="3" s="1"/>
  <c r="AL92" i="3" s="1"/>
  <c r="AM92" i="3" s="1"/>
  <c r="AN92" i="3" s="1"/>
  <c r="AO92" i="3" s="1"/>
  <c r="AF91" i="3"/>
  <c r="AG91" i="3" s="1"/>
  <c r="AH91" i="3" s="1"/>
  <c r="AI91" i="3" s="1"/>
  <c r="AJ91" i="3" s="1"/>
  <c r="AK91" i="3" s="1"/>
  <c r="AL91" i="3" s="1"/>
  <c r="AM91" i="3" s="1"/>
  <c r="AN91" i="3" s="1"/>
  <c r="AO91" i="3" s="1"/>
  <c r="AF90" i="3"/>
  <c r="AG90" i="3" s="1"/>
  <c r="AH90" i="3" s="1"/>
  <c r="AI90" i="3" s="1"/>
  <c r="AJ90" i="3" s="1"/>
  <c r="AK90" i="3" s="1"/>
  <c r="AL90" i="3" s="1"/>
  <c r="AM90" i="3" s="1"/>
  <c r="AN90" i="3" s="1"/>
  <c r="AO90" i="3" s="1"/>
  <c r="AF89" i="3"/>
  <c r="AG89" i="3" s="1"/>
  <c r="AH89" i="3" s="1"/>
  <c r="AI89" i="3" s="1"/>
  <c r="AJ89" i="3" s="1"/>
  <c r="AK89" i="3" s="1"/>
  <c r="AL89" i="3" s="1"/>
  <c r="AM89" i="3" s="1"/>
  <c r="AN89" i="3" s="1"/>
  <c r="AO89" i="3" s="1"/>
  <c r="AF88" i="3"/>
  <c r="AG88" i="3" s="1"/>
  <c r="AH88" i="3" s="1"/>
  <c r="AI88" i="3" s="1"/>
  <c r="AJ88" i="3" s="1"/>
  <c r="AK88" i="3" s="1"/>
  <c r="AL88" i="3" s="1"/>
  <c r="AM88" i="3" s="1"/>
  <c r="AN88" i="3" s="1"/>
  <c r="AO88" i="3" s="1"/>
  <c r="AF87" i="3"/>
  <c r="AG87" i="3" s="1"/>
  <c r="AH87" i="3" s="1"/>
  <c r="AI87" i="3" s="1"/>
  <c r="AJ87" i="3" s="1"/>
  <c r="AK87" i="3" s="1"/>
  <c r="AL87" i="3" s="1"/>
  <c r="AM87" i="3" s="1"/>
  <c r="AN87" i="3" s="1"/>
  <c r="AO87" i="3" s="1"/>
  <c r="AF86" i="3"/>
  <c r="AG86" i="3" s="1"/>
  <c r="AH86" i="3" s="1"/>
  <c r="AI86" i="3" s="1"/>
  <c r="AJ86" i="3" s="1"/>
  <c r="AK86" i="3" s="1"/>
  <c r="AL86" i="3" s="1"/>
  <c r="AM86" i="3" s="1"/>
  <c r="AN86" i="3" s="1"/>
  <c r="AO86" i="3" s="1"/>
  <c r="AF85" i="3"/>
  <c r="AG85" i="3" s="1"/>
  <c r="AH85" i="3" s="1"/>
  <c r="AI85" i="3" s="1"/>
  <c r="AJ85" i="3" s="1"/>
  <c r="AK85" i="3" s="1"/>
  <c r="AL85" i="3" s="1"/>
  <c r="AM85" i="3" s="1"/>
  <c r="AN85" i="3" s="1"/>
  <c r="AO85" i="3" s="1"/>
  <c r="AF84" i="3"/>
  <c r="AG84" i="3" s="1"/>
  <c r="AH84" i="3" s="1"/>
  <c r="AI84" i="3" s="1"/>
  <c r="AJ84" i="3" s="1"/>
  <c r="AK84" i="3" s="1"/>
  <c r="AL84" i="3" s="1"/>
  <c r="AM84" i="3" s="1"/>
  <c r="AN84" i="3" s="1"/>
  <c r="AO84" i="3" s="1"/>
  <c r="AF83" i="3"/>
  <c r="AG83" i="3" s="1"/>
  <c r="AH83" i="3" s="1"/>
  <c r="AI83" i="3" s="1"/>
  <c r="AJ83" i="3" s="1"/>
  <c r="AK83" i="3" s="1"/>
  <c r="AL83" i="3" s="1"/>
  <c r="AM83" i="3" s="1"/>
  <c r="AN83" i="3" s="1"/>
  <c r="AO83" i="3" s="1"/>
  <c r="AF82" i="3"/>
  <c r="AG82" i="3" s="1"/>
  <c r="AH82" i="3" s="1"/>
  <c r="AI82" i="3" s="1"/>
  <c r="AJ82" i="3" s="1"/>
  <c r="AK82" i="3" s="1"/>
  <c r="AL82" i="3" s="1"/>
  <c r="AM82" i="3" s="1"/>
  <c r="AN82" i="3" s="1"/>
  <c r="AO82" i="3" s="1"/>
  <c r="AF81" i="3"/>
  <c r="AG81" i="3" s="1"/>
  <c r="AH81" i="3" s="1"/>
  <c r="AI81" i="3" s="1"/>
  <c r="AJ81" i="3" s="1"/>
  <c r="AK81" i="3" s="1"/>
  <c r="AL81" i="3" s="1"/>
  <c r="AM81" i="3" s="1"/>
  <c r="AN81" i="3" s="1"/>
  <c r="AO81" i="3" s="1"/>
  <c r="AF80" i="3"/>
  <c r="AG80" i="3" s="1"/>
  <c r="AH80" i="3" s="1"/>
  <c r="AI80" i="3" s="1"/>
  <c r="AJ80" i="3" s="1"/>
  <c r="AK80" i="3" s="1"/>
  <c r="AL80" i="3" s="1"/>
  <c r="AM80" i="3" s="1"/>
  <c r="AN80" i="3" s="1"/>
  <c r="AO80" i="3" s="1"/>
  <c r="AF79" i="3"/>
  <c r="AG79" i="3" s="1"/>
  <c r="AH79" i="3" s="1"/>
  <c r="AI79" i="3" s="1"/>
  <c r="AJ79" i="3" s="1"/>
  <c r="AK79" i="3" s="1"/>
  <c r="AL79" i="3" s="1"/>
  <c r="AM79" i="3" s="1"/>
  <c r="AN79" i="3" s="1"/>
  <c r="AO79" i="3" s="1"/>
  <c r="AF78" i="3"/>
  <c r="AG78" i="3" s="1"/>
  <c r="AH78" i="3" s="1"/>
  <c r="AI78" i="3" s="1"/>
  <c r="AJ78" i="3" s="1"/>
  <c r="AK78" i="3" s="1"/>
  <c r="AL78" i="3" s="1"/>
  <c r="AM78" i="3" s="1"/>
  <c r="AN78" i="3" s="1"/>
  <c r="AO78" i="3" s="1"/>
  <c r="AF77" i="3"/>
  <c r="AG77" i="3" s="1"/>
  <c r="AH77" i="3" s="1"/>
  <c r="AI77" i="3" s="1"/>
  <c r="AJ77" i="3" s="1"/>
  <c r="AK77" i="3" s="1"/>
  <c r="AL77" i="3" s="1"/>
  <c r="AM77" i="3" s="1"/>
  <c r="AN77" i="3" s="1"/>
  <c r="AO77" i="3" s="1"/>
  <c r="AF76" i="3"/>
  <c r="AG76" i="3" s="1"/>
  <c r="AH76" i="3" s="1"/>
  <c r="AI76" i="3" s="1"/>
  <c r="AJ76" i="3" s="1"/>
  <c r="AK76" i="3" s="1"/>
  <c r="AL76" i="3" s="1"/>
  <c r="AM76" i="3" s="1"/>
  <c r="AN76" i="3" s="1"/>
  <c r="AO76" i="3" s="1"/>
  <c r="AF75" i="3"/>
  <c r="AG75" i="3" s="1"/>
  <c r="AH75" i="3" s="1"/>
  <c r="AI75" i="3" s="1"/>
  <c r="AJ75" i="3" s="1"/>
  <c r="AK75" i="3" s="1"/>
  <c r="AL75" i="3" s="1"/>
  <c r="AM75" i="3" s="1"/>
  <c r="AN75" i="3" s="1"/>
  <c r="AO75" i="3" s="1"/>
  <c r="AF74" i="3"/>
  <c r="AG74" i="3" s="1"/>
  <c r="AH74" i="3" s="1"/>
  <c r="AI74" i="3" s="1"/>
  <c r="AJ74" i="3" s="1"/>
  <c r="AK74" i="3" s="1"/>
  <c r="AL74" i="3" s="1"/>
  <c r="AM74" i="3" s="1"/>
  <c r="AN74" i="3" s="1"/>
  <c r="AO74" i="3" s="1"/>
  <c r="AF73" i="3"/>
  <c r="AG73" i="3" s="1"/>
  <c r="AH73" i="3" s="1"/>
  <c r="AI73" i="3" s="1"/>
  <c r="AJ73" i="3" s="1"/>
  <c r="AK73" i="3" s="1"/>
  <c r="AL73" i="3" s="1"/>
  <c r="AM73" i="3" s="1"/>
  <c r="AN73" i="3" s="1"/>
  <c r="AO73" i="3" s="1"/>
  <c r="AF72" i="3"/>
  <c r="AG72" i="3" s="1"/>
  <c r="AH72" i="3" s="1"/>
  <c r="AI72" i="3" s="1"/>
  <c r="AJ72" i="3" s="1"/>
  <c r="AK72" i="3" s="1"/>
  <c r="AL72" i="3" s="1"/>
  <c r="AM72" i="3" s="1"/>
  <c r="AN72" i="3" s="1"/>
  <c r="AO72" i="3" s="1"/>
  <c r="AF71" i="3"/>
  <c r="AG71" i="3" s="1"/>
  <c r="AH71" i="3" s="1"/>
  <c r="AI71" i="3" s="1"/>
  <c r="AJ71" i="3" s="1"/>
  <c r="AK71" i="3" s="1"/>
  <c r="AL71" i="3" s="1"/>
  <c r="AM71" i="3" s="1"/>
  <c r="AN71" i="3" s="1"/>
  <c r="AO71" i="3" s="1"/>
  <c r="AF70" i="3"/>
  <c r="AG70" i="3" s="1"/>
  <c r="AH70" i="3" s="1"/>
  <c r="AI70" i="3" s="1"/>
  <c r="AJ70" i="3" s="1"/>
  <c r="AK70" i="3" s="1"/>
  <c r="AL70" i="3" s="1"/>
  <c r="AM70" i="3" s="1"/>
  <c r="AN70" i="3" s="1"/>
  <c r="AO70" i="3" s="1"/>
  <c r="AF69" i="3"/>
  <c r="AG69" i="3" s="1"/>
  <c r="AH69" i="3" s="1"/>
  <c r="AI69" i="3" s="1"/>
  <c r="AJ69" i="3" s="1"/>
  <c r="AK69" i="3" s="1"/>
  <c r="AL69" i="3" s="1"/>
  <c r="AM69" i="3" s="1"/>
  <c r="AN69" i="3" s="1"/>
  <c r="AO69" i="3" s="1"/>
  <c r="AF68" i="3"/>
  <c r="AG68" i="3" s="1"/>
  <c r="AH68" i="3" s="1"/>
  <c r="AI68" i="3" s="1"/>
  <c r="AJ68" i="3" s="1"/>
  <c r="AK68" i="3" s="1"/>
  <c r="AL68" i="3" s="1"/>
  <c r="AM68" i="3" s="1"/>
  <c r="AN68" i="3" s="1"/>
  <c r="AO68" i="3" s="1"/>
  <c r="AF67" i="3"/>
  <c r="AG67" i="3" s="1"/>
  <c r="AH67" i="3" s="1"/>
  <c r="AI67" i="3" s="1"/>
  <c r="AJ67" i="3" s="1"/>
  <c r="AK67" i="3" s="1"/>
  <c r="AL67" i="3" s="1"/>
  <c r="AM67" i="3" s="1"/>
  <c r="AN67" i="3" s="1"/>
  <c r="AO67" i="3" s="1"/>
  <c r="AO25" i="3" s="1"/>
  <c r="AF66" i="3"/>
  <c r="AG66" i="3" s="1"/>
  <c r="AF64" i="3"/>
  <c r="AF63" i="3"/>
  <c r="AG63" i="3" s="1"/>
  <c r="AH63" i="3" s="1"/>
  <c r="AI63" i="3" s="1"/>
  <c r="AJ63" i="3" s="1"/>
  <c r="AK63" i="3" s="1"/>
  <c r="AL63" i="3" s="1"/>
  <c r="AM63" i="3" s="1"/>
  <c r="AN63" i="3" s="1"/>
  <c r="AO63" i="3" s="1"/>
  <c r="AF62" i="3"/>
  <c r="AG62" i="3" s="1"/>
  <c r="AH62" i="3" s="1"/>
  <c r="AI62" i="3" s="1"/>
  <c r="AJ62" i="3" s="1"/>
  <c r="AK62" i="3" s="1"/>
  <c r="AL62" i="3" s="1"/>
  <c r="AM62" i="3" s="1"/>
  <c r="AN62" i="3" s="1"/>
  <c r="AO62" i="3" s="1"/>
  <c r="AF61" i="3"/>
  <c r="AG61" i="3" s="1"/>
  <c r="AH61" i="3" s="1"/>
  <c r="AI61" i="3" s="1"/>
  <c r="AJ61" i="3" s="1"/>
  <c r="AK61" i="3" s="1"/>
  <c r="AL61" i="3" s="1"/>
  <c r="AM61" i="3" s="1"/>
  <c r="AN61" i="3" s="1"/>
  <c r="AO61" i="3" s="1"/>
  <c r="AF60" i="3"/>
  <c r="C60" i="3"/>
  <c r="C62" i="3" s="1"/>
  <c r="C64" i="3" s="1"/>
  <c r="AF59" i="3"/>
  <c r="AG59" i="3" s="1"/>
  <c r="AH59" i="3" s="1"/>
  <c r="AI59" i="3" s="1"/>
  <c r="AJ59" i="3" s="1"/>
  <c r="AK59" i="3" s="1"/>
  <c r="AL59" i="3" s="1"/>
  <c r="AM59" i="3" s="1"/>
  <c r="AN59" i="3" s="1"/>
  <c r="AO59" i="3" s="1"/>
  <c r="C59" i="3"/>
  <c r="C61" i="3" s="1"/>
  <c r="C63" i="3" s="1"/>
  <c r="C65" i="3" s="1"/>
  <c r="AE58" i="3"/>
  <c r="AF58" i="3" s="1"/>
  <c r="AG58" i="3" s="1"/>
  <c r="AH58" i="3" s="1"/>
  <c r="AI58" i="3" s="1"/>
  <c r="AJ58" i="3" s="1"/>
  <c r="AK58" i="3" s="1"/>
  <c r="AL58" i="3" s="1"/>
  <c r="AM58" i="3" s="1"/>
  <c r="AN58" i="3" s="1"/>
  <c r="AO58" i="3" s="1"/>
  <c r="AD58" i="3"/>
  <c r="AD17" i="3" s="1"/>
  <c r="AC58" i="3"/>
  <c r="AC17" i="3" s="1"/>
  <c r="AB58" i="3"/>
  <c r="AB17" i="3" s="1"/>
  <c r="AA58" i="3"/>
  <c r="AA17" i="3" s="1"/>
  <c r="Z58" i="3"/>
  <c r="Z17" i="3" s="1"/>
  <c r="Y58" i="3"/>
  <c r="Y17" i="3" s="1"/>
  <c r="X58" i="3"/>
  <c r="X17" i="3" s="1"/>
  <c r="W58" i="3"/>
  <c r="W17" i="3" s="1"/>
  <c r="V58" i="3"/>
  <c r="V17" i="3" s="1"/>
  <c r="U58" i="3"/>
  <c r="U17" i="3" s="1"/>
  <c r="T58" i="3"/>
  <c r="T17" i="3" s="1"/>
  <c r="S58" i="3"/>
  <c r="S17" i="3" s="1"/>
  <c r="R58" i="3"/>
  <c r="R17" i="3" s="1"/>
  <c r="Q58" i="3"/>
  <c r="Q17" i="3" s="1"/>
  <c r="P58" i="3"/>
  <c r="P17" i="3" s="1"/>
  <c r="O58" i="3"/>
  <c r="O17" i="3" s="1"/>
  <c r="N58" i="3"/>
  <c r="N17" i="3" s="1"/>
  <c r="M58" i="3"/>
  <c r="M17" i="3" s="1"/>
  <c r="L58" i="3"/>
  <c r="L17" i="3" s="1"/>
  <c r="K58" i="3"/>
  <c r="K17" i="3" s="1"/>
  <c r="J58" i="3"/>
  <c r="J17" i="3" s="1"/>
  <c r="I58" i="3"/>
  <c r="I17" i="3" s="1"/>
  <c r="H58" i="3"/>
  <c r="H17" i="3" s="1"/>
  <c r="G58" i="3"/>
  <c r="G17" i="3" s="1"/>
  <c r="F58" i="3"/>
  <c r="F17" i="3" s="1"/>
  <c r="D58" i="3"/>
  <c r="AF57" i="3"/>
  <c r="AG57" i="3" s="1"/>
  <c r="AH57" i="3" s="1"/>
  <c r="AI57" i="3" s="1"/>
  <c r="AJ57" i="3" s="1"/>
  <c r="AK57" i="3" s="1"/>
  <c r="AL57" i="3" s="1"/>
  <c r="AM57" i="3" s="1"/>
  <c r="AN57" i="3" s="1"/>
  <c r="AO57" i="3" s="1"/>
  <c r="AF56" i="3"/>
  <c r="AG56" i="3" s="1"/>
  <c r="AH56" i="3" s="1"/>
  <c r="AI56" i="3" s="1"/>
  <c r="AJ56" i="3" s="1"/>
  <c r="AK56" i="3" s="1"/>
  <c r="AL56" i="3" s="1"/>
  <c r="AM56" i="3" s="1"/>
  <c r="AN56" i="3" s="1"/>
  <c r="AO56" i="3" s="1"/>
  <c r="AF55" i="3"/>
  <c r="AG55" i="3" s="1"/>
  <c r="AH55" i="3" s="1"/>
  <c r="AI55" i="3" s="1"/>
  <c r="AJ55" i="3" s="1"/>
  <c r="AK55" i="3" s="1"/>
  <c r="AL55" i="3" s="1"/>
  <c r="AM55" i="3" s="1"/>
  <c r="AN55" i="3" s="1"/>
  <c r="AO55" i="3" s="1"/>
  <c r="AF54" i="3"/>
  <c r="AG54" i="3" s="1"/>
  <c r="AH54" i="3" s="1"/>
  <c r="AI54" i="3" s="1"/>
  <c r="AJ54" i="3" s="1"/>
  <c r="AK54" i="3" s="1"/>
  <c r="AL54" i="3" s="1"/>
  <c r="AM54" i="3" s="1"/>
  <c r="AN54" i="3" s="1"/>
  <c r="AO54" i="3" s="1"/>
  <c r="AF53" i="3"/>
  <c r="AG53" i="3" s="1"/>
  <c r="AH53" i="3" s="1"/>
  <c r="AI53" i="3" s="1"/>
  <c r="AJ53" i="3" s="1"/>
  <c r="AK53" i="3" s="1"/>
  <c r="AL53" i="3" s="1"/>
  <c r="AM53" i="3" s="1"/>
  <c r="AN53" i="3" s="1"/>
  <c r="AO53" i="3" s="1"/>
  <c r="AF52" i="3"/>
  <c r="AG52" i="3" s="1"/>
  <c r="AH52" i="3" s="1"/>
  <c r="AI52" i="3" s="1"/>
  <c r="AJ52" i="3" s="1"/>
  <c r="AK52" i="3" s="1"/>
  <c r="AL52" i="3" s="1"/>
  <c r="AM52" i="3" s="1"/>
  <c r="AN52" i="3" s="1"/>
  <c r="AO52" i="3" s="1"/>
  <c r="AF51" i="3"/>
  <c r="AG51" i="3" s="1"/>
  <c r="AH51" i="3" s="1"/>
  <c r="AI51" i="3" s="1"/>
  <c r="AJ51" i="3" s="1"/>
  <c r="AK51" i="3" s="1"/>
  <c r="AL51" i="3" s="1"/>
  <c r="AM51" i="3" s="1"/>
  <c r="AN51" i="3" s="1"/>
  <c r="AO51" i="3" s="1"/>
  <c r="AF50" i="3"/>
  <c r="AG50" i="3" s="1"/>
  <c r="AH50" i="3" s="1"/>
  <c r="AI50" i="3" s="1"/>
  <c r="AJ50" i="3" s="1"/>
  <c r="AK50" i="3" s="1"/>
  <c r="AL50" i="3" s="1"/>
  <c r="AM50" i="3" s="1"/>
  <c r="AN50" i="3" s="1"/>
  <c r="AO50" i="3" s="1"/>
  <c r="AF49" i="3"/>
  <c r="AG49" i="3" s="1"/>
  <c r="AH49" i="3" s="1"/>
  <c r="AI49" i="3" s="1"/>
  <c r="AJ49" i="3" s="1"/>
  <c r="AK49" i="3" s="1"/>
  <c r="AL49" i="3" s="1"/>
  <c r="AM49" i="3" s="1"/>
  <c r="AN49" i="3" s="1"/>
  <c r="AO49" i="3" s="1"/>
  <c r="AF48" i="3"/>
  <c r="AG48" i="3" s="1"/>
  <c r="AH48" i="3" s="1"/>
  <c r="AI48" i="3" s="1"/>
  <c r="AJ48" i="3" s="1"/>
  <c r="AK48" i="3" s="1"/>
  <c r="AL48" i="3" s="1"/>
  <c r="AM48" i="3" s="1"/>
  <c r="AN48" i="3" s="1"/>
  <c r="AO48" i="3" s="1"/>
  <c r="AF47" i="3"/>
  <c r="AG47" i="3" s="1"/>
  <c r="AH47" i="3" s="1"/>
  <c r="AI47" i="3" s="1"/>
  <c r="AJ47" i="3" s="1"/>
  <c r="AK47" i="3" s="1"/>
  <c r="AL47" i="3" s="1"/>
  <c r="AM47" i="3" s="1"/>
  <c r="AN47" i="3" s="1"/>
  <c r="AO47" i="3" s="1"/>
  <c r="AE41" i="3"/>
  <c r="AE42" i="3" s="1"/>
  <c r="AD41" i="3"/>
  <c r="AD42" i="3" s="1"/>
  <c r="AD43" i="3" s="1"/>
  <c r="AD44" i="3" s="1"/>
  <c r="AD45" i="3" s="1"/>
  <c r="AD46" i="3" s="1"/>
  <c r="AC41" i="3"/>
  <c r="AC42" i="3" s="1"/>
  <c r="AC43" i="3" s="1"/>
  <c r="AC44" i="3" s="1"/>
  <c r="AC45" i="3" s="1"/>
  <c r="AC46" i="3" s="1"/>
  <c r="AB41" i="3"/>
  <c r="AB42" i="3" s="1"/>
  <c r="AB43" i="3" s="1"/>
  <c r="AB44" i="3" s="1"/>
  <c r="AB45" i="3" s="1"/>
  <c r="AB46" i="3" s="1"/>
  <c r="AA41" i="3"/>
  <c r="AA42" i="3" s="1"/>
  <c r="AA43" i="3" s="1"/>
  <c r="AA44" i="3" s="1"/>
  <c r="AA45" i="3" s="1"/>
  <c r="AA46" i="3" s="1"/>
  <c r="Z41" i="3"/>
  <c r="Z42" i="3" s="1"/>
  <c r="Z43" i="3" s="1"/>
  <c r="Z44" i="3" s="1"/>
  <c r="Z45" i="3" s="1"/>
  <c r="Z46" i="3" s="1"/>
  <c r="Y41" i="3"/>
  <c r="Y42" i="3" s="1"/>
  <c r="Y43" i="3" s="1"/>
  <c r="Y44" i="3" s="1"/>
  <c r="Y45" i="3" s="1"/>
  <c r="Y46" i="3" s="1"/>
  <c r="X41" i="3"/>
  <c r="X42" i="3" s="1"/>
  <c r="X43" i="3" s="1"/>
  <c r="X44" i="3" s="1"/>
  <c r="X45" i="3" s="1"/>
  <c r="X46" i="3" s="1"/>
  <c r="W41" i="3"/>
  <c r="W42" i="3" s="1"/>
  <c r="W43" i="3" s="1"/>
  <c r="W44" i="3" s="1"/>
  <c r="W45" i="3" s="1"/>
  <c r="W46" i="3" s="1"/>
  <c r="V41" i="3"/>
  <c r="V42" i="3" s="1"/>
  <c r="V43" i="3" s="1"/>
  <c r="V44" i="3" s="1"/>
  <c r="V45" i="3" s="1"/>
  <c r="V46" i="3" s="1"/>
  <c r="U41" i="3"/>
  <c r="U42" i="3" s="1"/>
  <c r="U43" i="3" s="1"/>
  <c r="U44" i="3" s="1"/>
  <c r="U45" i="3" s="1"/>
  <c r="U46" i="3" s="1"/>
  <c r="T41" i="3"/>
  <c r="T42" i="3" s="1"/>
  <c r="T43" i="3" s="1"/>
  <c r="T44" i="3" s="1"/>
  <c r="T45" i="3" s="1"/>
  <c r="T46" i="3" s="1"/>
  <c r="S41" i="3"/>
  <c r="S42" i="3" s="1"/>
  <c r="S43" i="3" s="1"/>
  <c r="S44" i="3" s="1"/>
  <c r="S45" i="3" s="1"/>
  <c r="S46" i="3" s="1"/>
  <c r="R41" i="3"/>
  <c r="R42" i="3" s="1"/>
  <c r="R43" i="3" s="1"/>
  <c r="R44" i="3" s="1"/>
  <c r="R45" i="3" s="1"/>
  <c r="R46" i="3" s="1"/>
  <c r="Q41" i="3"/>
  <c r="Q42" i="3" s="1"/>
  <c r="Q43" i="3" s="1"/>
  <c r="Q44" i="3" s="1"/>
  <c r="Q45" i="3" s="1"/>
  <c r="Q46" i="3" s="1"/>
  <c r="P41" i="3"/>
  <c r="P42" i="3" s="1"/>
  <c r="P43" i="3" s="1"/>
  <c r="P44" i="3" s="1"/>
  <c r="P45" i="3" s="1"/>
  <c r="P46" i="3" s="1"/>
  <c r="O41" i="3"/>
  <c r="O42" i="3" s="1"/>
  <c r="O43" i="3" s="1"/>
  <c r="O44" i="3" s="1"/>
  <c r="O45" i="3" s="1"/>
  <c r="O46" i="3" s="1"/>
  <c r="N41" i="3"/>
  <c r="N42" i="3" s="1"/>
  <c r="N43" i="3" s="1"/>
  <c r="N44" i="3" s="1"/>
  <c r="N45" i="3" s="1"/>
  <c r="N46" i="3" s="1"/>
  <c r="M41" i="3"/>
  <c r="M42" i="3" s="1"/>
  <c r="M43" i="3" s="1"/>
  <c r="M44" i="3" s="1"/>
  <c r="M45" i="3" s="1"/>
  <c r="M46" i="3" s="1"/>
  <c r="L41" i="3"/>
  <c r="L42" i="3" s="1"/>
  <c r="L43" i="3" s="1"/>
  <c r="L44" i="3" s="1"/>
  <c r="L45" i="3" s="1"/>
  <c r="L46" i="3" s="1"/>
  <c r="K41" i="3"/>
  <c r="K42" i="3" s="1"/>
  <c r="K43" i="3" s="1"/>
  <c r="K44" i="3" s="1"/>
  <c r="K45" i="3" s="1"/>
  <c r="K46" i="3" s="1"/>
  <c r="J41" i="3"/>
  <c r="J42" i="3" s="1"/>
  <c r="J43" i="3" s="1"/>
  <c r="J44" i="3" s="1"/>
  <c r="J45" i="3" s="1"/>
  <c r="J46" i="3" s="1"/>
  <c r="I41" i="3"/>
  <c r="I42" i="3" s="1"/>
  <c r="I43" i="3" s="1"/>
  <c r="I44" i="3" s="1"/>
  <c r="I45" i="3" s="1"/>
  <c r="I46" i="3" s="1"/>
  <c r="H41" i="3"/>
  <c r="H42" i="3" s="1"/>
  <c r="H43" i="3" s="1"/>
  <c r="H44" i="3" s="1"/>
  <c r="H45" i="3" s="1"/>
  <c r="H46" i="3" s="1"/>
  <c r="G41" i="3"/>
  <c r="G42" i="3" s="1"/>
  <c r="G43" i="3" s="1"/>
  <c r="G44" i="3" s="1"/>
  <c r="G45" i="3" s="1"/>
  <c r="G46" i="3" s="1"/>
  <c r="F41" i="3"/>
  <c r="F42" i="3" s="1"/>
  <c r="F43" i="3" s="1"/>
  <c r="F44" i="3" s="1"/>
  <c r="F45" i="3" s="1"/>
  <c r="F46" i="3" s="1"/>
  <c r="AF40" i="3"/>
  <c r="AG40" i="3" s="1"/>
  <c r="AH40" i="3" s="1"/>
  <c r="AI40" i="3" s="1"/>
  <c r="AJ40" i="3" s="1"/>
  <c r="AK40" i="3" s="1"/>
  <c r="AL40" i="3" s="1"/>
  <c r="AM40" i="3" s="1"/>
  <c r="AN40" i="3" s="1"/>
  <c r="AO40" i="3" s="1"/>
  <c r="AE39" i="3"/>
  <c r="AF39" i="3" s="1"/>
  <c r="AG39" i="3" s="1"/>
  <c r="AH39" i="3" s="1"/>
  <c r="AI39" i="3" s="1"/>
  <c r="AJ39" i="3" s="1"/>
  <c r="AK39" i="3" s="1"/>
  <c r="AL39" i="3" s="1"/>
  <c r="AM39" i="3" s="1"/>
  <c r="AN39" i="3" s="1"/>
  <c r="AO39" i="3" s="1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D39" i="3"/>
  <c r="AF38" i="3"/>
  <c r="AG38" i="3" s="1"/>
  <c r="AH38" i="3" s="1"/>
  <c r="AI38" i="3" s="1"/>
  <c r="AJ38" i="3" s="1"/>
  <c r="AK38" i="3" s="1"/>
  <c r="AL38" i="3" s="1"/>
  <c r="AM38" i="3" s="1"/>
  <c r="AN38" i="3" s="1"/>
  <c r="AO38" i="3" s="1"/>
  <c r="AF37" i="3"/>
  <c r="AG37" i="3" s="1"/>
  <c r="AH37" i="3" s="1"/>
  <c r="AI37" i="3" s="1"/>
  <c r="AJ37" i="3" s="1"/>
  <c r="AK37" i="3" s="1"/>
  <c r="AL37" i="3" s="1"/>
  <c r="AM37" i="3" s="1"/>
  <c r="AN37" i="3" s="1"/>
  <c r="AO37" i="3" s="1"/>
  <c r="AF36" i="3"/>
  <c r="AG36" i="3" s="1"/>
  <c r="AH36" i="3" s="1"/>
  <c r="AI36" i="3" s="1"/>
  <c r="AJ36" i="3" s="1"/>
  <c r="AK36" i="3" s="1"/>
  <c r="AL36" i="3" s="1"/>
  <c r="AM36" i="3" s="1"/>
  <c r="AN36" i="3" s="1"/>
  <c r="AO36" i="3" s="1"/>
  <c r="AF35" i="3"/>
  <c r="AG35" i="3" s="1"/>
  <c r="AH35" i="3" s="1"/>
  <c r="AI35" i="3" s="1"/>
  <c r="AJ35" i="3" s="1"/>
  <c r="AK35" i="3" s="1"/>
  <c r="AL35" i="3" s="1"/>
  <c r="AM35" i="3" s="1"/>
  <c r="AN35" i="3" s="1"/>
  <c r="AO35" i="3" s="1"/>
  <c r="AF34" i="3"/>
  <c r="AG34" i="3" s="1"/>
  <c r="AH34" i="3" s="1"/>
  <c r="AI34" i="3" s="1"/>
  <c r="AJ34" i="3" s="1"/>
  <c r="AK34" i="3" s="1"/>
  <c r="AL34" i="3" s="1"/>
  <c r="AM34" i="3" s="1"/>
  <c r="AN34" i="3" s="1"/>
  <c r="AO34" i="3" s="1"/>
  <c r="AF33" i="3"/>
  <c r="AG33" i="3" s="1"/>
  <c r="AH33" i="3" s="1"/>
  <c r="AI33" i="3" s="1"/>
  <c r="AJ33" i="3" s="1"/>
  <c r="AK33" i="3" s="1"/>
  <c r="AL33" i="3" s="1"/>
  <c r="AM33" i="3" s="1"/>
  <c r="AN33" i="3" s="1"/>
  <c r="AO33" i="3" s="1"/>
  <c r="AF32" i="3"/>
  <c r="AG32" i="3" s="1"/>
  <c r="AH32" i="3" s="1"/>
  <c r="AI32" i="3" s="1"/>
  <c r="AJ32" i="3" s="1"/>
  <c r="AK32" i="3" s="1"/>
  <c r="AL32" i="3" s="1"/>
  <c r="AM32" i="3" s="1"/>
  <c r="AN32" i="3" s="1"/>
  <c r="AO32" i="3" s="1"/>
  <c r="AF31" i="3"/>
  <c r="AG31" i="3" s="1"/>
  <c r="AH31" i="3" s="1"/>
  <c r="AI31" i="3" s="1"/>
  <c r="AJ31" i="3" s="1"/>
  <c r="AK31" i="3" s="1"/>
  <c r="AL31" i="3" s="1"/>
  <c r="AM31" i="3" s="1"/>
  <c r="AN31" i="3" s="1"/>
  <c r="AO31" i="3" s="1"/>
  <c r="AF30" i="3"/>
  <c r="AG30" i="3" s="1"/>
  <c r="AH30" i="3" s="1"/>
  <c r="AI30" i="3" s="1"/>
  <c r="AJ30" i="3" s="1"/>
  <c r="AK30" i="3" s="1"/>
  <c r="AL30" i="3" s="1"/>
  <c r="AM30" i="3" s="1"/>
  <c r="AN30" i="3" s="1"/>
  <c r="AO30" i="3" s="1"/>
  <c r="AF29" i="3"/>
  <c r="AG29" i="3" s="1"/>
  <c r="AH29" i="3" s="1"/>
  <c r="AI29" i="3" s="1"/>
  <c r="AJ29" i="3" s="1"/>
  <c r="AK29" i="3" s="1"/>
  <c r="AL29" i="3" s="1"/>
  <c r="AM29" i="3" s="1"/>
  <c r="AN29" i="3" s="1"/>
  <c r="AO29" i="3" s="1"/>
  <c r="AF28" i="3"/>
  <c r="AG28" i="3" s="1"/>
  <c r="AH28" i="3" s="1"/>
  <c r="AI28" i="3" s="1"/>
  <c r="AJ28" i="3" s="1"/>
  <c r="AK28" i="3" s="1"/>
  <c r="AL28" i="3" s="1"/>
  <c r="AM28" i="3" s="1"/>
  <c r="AN28" i="3" s="1"/>
  <c r="AO28" i="3" s="1"/>
  <c r="AF27" i="3"/>
  <c r="AG27" i="3" s="1"/>
  <c r="AH27" i="3" s="1"/>
  <c r="AI27" i="3" s="1"/>
  <c r="AJ27" i="3" s="1"/>
  <c r="AK27" i="3" s="1"/>
  <c r="AL27" i="3" s="1"/>
  <c r="AM27" i="3" s="1"/>
  <c r="AN27" i="3" s="1"/>
  <c r="AO27" i="3" s="1"/>
  <c r="AF26" i="3"/>
  <c r="AG26" i="3" s="1"/>
  <c r="AH26" i="3" s="1"/>
  <c r="AI26" i="3" s="1"/>
  <c r="AJ26" i="3" s="1"/>
  <c r="AK26" i="3" s="1"/>
  <c r="AL26" i="3" s="1"/>
  <c r="AM26" i="3" s="1"/>
  <c r="AN26" i="3" s="1"/>
  <c r="AO26" i="3" s="1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E17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U13" i="3"/>
  <c r="U25" i="3" s="1"/>
  <c r="AF10" i="3"/>
  <c r="AG10" i="3" s="1"/>
  <c r="AF9" i="3"/>
  <c r="AF8" i="3"/>
  <c r="AG8" i="3" s="1"/>
  <c r="AF7" i="3"/>
  <c r="AG7" i="3" s="1"/>
  <c r="AH7" i="3" s="1"/>
  <c r="AI7" i="3" s="1"/>
  <c r="AJ7" i="3" s="1"/>
  <c r="AK7" i="3" s="1"/>
  <c r="U6" i="3"/>
  <c r="U18" i="3" s="1"/>
  <c r="AF5" i="3"/>
  <c r="AG5" i="3" s="1"/>
  <c r="AH5" i="3" s="1"/>
  <c r="AF4" i="3"/>
  <c r="F2" i="3"/>
  <c r="F14" i="3" s="1"/>
  <c r="F15" i="3" s="1"/>
  <c r="AF1" i="3"/>
  <c r="AG1" i="3" s="1"/>
  <c r="AH1" i="3" s="1"/>
  <c r="AI1" i="3" s="1"/>
  <c r="AJ1" i="3" s="1"/>
  <c r="AK1" i="3" s="1"/>
  <c r="AL1" i="3" s="1"/>
  <c r="AM1" i="3" s="1"/>
  <c r="AN1" i="3" s="1"/>
  <c r="AO1" i="3" s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E20" i="1"/>
  <c r="D20" i="1"/>
  <c r="G19" i="1"/>
  <c r="F19" i="1"/>
  <c r="E19" i="1"/>
  <c r="D19" i="1"/>
  <c r="G18" i="1"/>
  <c r="F18" i="1"/>
  <c r="E18" i="1"/>
  <c r="D18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  <c r="G2" i="1"/>
  <c r="F2" i="1"/>
  <c r="E2" i="1"/>
  <c r="D2" i="1"/>
  <c r="AH13" i="5" l="1"/>
  <c r="Z2" i="5"/>
  <c r="AD4" i="4"/>
  <c r="AD46" i="4"/>
  <c r="Y6" i="5"/>
  <c r="AD25" i="4"/>
  <c r="Y11" i="5"/>
  <c r="AA25" i="8"/>
  <c r="AB23" i="8"/>
  <c r="AB69" i="8"/>
  <c r="AA71" i="8"/>
  <c r="AB48" i="8"/>
  <c r="AC46" i="8"/>
  <c r="AE17" i="3"/>
  <c r="AG20" i="3"/>
  <c r="AF20" i="3"/>
  <c r="AF41" i="3"/>
  <c r="AG41" i="3" s="1"/>
  <c r="AH41" i="3" s="1"/>
  <c r="AI41" i="3" s="1"/>
  <c r="AJ41" i="3" s="1"/>
  <c r="AK41" i="3" s="1"/>
  <c r="AL41" i="3" s="1"/>
  <c r="AM41" i="3" s="1"/>
  <c r="AN41" i="3" s="1"/>
  <c r="AO41" i="3" s="1"/>
  <c r="F3" i="3"/>
  <c r="AF21" i="3"/>
  <c r="AG22" i="3"/>
  <c r="AF22" i="3"/>
  <c r="AE43" i="3"/>
  <c r="AF42" i="3"/>
  <c r="AG42" i="3" s="1"/>
  <c r="AH42" i="3" s="1"/>
  <c r="AI42" i="3" s="1"/>
  <c r="AJ42" i="3" s="1"/>
  <c r="AK42" i="3" s="1"/>
  <c r="AL42" i="3" s="1"/>
  <c r="AM42" i="3" s="1"/>
  <c r="AN42" i="3" s="1"/>
  <c r="AO42" i="3" s="1"/>
  <c r="AH10" i="3"/>
  <c r="AH22" i="3" s="1"/>
  <c r="G2" i="3"/>
  <c r="G3" i="3" s="1"/>
  <c r="V6" i="3"/>
  <c r="AL7" i="3"/>
  <c r="AH8" i="3"/>
  <c r="AF19" i="3"/>
  <c r="AG60" i="3"/>
  <c r="AH60" i="3" s="1"/>
  <c r="AF24" i="3"/>
  <c r="AF23" i="3"/>
  <c r="AG64" i="3"/>
  <c r="AF16" i="3"/>
  <c r="V13" i="3"/>
  <c r="AF17" i="3"/>
  <c r="AH66" i="3"/>
  <c r="AG24" i="3"/>
  <c r="AI5" i="3"/>
  <c r="AH17" i="3"/>
  <c r="A34" i="4"/>
  <c r="A36" i="4"/>
  <c r="A38" i="4" s="1"/>
  <c r="A39" i="4" s="1"/>
  <c r="A40" i="4" s="1"/>
  <c r="A41" i="4" s="1"/>
  <c r="A42" i="4" s="1"/>
  <c r="A43" i="4" s="1"/>
  <c r="AG4" i="3"/>
  <c r="AG9" i="3"/>
  <c r="AG17" i="3"/>
  <c r="A449" i="3"/>
  <c r="A448" i="3"/>
  <c r="A450" i="3" s="1"/>
  <c r="A452" i="3" s="1"/>
  <c r="A454" i="3" s="1"/>
  <c r="A55" i="4"/>
  <c r="A56" i="4" s="1"/>
  <c r="A57" i="4"/>
  <c r="A59" i="4" s="1"/>
  <c r="A60" i="4" s="1"/>
  <c r="A61" i="4" s="1"/>
  <c r="A62" i="4" s="1"/>
  <c r="A63" i="4" s="1"/>
  <c r="A64" i="4" s="1"/>
  <c r="A13" i="4"/>
  <c r="A15" i="4"/>
  <c r="A17" i="4" s="1"/>
  <c r="A18" i="4" s="1"/>
  <c r="A19" i="4" s="1"/>
  <c r="A20" i="4" s="1"/>
  <c r="A21" i="4" s="1"/>
  <c r="A22" i="4" s="1"/>
  <c r="A505" i="3"/>
  <c r="A506" i="3" s="1"/>
  <c r="A507" i="3" s="1"/>
  <c r="A508" i="3"/>
  <c r="A509" i="3" s="1"/>
  <c r="A510" i="3" s="1"/>
  <c r="A511" i="3" s="1"/>
  <c r="A512" i="3" s="1"/>
  <c r="A35" i="4" l="1"/>
  <c r="A37" i="4"/>
  <c r="A14" i="4"/>
  <c r="A16" i="4"/>
  <c r="AI13" i="5"/>
  <c r="AA2" i="5"/>
  <c r="AE25" i="4"/>
  <c r="Z11" i="5"/>
  <c r="AE46" i="4"/>
  <c r="AE4" i="4"/>
  <c r="Z6" i="5"/>
  <c r="AB25" i="8"/>
  <c r="AC23" i="8"/>
  <c r="AC48" i="8"/>
  <c r="AD46" i="8"/>
  <c r="AC69" i="8"/>
  <c r="AB71" i="8"/>
  <c r="G14" i="3"/>
  <c r="G15" i="3" s="1"/>
  <c r="AI10" i="3"/>
  <c r="AJ10" i="3" s="1"/>
  <c r="AG19" i="3"/>
  <c r="H2" i="3"/>
  <c r="H14" i="3" s="1"/>
  <c r="H15" i="3" s="1"/>
  <c r="AF43" i="3"/>
  <c r="AG43" i="3" s="1"/>
  <c r="AH43" i="3" s="1"/>
  <c r="AI43" i="3" s="1"/>
  <c r="AJ43" i="3" s="1"/>
  <c r="AK43" i="3" s="1"/>
  <c r="AL43" i="3" s="1"/>
  <c r="AM43" i="3" s="1"/>
  <c r="AN43" i="3" s="1"/>
  <c r="AO43" i="3" s="1"/>
  <c r="AE44" i="3"/>
  <c r="V18" i="3"/>
  <c r="W6" i="3"/>
  <c r="AH9" i="3"/>
  <c r="AG21" i="3"/>
  <c r="AG16" i="3"/>
  <c r="AH4" i="3"/>
  <c r="AI66" i="3"/>
  <c r="AH24" i="3"/>
  <c r="AI17" i="3"/>
  <c r="AJ5" i="3"/>
  <c r="AH20" i="3"/>
  <c r="AI8" i="3"/>
  <c r="AG23" i="3"/>
  <c r="AH64" i="3"/>
  <c r="A514" i="3"/>
  <c r="A515" i="3" s="1"/>
  <c r="A513" i="3"/>
  <c r="A456" i="3"/>
  <c r="A457" i="3" s="1"/>
  <c r="A458" i="3" s="1"/>
  <c r="A459" i="3" s="1"/>
  <c r="A451" i="3"/>
  <c r="A453" i="3" s="1"/>
  <c r="A455" i="3" s="1"/>
  <c r="W13" i="3"/>
  <c r="V25" i="3"/>
  <c r="AH19" i="3"/>
  <c r="AI60" i="3"/>
  <c r="AM7" i="3"/>
  <c r="AJ13" i="5" l="1"/>
  <c r="AB2" i="5"/>
  <c r="AF25" i="4"/>
  <c r="AA11" i="5"/>
  <c r="AF4" i="4"/>
  <c r="AF46" i="4"/>
  <c r="AA6" i="5"/>
  <c r="AD23" i="8"/>
  <c r="AC25" i="8"/>
  <c r="AD48" i="8"/>
  <c r="AE46" i="8"/>
  <c r="AD69" i="8"/>
  <c r="AC71" i="8"/>
  <c r="H3" i="3"/>
  <c r="AI22" i="3"/>
  <c r="I2" i="3"/>
  <c r="I3" i="3" s="1"/>
  <c r="W18" i="3"/>
  <c r="X6" i="3"/>
  <c r="AF44" i="3"/>
  <c r="AG44" i="3" s="1"/>
  <c r="AH44" i="3" s="1"/>
  <c r="AI44" i="3" s="1"/>
  <c r="AJ44" i="3" s="1"/>
  <c r="AK44" i="3" s="1"/>
  <c r="AL44" i="3" s="1"/>
  <c r="AM44" i="3" s="1"/>
  <c r="AN44" i="3" s="1"/>
  <c r="AO44" i="3" s="1"/>
  <c r="AE45" i="3"/>
  <c r="A461" i="3"/>
  <c r="A464" i="3" s="1"/>
  <c r="A467" i="3" s="1"/>
  <c r="A470" i="3" s="1"/>
  <c r="A460" i="3"/>
  <c r="A463" i="3" s="1"/>
  <c r="A466" i="3" s="1"/>
  <c r="A469" i="3" s="1"/>
  <c r="A472" i="3" s="1"/>
  <c r="A462" i="3"/>
  <c r="A465" i="3" s="1"/>
  <c r="A468" i="3" s="1"/>
  <c r="A471" i="3" s="1"/>
  <c r="AH16" i="3"/>
  <c r="AI4" i="3"/>
  <c r="AJ60" i="3"/>
  <c r="AI19" i="3"/>
  <c r="AI9" i="3"/>
  <c r="AH21" i="3"/>
  <c r="X13" i="3"/>
  <c r="W25" i="3"/>
  <c r="AI64" i="3"/>
  <c r="AH23" i="3"/>
  <c r="AI24" i="3"/>
  <c r="AJ66" i="3"/>
  <c r="AI20" i="3"/>
  <c r="AJ8" i="3"/>
  <c r="AJ17" i="3"/>
  <c r="AK5" i="3"/>
  <c r="AN7" i="3"/>
  <c r="AJ22" i="3"/>
  <c r="AK10" i="3"/>
  <c r="AF45" i="3" l="1"/>
  <c r="AG45" i="3" s="1"/>
  <c r="AH45" i="3" s="1"/>
  <c r="AI45" i="3" s="1"/>
  <c r="AJ45" i="3" s="1"/>
  <c r="AK45" i="3" s="1"/>
  <c r="AL45" i="3" s="1"/>
  <c r="AM45" i="3" s="1"/>
  <c r="AN45" i="3" s="1"/>
  <c r="AO45" i="3" s="1"/>
  <c r="AE46" i="3"/>
  <c r="AF46" i="3" s="1"/>
  <c r="AG46" i="3" s="1"/>
  <c r="AH46" i="3" s="1"/>
  <c r="AI46" i="3" s="1"/>
  <c r="AJ46" i="3" s="1"/>
  <c r="AK46" i="3" s="1"/>
  <c r="AL46" i="3" s="1"/>
  <c r="AM46" i="3" s="1"/>
  <c r="AN46" i="3" s="1"/>
  <c r="AO46" i="3" s="1"/>
  <c r="AK13" i="5"/>
  <c r="AC2" i="5"/>
  <c r="AG46" i="4"/>
  <c r="AB6" i="5"/>
  <c r="AG25" i="4"/>
  <c r="AB11" i="5"/>
  <c r="AG4" i="4"/>
  <c r="AD25" i="8"/>
  <c r="AE23" i="8"/>
  <c r="AE48" i="8"/>
  <c r="AF46" i="8"/>
  <c r="AE69" i="8"/>
  <c r="AD71" i="8"/>
  <c r="J2" i="3"/>
  <c r="J3" i="3" s="1"/>
  <c r="I14" i="3"/>
  <c r="I15" i="3" s="1"/>
  <c r="X18" i="3"/>
  <c r="Y6" i="3"/>
  <c r="Y13" i="3"/>
  <c r="X25" i="3"/>
  <c r="A481" i="3"/>
  <c r="A484" i="3" s="1"/>
  <c r="A488" i="3" s="1"/>
  <c r="A475" i="3"/>
  <c r="A479" i="3" s="1"/>
  <c r="AK17" i="3"/>
  <c r="AL5" i="3"/>
  <c r="AK60" i="3"/>
  <c r="AJ19" i="3"/>
  <c r="AJ64" i="3"/>
  <c r="AI23" i="3"/>
  <c r="AK22" i="3"/>
  <c r="AL10" i="3"/>
  <c r="AK66" i="3"/>
  <c r="AJ24" i="3"/>
  <c r="AO7" i="3"/>
  <c r="A482" i="3"/>
  <c r="A485" i="3" s="1"/>
  <c r="A476" i="3"/>
  <c r="A480" i="3" s="1"/>
  <c r="AI16" i="3"/>
  <c r="AJ4" i="3"/>
  <c r="AK8" i="3"/>
  <c r="AJ20" i="3"/>
  <c r="AJ9" i="3"/>
  <c r="AI21" i="3"/>
  <c r="A473" i="3"/>
  <c r="A477" i="3" s="1"/>
  <c r="A474" i="3"/>
  <c r="AL13" i="5" l="1"/>
  <c r="AD2" i="5"/>
  <c r="AH25" i="4"/>
  <c r="AC11" i="5"/>
  <c r="AC6" i="5"/>
  <c r="AH4" i="4"/>
  <c r="AH46" i="4"/>
  <c r="AE25" i="8"/>
  <c r="AF23" i="8"/>
  <c r="AG46" i="8"/>
  <c r="AF48" i="8"/>
  <c r="AF69" i="8"/>
  <c r="AE71" i="8"/>
  <c r="J14" i="3"/>
  <c r="J15" i="3" s="1"/>
  <c r="K2" i="3"/>
  <c r="L2" i="3" s="1"/>
  <c r="Y18" i="3"/>
  <c r="Z6" i="3"/>
  <c r="AK64" i="3"/>
  <c r="AJ23" i="3"/>
  <c r="A478" i="3"/>
  <c r="A483" i="3"/>
  <c r="AL8" i="3"/>
  <c r="AK20" i="3"/>
  <c r="AL60" i="3"/>
  <c r="AK19" i="3"/>
  <c r="Y25" i="3"/>
  <c r="Z13" i="3"/>
  <c r="AJ21" i="3"/>
  <c r="AK9" i="3"/>
  <c r="AL22" i="3"/>
  <c r="AM10" i="3"/>
  <c r="AK4" i="3"/>
  <c r="AJ16" i="3"/>
  <c r="AM5" i="3"/>
  <c r="AL17" i="3"/>
  <c r="AL66" i="3"/>
  <c r="AK24" i="3"/>
  <c r="AM13" i="5" l="1"/>
  <c r="AE2" i="5"/>
  <c r="AI4" i="4"/>
  <c r="AI46" i="4"/>
  <c r="AD6" i="5"/>
  <c r="AD11" i="5"/>
  <c r="AI25" i="4"/>
  <c r="AG23" i="8"/>
  <c r="AF25" i="8"/>
  <c r="AF71" i="8"/>
  <c r="AG69" i="8"/>
  <c r="AG48" i="8"/>
  <c r="AH46" i="8"/>
  <c r="K3" i="3"/>
  <c r="K14" i="3"/>
  <c r="K15" i="3" s="1"/>
  <c r="AA6" i="3"/>
  <c r="Z18" i="3"/>
  <c r="AM8" i="3"/>
  <c r="AL20" i="3"/>
  <c r="Z25" i="3"/>
  <c r="AA13" i="3"/>
  <c r="A487" i="3"/>
  <c r="A486" i="3"/>
  <c r="AL4" i="3"/>
  <c r="AK16" i="3"/>
  <c r="M2" i="3"/>
  <c r="L14" i="3"/>
  <c r="L15" i="3" s="1"/>
  <c r="L3" i="3"/>
  <c r="AM22" i="3"/>
  <c r="AN10" i="3"/>
  <c r="AM66" i="3"/>
  <c r="AL24" i="3"/>
  <c r="AK21" i="3"/>
  <c r="AL9" i="3"/>
  <c r="AM60" i="3"/>
  <c r="AL19" i="3"/>
  <c r="AM17" i="3"/>
  <c r="AN5" i="3"/>
  <c r="AL64" i="3"/>
  <c r="AK23" i="3"/>
  <c r="AN13" i="5" l="1"/>
  <c r="AF2" i="5"/>
  <c r="AJ4" i="4"/>
  <c r="AJ46" i="4"/>
  <c r="AE6" i="5"/>
  <c r="AJ25" i="4"/>
  <c r="AE11" i="5"/>
  <c r="AG25" i="8"/>
  <c r="AH23" i="8"/>
  <c r="AH69" i="8"/>
  <c r="AG71" i="8"/>
  <c r="AH48" i="8"/>
  <c r="AI46" i="8"/>
  <c r="AB6" i="3"/>
  <c r="AA18" i="3"/>
  <c r="AA25" i="3"/>
  <c r="AB13" i="3"/>
  <c r="AN60" i="3"/>
  <c r="AM19" i="3"/>
  <c r="AL21" i="3"/>
  <c r="AM9" i="3"/>
  <c r="N2" i="3"/>
  <c r="M14" i="3"/>
  <c r="M15" i="3" s="1"/>
  <c r="M3" i="3"/>
  <c r="AM4" i="3"/>
  <c r="AL16" i="3"/>
  <c r="AL23" i="3"/>
  <c r="AM64" i="3"/>
  <c r="AN66" i="3"/>
  <c r="AM24" i="3"/>
  <c r="AO5" i="3"/>
  <c r="AO17" i="3" s="1"/>
  <c r="AN17" i="3"/>
  <c r="AO10" i="3"/>
  <c r="AO22" i="3" s="1"/>
  <c r="AN22" i="3"/>
  <c r="AM20" i="3"/>
  <c r="AN8" i="3"/>
  <c r="AO13" i="5" l="1"/>
  <c r="AG2" i="5"/>
  <c r="AK4" i="4"/>
  <c r="AK46" i="4"/>
  <c r="AF6" i="5"/>
  <c r="AK25" i="4"/>
  <c r="AF11" i="5"/>
  <c r="AI23" i="8"/>
  <c r="AH25" i="8"/>
  <c r="AI48" i="8"/>
  <c r="AJ46" i="8"/>
  <c r="AH71" i="8"/>
  <c r="AI69" i="8"/>
  <c r="AC6" i="3"/>
  <c r="AB18" i="3"/>
  <c r="AM23" i="3"/>
  <c r="AN64" i="3"/>
  <c r="N14" i="3"/>
  <c r="N15" i="3" s="1"/>
  <c r="N3" i="3"/>
  <c r="O2" i="3"/>
  <c r="AM21" i="3"/>
  <c r="AN9" i="3"/>
  <c r="AM16" i="3"/>
  <c r="AN4" i="3"/>
  <c r="AO60" i="3"/>
  <c r="AO19" i="3" s="1"/>
  <c r="AN19" i="3"/>
  <c r="AO66" i="3"/>
  <c r="AO24" i="3" s="1"/>
  <c r="AN24" i="3"/>
  <c r="AB25" i="3"/>
  <c r="AC13" i="3"/>
  <c r="AN20" i="3"/>
  <c r="AO8" i="3"/>
  <c r="AO20" i="3" s="1"/>
  <c r="AP13" i="5" l="1"/>
  <c r="AH2" i="5"/>
  <c r="AL4" i="4"/>
  <c r="AL46" i="4"/>
  <c r="AG6" i="5"/>
  <c r="AG11" i="5"/>
  <c r="AL25" i="4"/>
  <c r="AJ23" i="8"/>
  <c r="AI25" i="8"/>
  <c r="AI71" i="8"/>
  <c r="AJ69" i="8"/>
  <c r="AK46" i="8"/>
  <c r="AJ48" i="8"/>
  <c r="AC18" i="3"/>
  <c r="AD6" i="3"/>
  <c r="AO9" i="3"/>
  <c r="AO21" i="3" s="1"/>
  <c r="AN21" i="3"/>
  <c r="O3" i="3"/>
  <c r="O14" i="3"/>
  <c r="O15" i="3" s="1"/>
  <c r="P2" i="3"/>
  <c r="AN23" i="3"/>
  <c r="AO64" i="3"/>
  <c r="AO23" i="3" s="1"/>
  <c r="AN16" i="3"/>
  <c r="AO4" i="3"/>
  <c r="AO16" i="3" s="1"/>
  <c r="AC25" i="3"/>
  <c r="AD13" i="3"/>
  <c r="AI2" i="5" l="1"/>
  <c r="AM25" i="4"/>
  <c r="AH11" i="5"/>
  <c r="AM4" i="4"/>
  <c r="AM46" i="4"/>
  <c r="AH6" i="5"/>
  <c r="AJ25" i="8"/>
  <c r="AK23" i="8"/>
  <c r="AJ71" i="8"/>
  <c r="AK69" i="8"/>
  <c r="AK48" i="8"/>
  <c r="AL46" i="8"/>
  <c r="AD18" i="3"/>
  <c r="AE6" i="3"/>
  <c r="AE13" i="3"/>
  <c r="AD25" i="3"/>
  <c r="P3" i="3"/>
  <c r="Q2" i="3"/>
  <c r="P14" i="3"/>
  <c r="P15" i="3" s="1"/>
  <c r="AJ2" i="5" l="1"/>
  <c r="AI6" i="5"/>
  <c r="AN25" i="4"/>
  <c r="AI11" i="5"/>
  <c r="AN46" i="4"/>
  <c r="AN4" i="4"/>
  <c r="AL23" i="8"/>
  <c r="AK25" i="8"/>
  <c r="AL48" i="8"/>
  <c r="AM46" i="8"/>
  <c r="AK71" i="8"/>
  <c r="AL69" i="8"/>
  <c r="AE18" i="3"/>
  <c r="AF6" i="3"/>
  <c r="Q3" i="3"/>
  <c r="R2" i="3"/>
  <c r="Q14" i="3"/>
  <c r="Q15" i="3" s="1"/>
  <c r="AF13" i="3"/>
  <c r="AE25" i="3"/>
  <c r="AK2" i="5" l="1"/>
  <c r="AO46" i="4"/>
  <c r="AO25" i="4"/>
  <c r="AJ11" i="5"/>
  <c r="AO4" i="4"/>
  <c r="AJ6" i="5"/>
  <c r="AM23" i="8"/>
  <c r="AL25" i="8"/>
  <c r="AM69" i="8"/>
  <c r="AL71" i="8"/>
  <c r="AN46" i="8"/>
  <c r="AM48" i="8"/>
  <c r="AG6" i="3"/>
  <c r="AF18" i="3"/>
  <c r="R14" i="3"/>
  <c r="R15" i="3" s="1"/>
  <c r="S2" i="3"/>
  <c r="R3" i="3"/>
  <c r="AG13" i="3"/>
  <c r="AF25" i="3"/>
  <c r="AL2" i="5" l="1"/>
  <c r="AP25" i="4"/>
  <c r="AK11" i="5"/>
  <c r="AP46" i="4"/>
  <c r="AP4" i="4"/>
  <c r="AK6" i="5"/>
  <c r="AN23" i="8"/>
  <c r="AM25" i="8"/>
  <c r="AO46" i="8"/>
  <c r="AN48" i="8"/>
  <c r="AN69" i="8"/>
  <c r="AM71" i="8"/>
  <c r="AG18" i="3"/>
  <c r="AH6" i="3"/>
  <c r="T2" i="3"/>
  <c r="S14" i="3"/>
  <c r="S15" i="3" s="1"/>
  <c r="S3" i="3"/>
  <c r="AG25" i="3"/>
  <c r="AH13" i="3"/>
  <c r="AM2" i="5" l="1"/>
  <c r="AQ4" i="4"/>
  <c r="AQ46" i="4"/>
  <c r="AL6" i="5"/>
  <c r="AQ25" i="4"/>
  <c r="AL11" i="5"/>
  <c r="AN25" i="8"/>
  <c r="AO23" i="8"/>
  <c r="AN71" i="8"/>
  <c r="AO69" i="8"/>
  <c r="AO48" i="8"/>
  <c r="AP46" i="8"/>
  <c r="AH18" i="3"/>
  <c r="AI6" i="3"/>
  <c r="AI13" i="3"/>
  <c r="AH25" i="3"/>
  <c r="U2" i="3"/>
  <c r="T14" i="3"/>
  <c r="T15" i="3" s="1"/>
  <c r="T3" i="3"/>
  <c r="AN2" i="5" l="1"/>
  <c r="AR4" i="4"/>
  <c r="AR46" i="4"/>
  <c r="AM6" i="5"/>
  <c r="AM11" i="5"/>
  <c r="AR25" i="4"/>
  <c r="AP23" i="8"/>
  <c r="AO25" i="8"/>
  <c r="AQ46" i="8"/>
  <c r="AP48" i="8"/>
  <c r="AO71" i="8"/>
  <c r="AP69" i="8"/>
  <c r="AJ6" i="3"/>
  <c r="AI18" i="3"/>
  <c r="AI25" i="3"/>
  <c r="AJ13" i="3"/>
  <c r="V2" i="3"/>
  <c r="U14" i="3"/>
  <c r="U15" i="3" s="1"/>
  <c r="U3" i="3"/>
  <c r="AO2" i="5" l="1"/>
  <c r="AS25" i="4"/>
  <c r="AS4" i="4"/>
  <c r="AS46" i="4"/>
  <c r="AN6" i="5"/>
  <c r="AN11" i="5"/>
  <c r="AQ23" i="8"/>
  <c r="AP25" i="8"/>
  <c r="AQ69" i="8"/>
  <c r="AP71" i="8"/>
  <c r="AQ48" i="8"/>
  <c r="AR46" i="8"/>
  <c r="AJ18" i="3"/>
  <c r="AK6" i="3"/>
  <c r="V14" i="3"/>
  <c r="V15" i="3" s="1"/>
  <c r="V3" i="3"/>
  <c r="W2" i="3"/>
  <c r="AJ25" i="3"/>
  <c r="AK13" i="3"/>
  <c r="AP2" i="5" l="1"/>
  <c r="AT4" i="4"/>
  <c r="AT46" i="4"/>
  <c r="AO6" i="5"/>
  <c r="AO11" i="5"/>
  <c r="AT25" i="4"/>
  <c r="AQ25" i="8"/>
  <c r="AR23" i="8"/>
  <c r="AR48" i="8"/>
  <c r="AS46" i="8"/>
  <c r="AR69" i="8"/>
  <c r="AQ71" i="8"/>
  <c r="AK18" i="3"/>
  <c r="AL6" i="3"/>
  <c r="W3" i="3"/>
  <c r="X2" i="3"/>
  <c r="W14" i="3"/>
  <c r="W15" i="3" s="1"/>
  <c r="AK25" i="3"/>
  <c r="AL13" i="3"/>
  <c r="AU25" i="4" l="1"/>
  <c r="AP11" i="5"/>
  <c r="AP6" i="5"/>
  <c r="AU4" i="4"/>
  <c r="AU46" i="4"/>
  <c r="AR25" i="8"/>
  <c r="AS23" i="8"/>
  <c r="AT46" i="8"/>
  <c r="AS48" i="8"/>
  <c r="AR71" i="8"/>
  <c r="AS69" i="8"/>
  <c r="AM6" i="3"/>
  <c r="AL18" i="3"/>
  <c r="X3" i="3"/>
  <c r="X14" i="3"/>
  <c r="X15" i="3" s="1"/>
  <c r="Y2" i="3"/>
  <c r="AM13" i="3"/>
  <c r="AL25" i="3"/>
  <c r="AS25" i="8" l="1"/>
  <c r="AT23" i="8"/>
  <c r="AT69" i="8"/>
  <c r="AS71" i="8"/>
  <c r="AT48" i="8"/>
  <c r="AU46" i="8"/>
  <c r="AU48" i="8" s="1"/>
  <c r="AN6" i="3"/>
  <c r="AM18" i="3"/>
  <c r="AN13" i="3"/>
  <c r="AN25" i="3" s="1"/>
  <c r="AM25" i="3"/>
  <c r="Y3" i="3"/>
  <c r="Y14" i="3"/>
  <c r="Y15" i="3" s="1"/>
  <c r="Z2" i="3"/>
  <c r="AT25" i="8" l="1"/>
  <c r="AU23" i="8"/>
  <c r="AU25" i="8" s="1"/>
  <c r="AU69" i="8"/>
  <c r="AU71" i="8" s="1"/>
  <c r="AT71" i="8"/>
  <c r="AN18" i="3"/>
  <c r="AO6" i="3"/>
  <c r="AO18" i="3" s="1"/>
  <c r="Z14" i="3"/>
  <c r="Z15" i="3" s="1"/>
  <c r="Z3" i="3"/>
  <c r="AA2" i="3"/>
  <c r="AB2" i="3" l="1"/>
  <c r="AA3" i="3"/>
  <c r="AA14" i="3"/>
  <c r="AA15" i="3" s="1"/>
  <c r="AC2" i="3" l="1"/>
  <c r="AB14" i="3"/>
  <c r="AB15" i="3" s="1"/>
  <c r="AB3" i="3"/>
  <c r="AD2" i="3" l="1"/>
  <c r="AC14" i="3"/>
  <c r="AC15" i="3" s="1"/>
  <c r="AC3" i="3"/>
  <c r="AD14" i="3" l="1"/>
  <c r="AD15" i="3" s="1"/>
  <c r="AD3" i="3"/>
  <c r="AE2" i="3"/>
  <c r="AE3" i="3" l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F2" i="3"/>
  <c r="AG2" i="3" s="1"/>
  <c r="AH2" i="3" s="1"/>
  <c r="AI2" i="3" s="1"/>
  <c r="AJ2" i="3" s="1"/>
  <c r="AK2" i="3" s="1"/>
  <c r="AL2" i="3" s="1"/>
  <c r="AM2" i="3" s="1"/>
  <c r="AN2" i="3" s="1"/>
  <c r="AO2" i="3" s="1"/>
  <c r="AE14" i="3"/>
  <c r="AE15" i="3" l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F14" i="3"/>
  <c r="AG14" i="3" s="1"/>
  <c r="AH14" i="3" s="1"/>
  <c r="AI14" i="3" s="1"/>
  <c r="AJ14" i="3" s="1"/>
  <c r="AK14" i="3" s="1"/>
  <c r="AL14" i="3" s="1"/>
  <c r="AM14" i="3" s="1"/>
  <c r="AN14" i="3" s="1"/>
  <c r="AO1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Q27" authorId="0" shapeId="0" xr:uid="{00000000-0006-0000-03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TDP by 2030 + some additional</t>
        </r>
      </text>
    </comment>
    <comment ref="Q90" authorId="0" shapeId="0" xr:uid="{1E363206-5EB2-4612-BFDC-4DBED834549B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TDP by 2030 + some additional</t>
        </r>
      </text>
    </comment>
  </commentList>
</comments>
</file>

<file path=xl/sharedStrings.xml><?xml version="1.0" encoding="utf-8"?>
<sst xmlns="http://schemas.openxmlformats.org/spreadsheetml/2006/main" count="7019" uniqueCount="138">
  <si>
    <t>component</t>
  </si>
  <si>
    <t>carrier</t>
  </si>
  <si>
    <t>category</t>
  </si>
  <si>
    <t>BASE</t>
  </si>
  <si>
    <t>NFS</t>
  </si>
  <si>
    <t>NPS</t>
  </si>
  <si>
    <t>NFS_NPS</t>
  </si>
  <si>
    <t>Generator</t>
  </si>
  <si>
    <t>solar_pv_rooftop</t>
  </si>
  <si>
    <t>renewables</t>
  </si>
  <si>
    <t>solar_pv</t>
  </si>
  <si>
    <t>solar_pv_low</t>
  </si>
  <si>
    <t>solar_csp</t>
  </si>
  <si>
    <t>wind</t>
  </si>
  <si>
    <t>wind_low</t>
  </si>
  <si>
    <t>ccgt_steam</t>
  </si>
  <si>
    <t>conventional</t>
  </si>
  <si>
    <t>ocgt_gas</t>
  </si>
  <si>
    <t>ocgt_gas_h2_40</t>
  </si>
  <si>
    <t>ocgt_gas_h2_45</t>
  </si>
  <si>
    <t>ocgt_gas_h2_50</t>
  </si>
  <si>
    <t>ocgt_gas_h2_55</t>
  </si>
  <si>
    <t>ocgt_gas_h2_60</t>
  </si>
  <si>
    <t>ocgt_diesel</t>
  </si>
  <si>
    <t>ocgt_diesel_emg</t>
  </si>
  <si>
    <t>coal</t>
  </si>
  <si>
    <t>nuclear</t>
  </si>
  <si>
    <t>StorageUnit</t>
  </si>
  <si>
    <t>phs</t>
  </si>
  <si>
    <t>storage</t>
  </si>
  <si>
    <t>battery_1h</t>
  </si>
  <si>
    <t>battery_3h</t>
  </si>
  <si>
    <t>battery_4h</t>
  </si>
  <si>
    <t>battery_8h</t>
  </si>
  <si>
    <t>scenario</t>
  </si>
  <si>
    <t>FOM</t>
  </si>
  <si>
    <t>VOM</t>
  </si>
  <si>
    <t>lifetime</t>
  </si>
  <si>
    <t>max_hours</t>
  </si>
  <si>
    <t>heat_rate</t>
  </si>
  <si>
    <t>efficiency</t>
  </si>
  <si>
    <t>build_phase_in</t>
  </si>
  <si>
    <t>ramp_limit_up</t>
  </si>
  <si>
    <t>ramp_limit_down</t>
  </si>
  <si>
    <t>committable</t>
  </si>
  <si>
    <t>ramp_limit_start_up</t>
  </si>
  <si>
    <t>ramp_limit_shut_down</t>
  </si>
  <si>
    <t>min_up_time</t>
  </si>
  <si>
    <t>min_down_time</t>
  </si>
  <si>
    <t>start_up_cost</t>
  </si>
  <si>
    <t>shut_down_cost</t>
  </si>
  <si>
    <t>discount_rate</t>
  </si>
  <si>
    <t>default</t>
  </si>
  <si>
    <t>overnight</t>
  </si>
  <si>
    <t>biomass_forestry</t>
  </si>
  <si>
    <t>biomass_landfill_gas</t>
  </si>
  <si>
    <t>biomass_biogas</t>
  </si>
  <si>
    <t>biomass_MSW</t>
  </si>
  <si>
    <t>parameter</t>
  </si>
  <si>
    <t>units</t>
  </si>
  <si>
    <t>carrier_emissions</t>
  </si>
  <si>
    <t>tCO2/MWht</t>
  </si>
  <si>
    <t>sasol_coal</t>
  </si>
  <si>
    <t>ocgt_avf</t>
  </si>
  <si>
    <t>sasol_gas</t>
  </si>
  <si>
    <t>output_emissions</t>
  </si>
  <si>
    <t>tCO2/MWh</t>
  </si>
  <si>
    <t>per unit</t>
  </si>
  <si>
    <t>GJ/MWh</t>
  </si>
  <si>
    <t>%p_nom/h</t>
  </si>
  <si>
    <t>hours</t>
  </si>
  <si>
    <t>years</t>
  </si>
  <si>
    <t>HVAC_overhead</t>
  </si>
  <si>
    <t>HVDC_inverter_pair</t>
  </si>
  <si>
    <t>HVDC_overhead</t>
  </si>
  <si>
    <t>HVDC_submarine</t>
  </si>
  <si>
    <t>%p_nom</t>
  </si>
  <si>
    <t>h</t>
  </si>
  <si>
    <t>ZAR</t>
  </si>
  <si>
    <t>%capex/year</t>
  </si>
  <si>
    <t>ZAR/kWel</t>
  </si>
  <si>
    <t>ZAR/MWhel</t>
  </si>
  <si>
    <t>linear</t>
  </si>
  <si>
    <t>supply_region</t>
  </si>
  <si>
    <t>location</t>
  </si>
  <si>
    <t>RSA</t>
  </si>
  <si>
    <t>unc</t>
  </si>
  <si>
    <t>LEAST_CNST</t>
  </si>
  <si>
    <t>MOD_CNST</t>
  </si>
  <si>
    <t>MOST_CNST</t>
  </si>
  <si>
    <t>UNC</t>
  </si>
  <si>
    <t>3GW_GAS</t>
  </si>
  <si>
    <t>6GW_GAS</t>
  </si>
  <si>
    <t>P1</t>
  </si>
  <si>
    <t>M2045</t>
  </si>
  <si>
    <t>overnight_capex</t>
  </si>
  <si>
    <t>total_vs_overnight_capex_ratio</t>
  </si>
  <si>
    <t>WACC_082</t>
  </si>
  <si>
    <t>LST_HIGH</t>
  </si>
  <si>
    <t>LST_LOW</t>
  </si>
  <si>
    <t>LST_TOT</t>
  </si>
  <si>
    <t>MOD_HIGH</t>
  </si>
  <si>
    <t>MOD_LOW</t>
  </si>
  <si>
    <t>MOD_TOT</t>
  </si>
  <si>
    <t>MST_HIGH</t>
  </si>
  <si>
    <t>MST_LOW</t>
  </si>
  <si>
    <t>MST_TOT</t>
  </si>
  <si>
    <t>DLY_3GW_GAS</t>
  </si>
  <si>
    <t>ignore</t>
  </si>
  <si>
    <t>solar_pv_low_tot</t>
  </si>
  <si>
    <t>MTSAO_BQ</t>
  </si>
  <si>
    <t>IRP24_BQ_IGCAR</t>
  </si>
  <si>
    <t>WACC_124</t>
  </si>
  <si>
    <t>WACC_095</t>
  </si>
  <si>
    <t>WACC_074</t>
  </si>
  <si>
    <t>NO_GAS</t>
  </si>
  <si>
    <t>deg_as_VOM</t>
  </si>
  <si>
    <t>ocgt_blend</t>
  </si>
  <si>
    <t>BLEND</t>
  </si>
  <si>
    <t>HIGH_PMR1b</t>
  </si>
  <si>
    <t>BASE_PMR1b</t>
  </si>
  <si>
    <t>LOW_PMR1b</t>
  </si>
  <si>
    <t>HIGH_VOM_PMR1b</t>
  </si>
  <si>
    <t>BASE_VOM_PMR1b</t>
  </si>
  <si>
    <t>LOW_VOM_PMR1b</t>
  </si>
  <si>
    <t>HIGH_PMR1</t>
  </si>
  <si>
    <t>BASE_PMR1</t>
  </si>
  <si>
    <t>LOW_PMR1</t>
  </si>
  <si>
    <t>source</t>
  </si>
  <si>
    <t>LEAST_CNST_NO_COAL_NUC</t>
  </si>
  <si>
    <t>MOD_CNST_NO_COAL_NUC</t>
  </si>
  <si>
    <t>MOST_CNST_NO_COAL_NUC</t>
  </si>
  <si>
    <t>WACC_1201</t>
  </si>
  <si>
    <t>WACC_0923</t>
  </si>
  <si>
    <t>WACC_072</t>
  </si>
  <si>
    <t>HIGH_CFLEX</t>
  </si>
  <si>
    <t>LOW_CFLEX</t>
  </si>
  <si>
    <t>min_stable_level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</si>
</sst>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TRUE&quot;;&quot;TRUE&quot;;&quot;FALSE&quot;"/>
  </numFmts>
  <fonts count="18" x14ac:knownFonts="1">
    <font>
      <sz val="11"/>
      <color theme="1"/>
      <name val="Calibri"/>
      <family val="2"/>
      <charset val="1"/>
    </font>
    <font>
      <sz val="10"/>
      <color rgb="FF236194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  <font>
      <b/>
      <sz val="11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9C0006"/>
      <name val="Calibri"/>
      <family val="2"/>
      <charset val="1"/>
    </font>
    <font>
      <sz val="12"/>
      <color rgb="FF3F3F76"/>
      <name val="Calibri"/>
      <family val="2"/>
      <charset val="1"/>
    </font>
    <font>
      <sz val="10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charset val="1"/>
    </font>
    <font>
      <sz val="11"/>
      <color rgb="FF333333"/>
      <name val="Calibri"/>
      <family val="2"/>
    </font>
    <font>
      <sz val="11"/>
      <color theme="1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C5"/>
        <bgColor rgb="FFFFF2CC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C6EFCE"/>
        <bgColor rgb="FFC5E0B4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DCE6F2"/>
        <bgColor rgb="FFDAE3F3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EDEDED"/>
      </patternFill>
    </fill>
    <fill>
      <patternFill patternType="solid">
        <fgColor theme="7" tint="0.79998168889431442"/>
        <bgColor rgb="FFEDEDED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9" tint="0.39997558519241921"/>
        <bgColor rgb="FFEDEDED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0"/>
        <bgColor rgb="FFEDEDED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FFF00"/>
        <bgColor rgb="FFFFC7CE"/>
      </patternFill>
    </fill>
    <fill>
      <patternFill patternType="solid">
        <fgColor rgb="FFFFFF00"/>
        <bgColor rgb="FFEDEDED"/>
      </patternFill>
    </fill>
    <fill>
      <patternFill patternType="solid">
        <fgColor rgb="FFFFC7CE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C5E0B4"/>
      </patternFill>
    </fill>
    <fill>
      <patternFill patternType="solid">
        <fgColor rgb="FFFFFF00"/>
        <bgColor rgb="FFFFE699"/>
      </patternFill>
    </fill>
    <fill>
      <patternFill patternType="solid">
        <fgColor rgb="FF7030A0"/>
        <bgColor rgb="FFFFF2CC"/>
      </patternFill>
    </fill>
    <fill>
      <patternFill patternType="solid">
        <fgColor rgb="FF0070C0"/>
        <bgColor rgb="FFFFE699"/>
      </patternFill>
    </fill>
    <fill>
      <patternFill patternType="solid">
        <fgColor theme="0" tint="-0.499984740745262"/>
        <bgColor rgb="FFC5E0B4"/>
      </patternFill>
    </fill>
    <fill>
      <patternFill patternType="solid">
        <fgColor rgb="FF7030A0"/>
        <bgColor rgb="FFFFCC99"/>
      </patternFill>
    </fill>
    <fill>
      <patternFill patternType="solid">
        <fgColor rgb="FF7030A0"/>
        <bgColor rgb="FFF2F2F2"/>
      </patternFill>
    </fill>
    <fill>
      <patternFill patternType="solid">
        <fgColor rgb="FF7030A0"/>
        <bgColor rgb="FFEDEDED"/>
      </patternFill>
    </fill>
    <fill>
      <patternFill patternType="solid">
        <fgColor rgb="FF0070C0"/>
        <bgColor rgb="FFFFEB9C"/>
      </patternFill>
    </fill>
    <fill>
      <patternFill patternType="solid">
        <fgColor rgb="FF0070C0"/>
        <bgColor rgb="FFF2F2F2"/>
      </patternFill>
    </fill>
    <fill>
      <patternFill patternType="solid">
        <fgColor rgb="FF0070C0"/>
        <bgColor rgb="FFEDEDED"/>
      </patternFill>
    </fill>
    <fill>
      <patternFill patternType="solid">
        <fgColor theme="0" tint="-0.499984740745262"/>
        <bgColor rgb="FFEDEDED"/>
      </patternFill>
    </fill>
    <fill>
      <patternFill patternType="solid">
        <fgColor theme="0" tint="-0.499984740745262"/>
        <bgColor rgb="FFF2F2F2"/>
      </patternFill>
    </fill>
    <fill>
      <patternFill patternType="solid">
        <fgColor theme="0" tint="-0.249977111117893"/>
        <bgColor rgb="FFEDEDED"/>
      </patternFill>
    </fill>
    <fill>
      <patternFill patternType="solid">
        <fgColor theme="0" tint="-0.249977111117893"/>
        <b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DCE6F2"/>
      </patternFill>
    </fill>
    <fill>
      <patternFill patternType="solid">
        <fgColor rgb="FF7030A0"/>
        <bgColor rgb="FFFFC7CE"/>
      </patternFill>
    </fill>
    <fill>
      <patternFill patternType="solid">
        <fgColor rgb="FF0070C0"/>
        <bgColor rgb="FFFFFFC5"/>
      </patternFill>
    </fill>
    <fill>
      <patternFill patternType="solid">
        <fgColor rgb="FF7030A0"/>
        <bgColor rgb="FFDCE6F2"/>
      </patternFill>
    </fill>
    <fill>
      <patternFill patternType="solid">
        <fgColor theme="0" tint="-0.499984740745262"/>
        <bgColor rgb="FFFFF2CC"/>
      </patternFill>
    </fill>
  </fills>
  <borders count="18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  <border>
      <left style="thin">
        <color rgb="FF3F3F3F"/>
      </left>
      <right/>
      <top style="thin">
        <color rgb="FF3F3F3F"/>
      </top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indexed="64"/>
      </bottom>
      <diagonal/>
    </border>
  </borders>
  <cellStyleXfs count="11">
    <xf numFmtId="0" fontId="0" fillId="0" borderId="0"/>
    <xf numFmtId="0" fontId="1" fillId="2" borderId="1">
      <protection locked="0"/>
    </xf>
    <xf numFmtId="0" fontId="2" fillId="0" borderId="0"/>
    <xf numFmtId="9" fontId="2" fillId="0" borderId="0" applyBorder="0" applyProtection="0"/>
    <xf numFmtId="0" fontId="3" fillId="3" borderId="2" applyProtection="0"/>
    <xf numFmtId="0" fontId="5" fillId="4" borderId="3" applyProtection="0"/>
    <xf numFmtId="0" fontId="7" fillId="5" borderId="0" applyBorder="0" applyProtection="0"/>
    <xf numFmtId="0" fontId="8" fillId="6" borderId="0" applyBorder="0" applyProtection="0"/>
    <xf numFmtId="0" fontId="9" fillId="7" borderId="0" applyBorder="0" applyProtection="0"/>
    <xf numFmtId="9" fontId="13" fillId="0" borderId="0" applyFont="0" applyFill="0" applyBorder="0" applyAlignment="0" applyProtection="0"/>
    <xf numFmtId="0" fontId="14" fillId="24" borderId="0" applyNumberFormat="0" applyBorder="0" applyAlignment="0" applyProtection="0"/>
  </cellStyleXfs>
  <cellXfs count="194">
    <xf numFmtId="0" fontId="0" fillId="0" borderId="0" xfId="0"/>
    <xf numFmtId="0" fontId="0" fillId="0" borderId="0" xfId="0" applyAlignment="1">
      <alignment horizontal="left"/>
    </xf>
    <xf numFmtId="0" fontId="3" fillId="3" borderId="4" xfId="4" applyBorder="1" applyAlignment="1" applyProtection="1">
      <alignment horizontal="left" vertical="center" wrapText="1"/>
    </xf>
    <xf numFmtId="0" fontId="3" fillId="3" borderId="4" xfId="4" applyBorder="1" applyAlignment="1" applyProtection="1">
      <alignment horizontal="right" vertical="center" wrapText="1"/>
    </xf>
    <xf numFmtId="0" fontId="4" fillId="8" borderId="0" xfId="5" applyFont="1" applyFill="1" applyBorder="1" applyAlignment="1" applyProtection="1">
      <alignment horizontal="left"/>
    </xf>
    <xf numFmtId="0" fontId="5" fillId="4" borderId="0" xfId="5" applyBorder="1" applyAlignment="1" applyProtection="1">
      <alignment horizontal="right" vertical="center"/>
    </xf>
    <xf numFmtId="0" fontId="4" fillId="3" borderId="0" xfId="5" applyFont="1" applyFill="1" applyBorder="1" applyAlignment="1" applyProtection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3" borderId="2" xfId="4" applyAlignment="1" applyProtection="1">
      <alignment horizontal="left" vertical="center" wrapText="1"/>
    </xf>
    <xf numFmtId="0" fontId="6" fillId="3" borderId="4" xfId="4" applyFont="1" applyBorder="1" applyAlignment="1" applyProtection="1">
      <alignment horizontal="left" vertical="center" wrapText="1"/>
    </xf>
    <xf numFmtId="0" fontId="3" fillId="3" borderId="5" xfId="4" applyBorder="1" applyAlignment="1" applyProtection="1">
      <alignment horizontal="left" vertical="center" wrapText="1"/>
    </xf>
    <xf numFmtId="0" fontId="3" fillId="3" borderId="6" xfId="4" applyBorder="1" applyAlignment="1" applyProtection="1">
      <alignment horizontal="right" vertical="center" wrapText="1"/>
    </xf>
    <xf numFmtId="0" fontId="0" fillId="3" borderId="0" xfId="0" applyFill="1" applyAlignment="1">
      <alignment horizontal="right"/>
    </xf>
    <xf numFmtId="0" fontId="4" fillId="8" borderId="0" xfId="5" applyFont="1" applyFill="1" applyBorder="1" applyAlignment="1" applyProtection="1">
      <alignment horizontal="right"/>
    </xf>
    <xf numFmtId="0" fontId="4" fillId="3" borderId="0" xfId="5" applyFont="1" applyFill="1" applyBorder="1" applyAlignment="1" applyProtection="1">
      <alignment horizontal="right"/>
    </xf>
    <xf numFmtId="0" fontId="4" fillId="3" borderId="9" xfId="5" applyFont="1" applyFill="1" applyBorder="1" applyAlignment="1" applyProtection="1">
      <alignment horizontal="left"/>
    </xf>
    <xf numFmtId="0" fontId="3" fillId="3" borderId="0" xfId="4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0" fontId="3" fillId="3" borderId="4" xfId="4" applyBorder="1" applyAlignment="1" applyProtection="1">
      <alignment horizontal="center" vertical="center" wrapText="1"/>
    </xf>
    <xf numFmtId="0" fontId="4" fillId="3" borderId="0" xfId="8" applyFont="1" applyFill="1" applyBorder="1" applyAlignment="1" applyProtection="1">
      <alignment horizontal="center"/>
    </xf>
    <xf numFmtId="0" fontId="4" fillId="3" borderId="0" xfId="8" applyFont="1" applyFill="1" applyBorder="1" applyAlignment="1" applyProtection="1">
      <alignment horizontal="right"/>
    </xf>
    <xf numFmtId="0" fontId="10" fillId="0" borderId="0" xfId="0" applyFont="1" applyAlignment="1">
      <alignment horizontal="right"/>
    </xf>
    <xf numFmtId="0" fontId="4" fillId="8" borderId="0" xfId="8" applyFont="1" applyFill="1" applyBorder="1" applyAlignment="1" applyProtection="1">
      <alignment horizontal="center"/>
    </xf>
    <xf numFmtId="0" fontId="4" fillId="8" borderId="0" xfId="8" applyFont="1" applyFill="1" applyBorder="1" applyAlignment="1" applyProtection="1">
      <alignment horizontal="right"/>
    </xf>
    <xf numFmtId="0" fontId="4" fillId="3" borderId="9" xfId="8" applyFont="1" applyFill="1" applyBorder="1" applyAlignment="1" applyProtection="1">
      <alignment horizontal="center"/>
    </xf>
    <xf numFmtId="0" fontId="4" fillId="3" borderId="9" xfId="8" applyFont="1" applyFill="1" applyBorder="1" applyAlignment="1" applyProtection="1">
      <alignment horizontal="right"/>
    </xf>
    <xf numFmtId="0" fontId="10" fillId="0" borderId="9" xfId="0" applyFont="1" applyBorder="1" applyAlignment="1">
      <alignment horizontal="right"/>
    </xf>
    <xf numFmtId="0" fontId="4" fillId="3" borderId="0" xfId="5" applyFont="1" applyFill="1" applyBorder="1" applyAlignment="1" applyProtection="1">
      <alignment horizontal="center"/>
    </xf>
    <xf numFmtId="0" fontId="4" fillId="8" borderId="0" xfId="5" applyFont="1" applyFill="1" applyBorder="1" applyAlignment="1" applyProtection="1">
      <alignment horizontal="center"/>
    </xf>
    <xf numFmtId="0" fontId="3" fillId="3" borderId="10" xfId="4" applyBorder="1" applyAlignment="1" applyProtection="1">
      <alignment horizontal="right" vertical="center" wrapText="1"/>
    </xf>
    <xf numFmtId="0" fontId="0" fillId="9" borderId="11" xfId="0" applyFill="1" applyBorder="1" applyAlignment="1">
      <alignment horizontal="left" vertical="center"/>
    </xf>
    <xf numFmtId="0" fontId="10" fillId="0" borderId="11" xfId="0" applyFont="1" applyBorder="1" applyAlignment="1">
      <alignment horizontal="right"/>
    </xf>
    <xf numFmtId="0" fontId="4" fillId="8" borderId="9" xfId="5" applyFont="1" applyFill="1" applyBorder="1" applyAlignment="1" applyProtection="1">
      <alignment horizontal="center"/>
    </xf>
    <xf numFmtId="0" fontId="4" fillId="8" borderId="9" xfId="5" applyFont="1" applyFill="1" applyBorder="1" applyAlignment="1" applyProtection="1">
      <alignment horizontal="left"/>
    </xf>
    <xf numFmtId="0" fontId="4" fillId="0" borderId="0" xfId="0" applyFont="1" applyAlignment="1">
      <alignment horizontal="center"/>
    </xf>
    <xf numFmtId="0" fontId="6" fillId="3" borderId="4" xfId="4" applyFont="1" applyBorder="1" applyAlignment="1" applyProtection="1">
      <alignment horizontal="center" vertical="center" wrapText="1"/>
    </xf>
    <xf numFmtId="0" fontId="4" fillId="8" borderId="12" xfId="5" applyFont="1" applyFill="1" applyBorder="1" applyAlignment="1" applyProtection="1">
      <alignment horizontal="center"/>
    </xf>
    <xf numFmtId="0" fontId="4" fillId="8" borderId="13" xfId="0" applyFont="1" applyFill="1" applyBorder="1" applyAlignment="1">
      <alignment horizontal="center"/>
    </xf>
    <xf numFmtId="0" fontId="4" fillId="8" borderId="11" xfId="5" applyFont="1" applyFill="1" applyBorder="1" applyAlignment="1" applyProtection="1">
      <alignment horizontal="center"/>
    </xf>
    <xf numFmtId="0" fontId="4" fillId="8" borderId="11" xfId="5" applyFont="1" applyFill="1" applyBorder="1" applyAlignment="1" applyProtection="1">
      <alignment horizontal="left"/>
    </xf>
    <xf numFmtId="0" fontId="4" fillId="8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5" applyFont="1" applyFill="1" applyBorder="1" applyProtection="1"/>
    <xf numFmtId="0" fontId="4" fillId="8" borderId="0" xfId="5" applyFont="1" applyFill="1" applyBorder="1" applyProtection="1"/>
    <xf numFmtId="0" fontId="4" fillId="8" borderId="9" xfId="0" applyFont="1" applyFill="1" applyBorder="1" applyAlignment="1">
      <alignment horizontal="center"/>
    </xf>
    <xf numFmtId="0" fontId="4" fillId="8" borderId="0" xfId="8" applyFont="1" applyFill="1" applyBorder="1" applyProtection="1"/>
    <xf numFmtId="0" fontId="4" fillId="3" borderId="0" xfId="8" applyFont="1" applyFill="1" applyBorder="1" applyProtection="1"/>
    <xf numFmtId="0" fontId="4" fillId="3" borderId="9" xfId="8" applyFont="1" applyFill="1" applyBorder="1" applyProtection="1"/>
    <xf numFmtId="0" fontId="4" fillId="3" borderId="9" xfId="5" applyFont="1" applyFill="1" applyBorder="1" applyAlignment="1" applyProtection="1">
      <alignment horizontal="center"/>
    </xf>
    <xf numFmtId="0" fontId="4" fillId="3" borderId="9" xfId="0" applyFont="1" applyFill="1" applyBorder="1" applyAlignment="1">
      <alignment horizontal="center"/>
    </xf>
    <xf numFmtId="0" fontId="6" fillId="3" borderId="4" xfId="4" applyFont="1" applyBorder="1" applyAlignment="1" applyProtection="1">
      <alignment horizontal="right" vertical="center" wrapText="1"/>
    </xf>
    <xf numFmtId="0" fontId="4" fillId="8" borderId="11" xfId="5" applyFont="1" applyFill="1" applyBorder="1" applyAlignment="1" applyProtection="1">
      <alignment horizontal="right"/>
    </xf>
    <xf numFmtId="0" fontId="4" fillId="8" borderId="14" xfId="5" applyFont="1" applyFill="1" applyBorder="1" applyAlignment="1" applyProtection="1">
      <alignment horizontal="center"/>
    </xf>
    <xf numFmtId="0" fontId="4" fillId="8" borderId="15" xfId="0" applyFont="1" applyFill="1" applyBorder="1" applyAlignment="1">
      <alignment horizontal="center"/>
    </xf>
    <xf numFmtId="0" fontId="4" fillId="8" borderId="9" xfId="5" applyFont="1" applyFill="1" applyBorder="1" applyAlignment="1" applyProtection="1">
      <alignment horizontal="right"/>
    </xf>
    <xf numFmtId="0" fontId="0" fillId="10" borderId="0" xfId="0" applyFill="1"/>
    <xf numFmtId="0" fontId="3" fillId="3" borderId="16" xfId="4" applyBorder="1" applyAlignment="1" applyProtection="1">
      <alignment horizontal="right" vertical="center" wrapText="1"/>
    </xf>
    <xf numFmtId="0" fontId="0" fillId="16" borderId="0" xfId="0" applyFill="1" applyAlignment="1">
      <alignment horizontal="right"/>
    </xf>
    <xf numFmtId="2" fontId="4" fillId="13" borderId="0" xfId="5" applyNumberFormat="1" applyFont="1" applyFill="1" applyBorder="1" applyAlignment="1" applyProtection="1">
      <alignment horizontal="right"/>
    </xf>
    <xf numFmtId="2" fontId="4" fillId="15" borderId="0" xfId="5" applyNumberFormat="1" applyFont="1" applyFill="1" applyBorder="1" applyAlignment="1" applyProtection="1">
      <alignment horizontal="right"/>
    </xf>
    <xf numFmtId="2" fontId="4" fillId="12" borderId="0" xfId="5" applyNumberFormat="1" applyFont="1" applyFill="1" applyBorder="1" applyAlignment="1" applyProtection="1">
      <alignment horizontal="right"/>
    </xf>
    <xf numFmtId="2" fontId="4" fillId="17" borderId="0" xfId="5" applyNumberFormat="1" applyFont="1" applyFill="1" applyBorder="1" applyAlignment="1" applyProtection="1">
      <alignment horizontal="right"/>
    </xf>
    <xf numFmtId="2" fontId="4" fillId="14" borderId="0" xfId="5" applyNumberFormat="1" applyFont="1" applyFill="1" applyBorder="1" applyAlignment="1" applyProtection="1">
      <alignment horizontal="right"/>
    </xf>
    <xf numFmtId="2" fontId="4" fillId="18" borderId="0" xfId="5" applyNumberFormat="1" applyFont="1" applyFill="1" applyBorder="1" applyAlignment="1" applyProtection="1">
      <alignment horizontal="right"/>
    </xf>
    <xf numFmtId="2" fontId="4" fillId="11" borderId="0" xfId="5" applyNumberFormat="1" applyFont="1" applyFill="1" applyBorder="1" applyAlignment="1" applyProtection="1">
      <alignment horizontal="right"/>
    </xf>
    <xf numFmtId="2" fontId="4" fillId="19" borderId="0" xfId="5" applyNumberFormat="1" applyFont="1" applyFill="1" applyBorder="1" applyAlignment="1" applyProtection="1">
      <alignment horizontal="right"/>
    </xf>
    <xf numFmtId="0" fontId="0" fillId="20" borderId="0" xfId="0" applyFill="1"/>
    <xf numFmtId="0" fontId="4" fillId="21" borderId="0" xfId="5" applyFont="1" applyFill="1" applyBorder="1" applyAlignment="1" applyProtection="1">
      <alignment horizontal="left"/>
    </xf>
    <xf numFmtId="0" fontId="4" fillId="21" borderId="0" xfId="0" applyFont="1" applyFill="1" applyAlignment="1">
      <alignment horizontal="right"/>
    </xf>
    <xf numFmtId="164" fontId="4" fillId="21" borderId="0" xfId="0" applyNumberFormat="1" applyFont="1" applyFill="1" applyAlignment="1">
      <alignment horizontal="right"/>
    </xf>
    <xf numFmtId="0" fontId="0" fillId="20" borderId="7" xfId="0" applyFill="1" applyBorder="1"/>
    <xf numFmtId="0" fontId="4" fillId="20" borderId="0" xfId="5" applyFont="1" applyFill="1" applyBorder="1" applyAlignment="1" applyProtection="1">
      <alignment horizontal="left"/>
    </xf>
    <xf numFmtId="0" fontId="4" fillId="20" borderId="0" xfId="5" applyFont="1" applyFill="1" applyBorder="1" applyAlignment="1" applyProtection="1">
      <alignment horizontal="right"/>
    </xf>
    <xf numFmtId="164" fontId="4" fillId="20" borderId="0" xfId="5" applyNumberFormat="1" applyFont="1" applyFill="1" applyBorder="1" applyAlignment="1" applyProtection="1">
      <alignment horizontal="right"/>
    </xf>
    <xf numFmtId="0" fontId="4" fillId="21" borderId="0" xfId="5" applyFont="1" applyFill="1" applyBorder="1" applyAlignment="1" applyProtection="1">
      <alignment horizontal="right"/>
    </xf>
    <xf numFmtId="164" fontId="4" fillId="21" borderId="0" xfId="5" applyNumberFormat="1" applyFont="1" applyFill="1" applyBorder="1" applyAlignment="1" applyProtection="1">
      <alignment horizontal="right"/>
    </xf>
    <xf numFmtId="165" fontId="4" fillId="21" borderId="0" xfId="5" applyNumberFormat="1" applyFont="1" applyFill="1" applyBorder="1" applyAlignment="1" applyProtection="1">
      <alignment horizontal="right"/>
    </xf>
    <xf numFmtId="165" fontId="4" fillId="20" borderId="0" xfId="5" applyNumberFormat="1" applyFont="1" applyFill="1" applyBorder="1" applyAlignment="1" applyProtection="1">
      <alignment horizontal="right"/>
    </xf>
    <xf numFmtId="1" fontId="4" fillId="20" borderId="0" xfId="5" applyNumberFormat="1" applyFont="1" applyFill="1" applyBorder="1" applyAlignment="1" applyProtection="1">
      <alignment horizontal="right"/>
    </xf>
    <xf numFmtId="1" fontId="4" fillId="21" borderId="0" xfId="5" applyNumberFormat="1" applyFont="1" applyFill="1" applyBorder="1" applyAlignment="1" applyProtection="1">
      <alignment horizontal="right"/>
    </xf>
    <xf numFmtId="1" fontId="4" fillId="13" borderId="0" xfId="5" applyNumberFormat="1" applyFont="1" applyFill="1" applyBorder="1" applyAlignment="1" applyProtection="1">
      <alignment horizontal="right"/>
    </xf>
    <xf numFmtId="1" fontId="4" fillId="12" borderId="0" xfId="5" applyNumberFormat="1" applyFont="1" applyFill="1" applyBorder="1" applyAlignment="1" applyProtection="1">
      <alignment horizontal="right"/>
    </xf>
    <xf numFmtId="1" fontId="4" fillId="11" borderId="0" xfId="5" applyNumberFormat="1" applyFont="1" applyFill="1" applyBorder="1" applyAlignment="1" applyProtection="1">
      <alignment horizontal="right"/>
    </xf>
    <xf numFmtId="1" fontId="4" fillId="19" borderId="0" xfId="5" applyNumberFormat="1" applyFont="1" applyFill="1" applyBorder="1" applyAlignment="1" applyProtection="1">
      <alignment horizontal="right"/>
    </xf>
    <xf numFmtId="2" fontId="4" fillId="20" borderId="0" xfId="5" applyNumberFormat="1" applyFont="1" applyFill="1" applyBorder="1" applyAlignment="1" applyProtection="1">
      <alignment horizontal="right"/>
    </xf>
    <xf numFmtId="2" fontId="4" fillId="21" borderId="0" xfId="5" applyNumberFormat="1" applyFont="1" applyFill="1" applyBorder="1" applyAlignment="1" applyProtection="1">
      <alignment horizontal="right"/>
    </xf>
    <xf numFmtId="0" fontId="0" fillId="16" borderId="9" xfId="0" applyFill="1" applyBorder="1" applyAlignment="1">
      <alignment horizontal="right"/>
    </xf>
    <xf numFmtId="0" fontId="0" fillId="20" borderId="0" xfId="0" applyFill="1" applyAlignment="1">
      <alignment horizontal="right"/>
    </xf>
    <xf numFmtId="0" fontId="4" fillId="16" borderId="0" xfId="5" applyFont="1" applyFill="1" applyBorder="1" applyAlignment="1" applyProtection="1">
      <alignment horizontal="right"/>
    </xf>
    <xf numFmtId="0" fontId="4" fillId="16" borderId="9" xfId="5" applyFont="1" applyFill="1" applyBorder="1" applyAlignment="1" applyProtection="1">
      <alignment horizontal="right"/>
    </xf>
    <xf numFmtId="0" fontId="0" fillId="20" borderId="0" xfId="0" applyFill="1" applyAlignment="1">
      <alignment horizontal="left"/>
    </xf>
    <xf numFmtId="0" fontId="0" fillId="20" borderId="9" xfId="0" applyFill="1" applyBorder="1" applyAlignment="1">
      <alignment horizontal="left"/>
    </xf>
    <xf numFmtId="0" fontId="4" fillId="20" borderId="9" xfId="5" applyFont="1" applyFill="1" applyBorder="1" applyAlignment="1" applyProtection="1">
      <alignment horizontal="left"/>
    </xf>
    <xf numFmtId="0" fontId="0" fillId="22" borderId="0" xfId="0" applyFill="1"/>
    <xf numFmtId="0" fontId="4" fillId="23" borderId="0" xfId="5" applyFont="1" applyFill="1" applyBorder="1" applyAlignment="1" applyProtection="1">
      <alignment horizontal="center"/>
    </xf>
    <xf numFmtId="0" fontId="4" fillId="23" borderId="0" xfId="0" applyFont="1" applyFill="1" applyAlignment="1">
      <alignment horizontal="center"/>
    </xf>
    <xf numFmtId="0" fontId="4" fillId="23" borderId="0" xfId="5" applyFont="1" applyFill="1" applyBorder="1" applyAlignment="1" applyProtection="1">
      <alignment horizontal="left"/>
    </xf>
    <xf numFmtId="0" fontId="10" fillId="10" borderId="0" xfId="0" applyFont="1" applyFill="1" applyAlignment="1">
      <alignment horizontal="right"/>
    </xf>
    <xf numFmtId="0" fontId="4" fillId="20" borderId="9" xfId="5" applyFont="1" applyFill="1" applyBorder="1" applyAlignment="1" applyProtection="1">
      <alignment horizontal="right"/>
    </xf>
    <xf numFmtId="9" fontId="4" fillId="21" borderId="0" xfId="9" applyFont="1" applyFill="1" applyBorder="1" applyAlignment="1" applyProtection="1">
      <alignment horizontal="right"/>
    </xf>
    <xf numFmtId="9" fontId="4" fillId="20" borderId="0" xfId="9" applyFont="1" applyFill="1" applyBorder="1" applyAlignment="1" applyProtection="1">
      <alignment horizontal="right"/>
    </xf>
    <xf numFmtId="0" fontId="0" fillId="9" borderId="0" xfId="0" applyFill="1" applyAlignment="1">
      <alignment horizontal="left" vertical="center"/>
    </xf>
    <xf numFmtId="0" fontId="14" fillId="24" borderId="9" xfId="10" applyBorder="1" applyAlignment="1">
      <alignment horizontal="left" vertical="center"/>
    </xf>
    <xf numFmtId="0" fontId="14" fillId="24" borderId="9" xfId="10" applyBorder="1" applyAlignment="1" applyProtection="1">
      <alignment horizontal="center"/>
    </xf>
    <xf numFmtId="0" fontId="14" fillId="24" borderId="9" xfId="10" applyBorder="1" applyAlignment="1">
      <alignment horizontal="center"/>
    </xf>
    <xf numFmtId="0" fontId="14" fillId="24" borderId="9" xfId="10" applyBorder="1" applyAlignment="1">
      <alignment horizontal="right"/>
    </xf>
    <xf numFmtId="0" fontId="14" fillId="24" borderId="9" xfId="10" applyBorder="1" applyAlignment="1" applyProtection="1">
      <alignment horizontal="right"/>
    </xf>
    <xf numFmtId="0" fontId="4" fillId="3" borderId="9" xfId="5" applyFont="1" applyFill="1" applyBorder="1" applyAlignment="1" applyProtection="1">
      <alignment horizontal="right"/>
    </xf>
    <xf numFmtId="0" fontId="6" fillId="3" borderId="9" xfId="4" applyFont="1" applyBorder="1" applyAlignment="1" applyProtection="1">
      <alignment horizontal="right" vertical="center" wrapText="1"/>
    </xf>
    <xf numFmtId="0" fontId="0" fillId="3" borderId="9" xfId="0" applyFill="1" applyBorder="1" applyAlignment="1">
      <alignment horizontal="right"/>
    </xf>
    <xf numFmtId="0" fontId="4" fillId="21" borderId="9" xfId="5" applyFont="1" applyFill="1" applyBorder="1" applyAlignment="1" applyProtection="1">
      <alignment horizontal="right"/>
    </xf>
    <xf numFmtId="9" fontId="4" fillId="20" borderId="9" xfId="9" applyFont="1" applyFill="1" applyBorder="1" applyAlignment="1" applyProtection="1">
      <alignment horizontal="right"/>
    </xf>
    <xf numFmtId="0" fontId="3" fillId="3" borderId="17" xfId="4" applyBorder="1" applyAlignment="1" applyProtection="1">
      <alignment horizontal="right" vertical="center" wrapText="1"/>
    </xf>
    <xf numFmtId="0" fontId="0" fillId="23" borderId="0" xfId="0" applyFill="1" applyAlignment="1">
      <alignment horizontal="right"/>
    </xf>
    <xf numFmtId="0" fontId="4" fillId="25" borderId="0" xfId="5" applyFont="1" applyFill="1" applyBorder="1" applyAlignment="1" applyProtection="1">
      <alignment horizontal="right"/>
    </xf>
    <xf numFmtId="0" fontId="13" fillId="26" borderId="0" xfId="7" applyFont="1" applyFill="1" applyBorder="1" applyAlignment="1" applyProtection="1">
      <alignment horizontal="right"/>
    </xf>
    <xf numFmtId="0" fontId="13" fillId="27" borderId="0" xfId="6" applyFont="1" applyFill="1" applyBorder="1" applyAlignment="1" applyProtection="1">
      <alignment horizontal="right"/>
    </xf>
    <xf numFmtId="1" fontId="4" fillId="25" borderId="0" xfId="5" applyNumberFormat="1" applyFont="1" applyFill="1" applyBorder="1" applyAlignment="1" applyProtection="1">
      <alignment horizontal="right"/>
    </xf>
    <xf numFmtId="1" fontId="13" fillId="25" borderId="0" xfId="5" applyNumberFormat="1" applyFont="1" applyFill="1" applyBorder="1" applyAlignment="1" applyProtection="1">
      <alignment horizontal="right"/>
    </xf>
    <xf numFmtId="1" fontId="4" fillId="23" borderId="0" xfId="5" applyNumberFormat="1" applyFont="1" applyFill="1" applyBorder="1" applyAlignment="1" applyProtection="1">
      <alignment horizontal="right"/>
    </xf>
    <xf numFmtId="1" fontId="4" fillId="0" borderId="0" xfId="5" applyNumberFormat="1" applyFont="1" applyFill="1" applyBorder="1" applyAlignment="1" applyProtection="1">
      <alignment horizontal="right"/>
    </xf>
    <xf numFmtId="0" fontId="15" fillId="28" borderId="7" xfId="6" applyFont="1" applyFill="1" applyBorder="1" applyAlignment="1" applyProtection="1">
      <alignment horizontal="left"/>
    </xf>
    <xf numFmtId="0" fontId="15" fillId="28" borderId="8" xfId="6" applyFont="1" applyFill="1" applyBorder="1" applyAlignment="1" applyProtection="1">
      <alignment horizontal="left"/>
    </xf>
    <xf numFmtId="0" fontId="15" fillId="29" borderId="7" xfId="6" applyFont="1" applyFill="1" applyBorder="1" applyAlignment="1" applyProtection="1">
      <alignment horizontal="left"/>
    </xf>
    <xf numFmtId="0" fontId="15" fillId="29" borderId="8" xfId="6" applyFont="1" applyFill="1" applyBorder="1" applyAlignment="1" applyProtection="1">
      <alignment horizontal="left"/>
    </xf>
    <xf numFmtId="0" fontId="15" fillId="30" borderId="7" xfId="7" applyFont="1" applyFill="1" applyBorder="1" applyAlignment="1" applyProtection="1">
      <alignment horizontal="left"/>
    </xf>
    <xf numFmtId="0" fontId="15" fillId="30" borderId="8" xfId="7" applyFont="1" applyFill="1" applyBorder="1" applyAlignment="1" applyProtection="1">
      <alignment horizontal="left"/>
    </xf>
    <xf numFmtId="0" fontId="15" fillId="28" borderId="7" xfId="6" applyFont="1" applyFill="1" applyBorder="1" applyAlignment="1" applyProtection="1">
      <alignment horizontal="right"/>
    </xf>
    <xf numFmtId="0" fontId="15" fillId="29" borderId="0" xfId="6" applyFont="1" applyFill="1" applyBorder="1" applyAlignment="1" applyProtection="1">
      <alignment horizontal="right"/>
    </xf>
    <xf numFmtId="0" fontId="15" fillId="30" borderId="7" xfId="7" applyFont="1" applyFill="1" applyBorder="1" applyAlignment="1" applyProtection="1">
      <alignment horizontal="right"/>
    </xf>
    <xf numFmtId="0" fontId="15" fillId="31" borderId="7" xfId="0" applyFont="1" applyFill="1" applyBorder="1" applyAlignment="1">
      <alignment horizontal="left"/>
    </xf>
    <xf numFmtId="0" fontId="15" fillId="32" borderId="0" xfId="5" applyFont="1" applyFill="1" applyBorder="1" applyAlignment="1" applyProtection="1">
      <alignment horizontal="left"/>
    </xf>
    <xf numFmtId="0" fontId="15" fillId="32" borderId="0" xfId="5" applyFont="1" applyFill="1" applyBorder="1" applyAlignment="1" applyProtection="1">
      <alignment horizontal="right"/>
    </xf>
    <xf numFmtId="0" fontId="15" fillId="33" borderId="0" xfId="5" applyFont="1" applyFill="1" applyBorder="1" applyAlignment="1" applyProtection="1">
      <alignment horizontal="left"/>
    </xf>
    <xf numFmtId="0" fontId="15" fillId="33" borderId="0" xfId="5" applyFont="1" applyFill="1" applyBorder="1" applyAlignment="1" applyProtection="1">
      <alignment horizontal="right"/>
    </xf>
    <xf numFmtId="0" fontId="15" fillId="34" borderId="7" xfId="0" applyFont="1" applyFill="1" applyBorder="1"/>
    <xf numFmtId="0" fontId="15" fillId="35" borderId="0" xfId="5" applyFont="1" applyFill="1" applyBorder="1" applyAlignment="1" applyProtection="1">
      <alignment horizontal="left"/>
    </xf>
    <xf numFmtId="0" fontId="15" fillId="35" borderId="0" xfId="5" applyFont="1" applyFill="1" applyBorder="1" applyAlignment="1" applyProtection="1">
      <alignment horizontal="right"/>
    </xf>
    <xf numFmtId="0" fontId="15" fillId="36" borderId="0" xfId="5" applyFont="1" applyFill="1" applyBorder="1" applyAlignment="1" applyProtection="1">
      <alignment horizontal="left"/>
    </xf>
    <xf numFmtId="0" fontId="15" fillId="36" borderId="0" xfId="5" applyFont="1" applyFill="1" applyBorder="1" applyAlignment="1" applyProtection="1">
      <alignment horizontal="right"/>
    </xf>
    <xf numFmtId="0" fontId="15" fillId="37" borderId="7" xfId="0" applyFont="1" applyFill="1" applyBorder="1"/>
    <xf numFmtId="0" fontId="15" fillId="38" borderId="0" xfId="5" applyFont="1" applyFill="1" applyBorder="1" applyAlignment="1" applyProtection="1">
      <alignment horizontal="left"/>
    </xf>
    <xf numFmtId="0" fontId="15" fillId="38" borderId="0" xfId="5" applyFont="1" applyFill="1" applyBorder="1" applyAlignment="1" applyProtection="1">
      <alignment horizontal="right"/>
    </xf>
    <xf numFmtId="0" fontId="15" fillId="37" borderId="0" xfId="5" applyFont="1" applyFill="1" applyBorder="1" applyAlignment="1" applyProtection="1">
      <alignment horizontal="left"/>
    </xf>
    <xf numFmtId="0" fontId="15" fillId="37" borderId="0" xfId="5" applyFont="1" applyFill="1" applyBorder="1" applyAlignment="1" applyProtection="1">
      <alignment horizontal="right"/>
    </xf>
    <xf numFmtId="0" fontId="15" fillId="33" borderId="7" xfId="0" applyFont="1" applyFill="1" applyBorder="1"/>
    <xf numFmtId="0" fontId="15" fillId="36" borderId="7" xfId="0" applyFont="1" applyFill="1" applyBorder="1"/>
    <xf numFmtId="0" fontId="0" fillId="39" borderId="7" xfId="0" applyFill="1" applyBorder="1"/>
    <xf numFmtId="0" fontId="4" fillId="39" borderId="0" xfId="5" applyFont="1" applyFill="1" applyBorder="1" applyAlignment="1" applyProtection="1">
      <alignment horizontal="left"/>
    </xf>
    <xf numFmtId="0" fontId="4" fillId="39" borderId="0" xfId="5" applyFont="1" applyFill="1" applyBorder="1" applyAlignment="1" applyProtection="1">
      <alignment horizontal="right"/>
    </xf>
    <xf numFmtId="0" fontId="4" fillId="40" borderId="0" xfId="5" applyFont="1" applyFill="1" applyBorder="1" applyAlignment="1" applyProtection="1">
      <alignment horizontal="left"/>
    </xf>
    <xf numFmtId="0" fontId="4" fillId="40" borderId="0" xfId="5" applyFont="1" applyFill="1" applyBorder="1" applyAlignment="1" applyProtection="1">
      <alignment horizontal="right"/>
    </xf>
    <xf numFmtId="1" fontId="15" fillId="32" borderId="0" xfId="5" applyNumberFormat="1" applyFont="1" applyFill="1" applyBorder="1" applyAlignment="1" applyProtection="1">
      <alignment horizontal="right"/>
    </xf>
    <xf numFmtId="1" fontId="15" fillId="35" borderId="0" xfId="5" applyNumberFormat="1" applyFont="1" applyFill="1" applyBorder="1" applyAlignment="1" applyProtection="1">
      <alignment horizontal="right"/>
    </xf>
    <xf numFmtId="1" fontId="15" fillId="37" borderId="0" xfId="5" applyNumberFormat="1" applyFont="1" applyFill="1" applyBorder="1" applyAlignment="1" applyProtection="1">
      <alignment horizontal="right"/>
    </xf>
    <xf numFmtId="1" fontId="15" fillId="38" borderId="0" xfId="5" applyNumberFormat="1" applyFont="1" applyFill="1" applyBorder="1" applyAlignment="1" applyProtection="1">
      <alignment horizontal="right"/>
    </xf>
    <xf numFmtId="0" fontId="13" fillId="26" borderId="7" xfId="7" applyFont="1" applyFill="1" applyBorder="1" applyAlignment="1" applyProtection="1">
      <alignment horizontal="right"/>
    </xf>
    <xf numFmtId="0" fontId="15" fillId="41" borderId="0" xfId="0" applyFont="1" applyFill="1"/>
    <xf numFmtId="0" fontId="15" fillId="41" borderId="0" xfId="0" applyFont="1" applyFill="1" applyAlignment="1">
      <alignment horizontal="left"/>
    </xf>
    <xf numFmtId="0" fontId="15" fillId="41" borderId="0" xfId="0" applyFont="1" applyFill="1" applyAlignment="1">
      <alignment horizontal="right"/>
    </xf>
    <xf numFmtId="0" fontId="15" fillId="42" borderId="0" xfId="0" applyFont="1" applyFill="1"/>
    <xf numFmtId="0" fontId="15" fillId="42" borderId="0" xfId="0" applyFont="1" applyFill="1" applyAlignment="1">
      <alignment horizontal="left"/>
    </xf>
    <xf numFmtId="0" fontId="15" fillId="42" borderId="0" xfId="0" applyFont="1" applyFill="1" applyAlignment="1">
      <alignment horizontal="right"/>
    </xf>
    <xf numFmtId="0" fontId="15" fillId="43" borderId="0" xfId="0" applyFont="1" applyFill="1"/>
    <xf numFmtId="0" fontId="15" fillId="43" borderId="0" xfId="0" applyFont="1" applyFill="1" applyAlignment="1">
      <alignment horizontal="left"/>
    </xf>
    <xf numFmtId="0" fontId="15" fillId="43" borderId="0" xfId="0" applyFont="1" applyFill="1" applyAlignment="1">
      <alignment horizontal="right"/>
    </xf>
    <xf numFmtId="2" fontId="15" fillId="37" borderId="0" xfId="5" applyNumberFormat="1" applyFont="1" applyFill="1" applyBorder="1" applyAlignment="1" applyProtection="1">
      <alignment horizontal="right"/>
    </xf>
    <xf numFmtId="2" fontId="15" fillId="33" borderId="0" xfId="5" applyNumberFormat="1" applyFont="1" applyFill="1" applyBorder="1" applyAlignment="1" applyProtection="1">
      <alignment horizontal="right"/>
    </xf>
    <xf numFmtId="2" fontId="15" fillId="36" borderId="0" xfId="5" applyNumberFormat="1" applyFont="1" applyFill="1" applyBorder="1" applyAlignment="1" applyProtection="1">
      <alignment horizontal="right"/>
    </xf>
    <xf numFmtId="0" fontId="15" fillId="37" borderId="0" xfId="0" applyFont="1" applyFill="1"/>
    <xf numFmtId="0" fontId="15" fillId="37" borderId="9" xfId="0" applyFont="1" applyFill="1" applyBorder="1"/>
    <xf numFmtId="0" fontId="15" fillId="34" borderId="0" xfId="0" applyFont="1" applyFill="1"/>
    <xf numFmtId="0" fontId="15" fillId="28" borderId="0" xfId="0" applyFont="1" applyFill="1"/>
    <xf numFmtId="0" fontId="15" fillId="44" borderId="0" xfId="0" applyFont="1" applyFill="1"/>
    <xf numFmtId="0" fontId="15" fillId="44" borderId="9" xfId="0" applyFont="1" applyFill="1" applyBorder="1"/>
    <xf numFmtId="0" fontId="15" fillId="35" borderId="0" xfId="0" applyFont="1" applyFill="1"/>
    <xf numFmtId="0" fontId="15" fillId="35" borderId="9" xfId="0" applyFont="1" applyFill="1" applyBorder="1"/>
    <xf numFmtId="0" fontId="15" fillId="45" borderId="0" xfId="0" applyFont="1" applyFill="1"/>
    <xf numFmtId="0" fontId="15" fillId="45" borderId="9" xfId="0" applyFont="1" applyFill="1" applyBorder="1"/>
    <xf numFmtId="0" fontId="15" fillId="46" borderId="0" xfId="0" applyFont="1" applyFill="1"/>
    <xf numFmtId="0" fontId="15" fillId="46" borderId="9" xfId="0" applyFont="1" applyFill="1" applyBorder="1"/>
    <xf numFmtId="0" fontId="15" fillId="28" borderId="9" xfId="0" applyFont="1" applyFill="1" applyBorder="1"/>
    <xf numFmtId="0" fontId="15" fillId="47" borderId="0" xfId="0" applyFont="1" applyFill="1"/>
    <xf numFmtId="0" fontId="15" fillId="48" borderId="0" xfId="0" applyFont="1" applyFill="1"/>
    <xf numFmtId="0" fontId="15" fillId="48" borderId="9" xfId="0" applyFont="1" applyFill="1" applyBorder="1"/>
    <xf numFmtId="0" fontId="16" fillId="0" borderId="0" xfId="0" applyFont="1"/>
    <xf numFmtId="0" fontId="17" fillId="0" borderId="0" xfId="0" applyFont="1"/>
    <xf numFmtId="0" fontId="16" fillId="10" borderId="0" xfId="0" applyFont="1" applyFill="1"/>
    <xf numFmtId="0" fontId="17" fillId="10" borderId="0" xfId="0" applyFont="1" applyFill="1"/>
    <xf numFmtId="0" fontId="17" fillId="10" borderId="0" xfId="0" applyFont="1" applyFill="1" applyAlignment="1">
      <alignment horizontal="right"/>
    </xf>
    <xf numFmtId="1" fontId="17" fillId="10" borderId="0" xfId="0" applyNumberFormat="1" applyFont="1" applyFill="1"/>
    <xf numFmtId="2" fontId="4" fillId="39" borderId="0" xfId="5" applyNumberFormat="1" applyFont="1" applyFill="1" applyBorder="1" applyAlignment="1" applyProtection="1">
      <alignment horizontal="right"/>
    </xf>
    <xf numFmtId="0" fontId="15" fillId="33" borderId="7" xfId="0" applyFont="1" applyFill="1" applyBorder="1" applyAlignment="1">
      <alignment horizontal="right"/>
    </xf>
  </cellXfs>
  <cellStyles count="11">
    <cellStyle name="Assumption" xfId="1" xr:uid="{00000000-0005-0000-0000-000006000000}"/>
    <cellStyle name="Bad" xfId="10" builtinId="27"/>
    <cellStyle name="Excel Built-in Bad" xfId="8" xr:uid="{00000000-0005-0000-0000-00000D000000}"/>
    <cellStyle name="Excel Built-in Good" xfId="7" xr:uid="{00000000-0005-0000-0000-00000C000000}"/>
    <cellStyle name="Excel Built-in Input" xfId="5" xr:uid="{00000000-0005-0000-0000-00000A000000}"/>
    <cellStyle name="Excel Built-in Neutral" xfId="6" xr:uid="{00000000-0005-0000-0000-00000B000000}"/>
    <cellStyle name="Excel Built-in Output" xfId="4" xr:uid="{00000000-0005-0000-0000-000009000000}"/>
    <cellStyle name="Normal" xfId="0" builtinId="0"/>
    <cellStyle name="Normal 2" xfId="2" xr:uid="{00000000-0005-0000-0000-000007000000}"/>
    <cellStyle name="Percent" xfId="9" builtinId="5"/>
    <cellStyle name="Percent 2" xfId="3" xr:uid="{00000000-0005-0000-0000-000008000000}"/>
  </cellStyles>
  <dxfs count="23"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7F7F7F"/>
      <rgbColor rgb="FFDAE3F3"/>
      <rgbColor rgb="FF993366"/>
      <rgbColor rgb="FFFFFFC5"/>
      <rgbColor rgb="FFE2F0D9"/>
      <rgbColor rgb="FF660066"/>
      <rgbColor rgb="FFFBE5D6"/>
      <rgbColor rgb="FF236194"/>
      <rgbColor rgb="FFE1BEE7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CE6F2"/>
      <rgbColor rgb="FFC6EFCE"/>
      <rgbColor rgb="FFFFEB9C"/>
      <rgbColor rgb="FFC5E0B4"/>
      <rgbColor rgb="FFFFC7CE"/>
      <rgbColor rgb="FFFFCCFF"/>
      <rgbColor rgb="FFFFCC99"/>
      <rgbColor rgb="FF3366FF"/>
      <rgbColor rgb="FF33CCCC"/>
      <rgbColor rgb="FFF2F2F2"/>
      <rgbColor rgb="FFF8CBAD"/>
      <rgbColor rgb="FFFF9900"/>
      <rgbColor rgb="FFFF6600"/>
      <rgbColor rgb="FF595959"/>
      <rgbColor rgb="FFEDEDED"/>
      <rgbColor rgb="FF003366"/>
      <rgbColor rgb="FF339966"/>
      <rgbColor rgb="FF003300"/>
      <rgbColor rgb="FF333300"/>
      <rgbColor rgb="FF9C57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/>
              <a:t>Solar 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parameters!$A$238</c:f>
              <c:strCache>
                <c:ptCount val="1"/>
                <c:pt idx="0">
                  <c:v>HIGH_PMR1b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parameters!$E$252:$AO$252</c:f>
              <c:numCache>
                <c:formatCode>0</c:formatCode>
                <c:ptCount val="36"/>
                <c:pt idx="0">
                  <c:v>20989.946593448418</c:v>
                </c:pt>
                <c:pt idx="1">
                  <c:v>20580.410789570196</c:v>
                </c:pt>
                <c:pt idx="2">
                  <c:v>20152.468882146732</c:v>
                </c:pt>
                <c:pt idx="3">
                  <c:v>19692.316293519409</c:v>
                </c:pt>
                <c:pt idx="4">
                  <c:v>19186.148446029409</c:v>
                </c:pt>
                <c:pt idx="5">
                  <c:v>18702.988227970793</c:v>
                </c:pt>
                <c:pt idx="6">
                  <c:v>18463.708881884555</c:v>
                </c:pt>
                <c:pt idx="7">
                  <c:v>18238.234113457227</c:v>
                </c:pt>
                <c:pt idx="8">
                  <c:v>18008.157819143566</c:v>
                </c:pt>
                <c:pt idx="9">
                  <c:v>17801.089154261288</c:v>
                </c:pt>
                <c:pt idx="10">
                  <c:v>17589.418963492673</c:v>
                </c:pt>
                <c:pt idx="11">
                  <c:v>17359.342669179008</c:v>
                </c:pt>
                <c:pt idx="12">
                  <c:v>17133.867900751684</c:v>
                </c:pt>
                <c:pt idx="13">
                  <c:v>16931.400761755645</c:v>
                </c:pt>
                <c:pt idx="14">
                  <c:v>16705.925993328314</c:v>
                </c:pt>
                <c:pt idx="15">
                  <c:v>16482.856997446139</c:v>
                </c:pt>
                <c:pt idx="16">
                  <c:v>16234.571297701525</c:v>
                </c:pt>
                <c:pt idx="17">
                  <c:v>15986.28559795691</c:v>
                </c:pt>
                <c:pt idx="18">
                  <c:v>15737.999898212296</c:v>
                </c:pt>
                <c:pt idx="19">
                  <c:v>15489.714198467682</c:v>
                </c:pt>
                <c:pt idx="20">
                  <c:v>15241.428498723068</c:v>
                </c:pt>
                <c:pt idx="21">
                  <c:v>14993.142798978453</c:v>
                </c:pt>
                <c:pt idx="22">
                  <c:v>14744.857099233839</c:v>
                </c:pt>
                <c:pt idx="23">
                  <c:v>14496.571399489225</c:v>
                </c:pt>
                <c:pt idx="24">
                  <c:v>14248.285699744611</c:v>
                </c:pt>
                <c:pt idx="25">
                  <c:v>14000</c:v>
                </c:pt>
                <c:pt idx="26">
                  <c:v>14000</c:v>
                </c:pt>
                <c:pt idx="27">
                  <c:v>14000</c:v>
                </c:pt>
                <c:pt idx="28">
                  <c:v>14000</c:v>
                </c:pt>
                <c:pt idx="29">
                  <c:v>14000</c:v>
                </c:pt>
                <c:pt idx="30">
                  <c:v>14000</c:v>
                </c:pt>
                <c:pt idx="31">
                  <c:v>14000</c:v>
                </c:pt>
                <c:pt idx="32">
                  <c:v>14000</c:v>
                </c:pt>
                <c:pt idx="33">
                  <c:v>14000</c:v>
                </c:pt>
                <c:pt idx="34">
                  <c:v>14000</c:v>
                </c:pt>
                <c:pt idx="35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C-4EB3-89CE-274D6D6ABD3F}"/>
            </c:ext>
          </c:extLst>
        </c:ser>
        <c:ser>
          <c:idx val="1"/>
          <c:order val="1"/>
          <c:tx>
            <c:strRef>
              <c:f>parameters!$A$255</c:f>
              <c:strCache>
                <c:ptCount val="1"/>
                <c:pt idx="0">
                  <c:v>BASE_PMR1b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parameters!$F$269:$AO$269</c:f>
              <c:numCache>
                <c:formatCode>0</c:formatCode>
                <c:ptCount val="36"/>
                <c:pt idx="0">
                  <c:v>18799.956877616733</c:v>
                </c:pt>
                <c:pt idx="1">
                  <c:v>18178.059213255543</c:v>
                </c:pt>
                <c:pt idx="2">
                  <c:v>17556.147030108714</c:v>
                </c:pt>
                <c:pt idx="3">
                  <c:v>16934.234846961979</c:v>
                </c:pt>
                <c:pt idx="4">
                  <c:v>16312.337182600793</c:v>
                </c:pt>
                <c:pt idx="5">
                  <c:v>15690.42499945396</c:v>
                </c:pt>
                <c:pt idx="6">
                  <c:v>15392.891525210296</c:v>
                </c:pt>
                <c:pt idx="7">
                  <c:v>15095.358050966732</c:v>
                </c:pt>
                <c:pt idx="8">
                  <c:v>14797.824576723069</c:v>
                </c:pt>
                <c:pt idx="9">
                  <c:v>14500.291102479407</c:v>
                </c:pt>
                <c:pt idx="10">
                  <c:v>14202.757628235744</c:v>
                </c:pt>
                <c:pt idx="11">
                  <c:v>13977.005030225941</c:v>
                </c:pt>
                <c:pt idx="12">
                  <c:v>13751.237913430496</c:v>
                </c:pt>
                <c:pt idx="13">
                  <c:v>13525.470796635049</c:v>
                </c:pt>
                <c:pt idx="14">
                  <c:v>13299.718198625247</c:v>
                </c:pt>
                <c:pt idx="15">
                  <c:v>13073.951081829802</c:v>
                </c:pt>
                <c:pt idx="16">
                  <c:v>12937.024414402276</c:v>
                </c:pt>
                <c:pt idx="17">
                  <c:v>12800.083228189109</c:v>
                </c:pt>
                <c:pt idx="18">
                  <c:v>12663.142041975942</c:v>
                </c:pt>
                <c:pt idx="19">
                  <c:v>12526.215374548417</c:v>
                </c:pt>
                <c:pt idx="20">
                  <c:v>12389.274188335346</c:v>
                </c:pt>
                <c:pt idx="21">
                  <c:v>12280.528483846732</c:v>
                </c:pt>
                <c:pt idx="22">
                  <c:v>12171.768260572475</c:v>
                </c:pt>
                <c:pt idx="23">
                  <c:v>12063.022556083861</c:v>
                </c:pt>
                <c:pt idx="24">
                  <c:v>11954.262332809603</c:v>
                </c:pt>
                <c:pt idx="25">
                  <c:v>11845.516628320991</c:v>
                </c:pt>
                <c:pt idx="26">
                  <c:v>11845.516628320991</c:v>
                </c:pt>
                <c:pt idx="27">
                  <c:v>11845.516628320991</c:v>
                </c:pt>
                <c:pt idx="28">
                  <c:v>11845.516628320991</c:v>
                </c:pt>
                <c:pt idx="29">
                  <c:v>11845.516628320991</c:v>
                </c:pt>
                <c:pt idx="30">
                  <c:v>11845.516628320991</c:v>
                </c:pt>
                <c:pt idx="31">
                  <c:v>11845.516628320991</c:v>
                </c:pt>
                <c:pt idx="32">
                  <c:v>11845.516628320991</c:v>
                </c:pt>
                <c:pt idx="33">
                  <c:v>11845.516628320991</c:v>
                </c:pt>
                <c:pt idx="34">
                  <c:v>11845.516628320991</c:v>
                </c:pt>
                <c:pt idx="35">
                  <c:v>11845.516628320991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FC-4EB3-89CE-274D6D6ABD3F}"/>
            </c:ext>
          </c:extLst>
        </c:ser>
        <c:ser>
          <c:idx val="2"/>
          <c:order val="2"/>
          <c:tx>
            <c:strRef>
              <c:f>parameters!$A$272</c:f>
              <c:strCache>
                <c:ptCount val="1"/>
                <c:pt idx="0">
                  <c:v>LOW_PMR1b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parameters!$F$286:$AO$286</c:f>
              <c:numCache>
                <c:formatCode>0</c:formatCode>
                <c:ptCount val="36"/>
                <c:pt idx="0">
                  <c:v>16403.724052025744</c:v>
                </c:pt>
                <c:pt idx="1">
                  <c:v>15891.28139650891</c:v>
                </c:pt>
                <c:pt idx="2">
                  <c:v>15349.556303534058</c:v>
                </c:pt>
                <c:pt idx="3">
                  <c:v>14767.567859054356</c:v>
                </c:pt>
                <c:pt idx="4">
                  <c:v>14167.277891163269</c:v>
                </c:pt>
                <c:pt idx="5">
                  <c:v>13588.949751365742</c:v>
                </c:pt>
                <c:pt idx="6">
                  <c:v>13263.182634644356</c:v>
                </c:pt>
                <c:pt idx="7">
                  <c:v>12963.037650698812</c:v>
                </c:pt>
                <c:pt idx="8">
                  <c:v>12655.572057388812</c:v>
                </c:pt>
                <c:pt idx="9">
                  <c:v>12370.068292172278</c:v>
                </c:pt>
                <c:pt idx="10">
                  <c:v>12062.602698862278</c:v>
                </c:pt>
                <c:pt idx="11">
                  <c:v>11784.419543010297</c:v>
                </c:pt>
                <c:pt idx="12">
                  <c:v>11509.896691840595</c:v>
                </c:pt>
                <c:pt idx="13">
                  <c:v>11235.373840670891</c:v>
                </c:pt>
                <c:pt idx="14">
                  <c:v>10935.228856725345</c:v>
                </c:pt>
                <c:pt idx="15">
                  <c:v>10644.362067558219</c:v>
                </c:pt>
                <c:pt idx="16">
                  <c:v>10644.362067558219</c:v>
                </c:pt>
                <c:pt idx="17">
                  <c:v>10644.362067558219</c:v>
                </c:pt>
                <c:pt idx="18">
                  <c:v>10644.362067558219</c:v>
                </c:pt>
                <c:pt idx="19">
                  <c:v>10644.362067558219</c:v>
                </c:pt>
                <c:pt idx="20">
                  <c:v>10644.362067558219</c:v>
                </c:pt>
                <c:pt idx="21">
                  <c:v>10644.362067558219</c:v>
                </c:pt>
                <c:pt idx="22">
                  <c:v>10644.362067558219</c:v>
                </c:pt>
                <c:pt idx="23">
                  <c:v>10644.362067558219</c:v>
                </c:pt>
                <c:pt idx="24">
                  <c:v>10644.362067558219</c:v>
                </c:pt>
                <c:pt idx="25">
                  <c:v>10644.362067558219</c:v>
                </c:pt>
                <c:pt idx="26">
                  <c:v>10644.362067558219</c:v>
                </c:pt>
                <c:pt idx="27">
                  <c:v>10644.362067558219</c:v>
                </c:pt>
                <c:pt idx="28">
                  <c:v>10644.362067558219</c:v>
                </c:pt>
                <c:pt idx="29">
                  <c:v>10644.362067558219</c:v>
                </c:pt>
                <c:pt idx="30">
                  <c:v>10644.362067558219</c:v>
                </c:pt>
                <c:pt idx="31">
                  <c:v>10644.362067558219</c:v>
                </c:pt>
                <c:pt idx="32">
                  <c:v>10644.362067558219</c:v>
                </c:pt>
                <c:pt idx="33">
                  <c:v>10644.362067558219</c:v>
                </c:pt>
                <c:pt idx="34">
                  <c:v>10644.362067558219</c:v>
                </c:pt>
                <c:pt idx="35">
                  <c:v>10644.362067558219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FC-4EB3-89CE-274D6D6ABD3F}"/>
            </c:ext>
          </c:extLst>
        </c:ser>
        <c:ser>
          <c:idx val="3"/>
          <c:order val="3"/>
          <c:tx>
            <c:strRef>
              <c:f>parameters!$A$214</c:f>
              <c:strCache>
                <c:ptCount val="1"/>
                <c:pt idx="0">
                  <c:v>HIGH_PMR1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parameters!$F$219:$AO$219</c:f>
              <c:numCache>
                <c:formatCode>General</c:formatCode>
                <c:ptCount val="36"/>
                <c:pt idx="0">
                  <c:v>20990</c:v>
                </c:pt>
                <c:pt idx="1">
                  <c:v>20580</c:v>
                </c:pt>
                <c:pt idx="2">
                  <c:v>20152</c:v>
                </c:pt>
                <c:pt idx="3">
                  <c:v>19692</c:v>
                </c:pt>
                <c:pt idx="4">
                  <c:v>19186</c:v>
                </c:pt>
                <c:pt idx="5">
                  <c:v>18703</c:v>
                </c:pt>
                <c:pt idx="6">
                  <c:v>18464</c:v>
                </c:pt>
                <c:pt idx="7">
                  <c:v>18238</c:v>
                </c:pt>
                <c:pt idx="8">
                  <c:v>18008</c:v>
                </c:pt>
                <c:pt idx="9">
                  <c:v>17801</c:v>
                </c:pt>
                <c:pt idx="10">
                  <c:v>17589</c:v>
                </c:pt>
                <c:pt idx="11">
                  <c:v>17359</c:v>
                </c:pt>
                <c:pt idx="12">
                  <c:v>17134</c:v>
                </c:pt>
                <c:pt idx="13">
                  <c:v>16931</c:v>
                </c:pt>
                <c:pt idx="14">
                  <c:v>16706</c:v>
                </c:pt>
                <c:pt idx="15">
                  <c:v>16483</c:v>
                </c:pt>
                <c:pt idx="16">
                  <c:v>16235</c:v>
                </c:pt>
                <c:pt idx="17">
                  <c:v>15986</c:v>
                </c:pt>
                <c:pt idx="18">
                  <c:v>15738</c:v>
                </c:pt>
                <c:pt idx="19">
                  <c:v>15490</c:v>
                </c:pt>
                <c:pt idx="20">
                  <c:v>15241</c:v>
                </c:pt>
                <c:pt idx="21">
                  <c:v>14993</c:v>
                </c:pt>
                <c:pt idx="22">
                  <c:v>14745</c:v>
                </c:pt>
                <c:pt idx="23">
                  <c:v>14497</c:v>
                </c:pt>
                <c:pt idx="24">
                  <c:v>14248</c:v>
                </c:pt>
                <c:pt idx="25">
                  <c:v>14000</c:v>
                </c:pt>
                <c:pt idx="26">
                  <c:v>14000</c:v>
                </c:pt>
                <c:pt idx="27">
                  <c:v>14000</c:v>
                </c:pt>
                <c:pt idx="28">
                  <c:v>14000</c:v>
                </c:pt>
                <c:pt idx="29">
                  <c:v>14000</c:v>
                </c:pt>
                <c:pt idx="30">
                  <c:v>14000</c:v>
                </c:pt>
                <c:pt idx="31">
                  <c:v>14000</c:v>
                </c:pt>
                <c:pt idx="32">
                  <c:v>14000</c:v>
                </c:pt>
                <c:pt idx="33">
                  <c:v>14000</c:v>
                </c:pt>
                <c:pt idx="34">
                  <c:v>14000</c:v>
                </c:pt>
                <c:pt idx="35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CF-4EA5-940B-ECDF74A1E515}"/>
            </c:ext>
          </c:extLst>
        </c:ser>
        <c:ser>
          <c:idx val="4"/>
          <c:order val="4"/>
          <c:tx>
            <c:strRef>
              <c:f>parameters!$A$222</c:f>
              <c:strCache>
                <c:ptCount val="1"/>
                <c:pt idx="0">
                  <c:v>BASE_PMR1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parameters!$F$227:$AO$227</c:f>
              <c:numCache>
                <c:formatCode>General</c:formatCode>
                <c:ptCount val="36"/>
                <c:pt idx="0">
                  <c:v>18800</c:v>
                </c:pt>
                <c:pt idx="1">
                  <c:v>18178</c:v>
                </c:pt>
                <c:pt idx="2">
                  <c:v>17556</c:v>
                </c:pt>
                <c:pt idx="3">
                  <c:v>16934</c:v>
                </c:pt>
                <c:pt idx="4">
                  <c:v>16312</c:v>
                </c:pt>
                <c:pt idx="5">
                  <c:v>15690</c:v>
                </c:pt>
                <c:pt idx="6">
                  <c:v>15393</c:v>
                </c:pt>
                <c:pt idx="7">
                  <c:v>15095</c:v>
                </c:pt>
                <c:pt idx="8">
                  <c:v>14798</c:v>
                </c:pt>
                <c:pt idx="9">
                  <c:v>14500</c:v>
                </c:pt>
                <c:pt idx="10">
                  <c:v>14203</c:v>
                </c:pt>
                <c:pt idx="11">
                  <c:v>13977</c:v>
                </c:pt>
                <c:pt idx="12">
                  <c:v>13751</c:v>
                </c:pt>
                <c:pt idx="13">
                  <c:v>13525</c:v>
                </c:pt>
                <c:pt idx="14">
                  <c:v>13300</c:v>
                </c:pt>
                <c:pt idx="15">
                  <c:v>13074</c:v>
                </c:pt>
                <c:pt idx="16">
                  <c:v>12937</c:v>
                </c:pt>
                <c:pt idx="17">
                  <c:v>12800</c:v>
                </c:pt>
                <c:pt idx="18">
                  <c:v>12663</c:v>
                </c:pt>
                <c:pt idx="19">
                  <c:v>12526</c:v>
                </c:pt>
                <c:pt idx="20">
                  <c:v>12389</c:v>
                </c:pt>
                <c:pt idx="21">
                  <c:v>12281</c:v>
                </c:pt>
                <c:pt idx="22">
                  <c:v>12172</c:v>
                </c:pt>
                <c:pt idx="23">
                  <c:v>12063</c:v>
                </c:pt>
                <c:pt idx="24">
                  <c:v>11954</c:v>
                </c:pt>
                <c:pt idx="25">
                  <c:v>11846</c:v>
                </c:pt>
                <c:pt idx="26">
                  <c:v>11846</c:v>
                </c:pt>
                <c:pt idx="27">
                  <c:v>11846</c:v>
                </c:pt>
                <c:pt idx="28">
                  <c:v>11846</c:v>
                </c:pt>
                <c:pt idx="29">
                  <c:v>11846</c:v>
                </c:pt>
                <c:pt idx="30">
                  <c:v>11846</c:v>
                </c:pt>
                <c:pt idx="31">
                  <c:v>11846</c:v>
                </c:pt>
                <c:pt idx="32">
                  <c:v>11846</c:v>
                </c:pt>
                <c:pt idx="33">
                  <c:v>11846</c:v>
                </c:pt>
                <c:pt idx="34">
                  <c:v>11846</c:v>
                </c:pt>
                <c:pt idx="35">
                  <c:v>11846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CF-4EA5-940B-ECDF74A1E515}"/>
            </c:ext>
          </c:extLst>
        </c:ser>
        <c:ser>
          <c:idx val="5"/>
          <c:order val="5"/>
          <c:tx>
            <c:strRef>
              <c:f>parameters!$A$230</c:f>
              <c:strCache>
                <c:ptCount val="1"/>
                <c:pt idx="0">
                  <c:v>LOW_PMR1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parameters!$F$235:$AO$235</c:f>
              <c:numCache>
                <c:formatCode>General</c:formatCode>
                <c:ptCount val="36"/>
                <c:pt idx="0">
                  <c:v>16404</c:v>
                </c:pt>
                <c:pt idx="1">
                  <c:v>15891</c:v>
                </c:pt>
                <c:pt idx="2">
                  <c:v>15350</c:v>
                </c:pt>
                <c:pt idx="3">
                  <c:v>14768</c:v>
                </c:pt>
                <c:pt idx="4">
                  <c:v>14167</c:v>
                </c:pt>
                <c:pt idx="5">
                  <c:v>13589</c:v>
                </c:pt>
                <c:pt idx="6">
                  <c:v>13263</c:v>
                </c:pt>
                <c:pt idx="7">
                  <c:v>12963</c:v>
                </c:pt>
                <c:pt idx="8">
                  <c:v>12656</c:v>
                </c:pt>
                <c:pt idx="9">
                  <c:v>12370</c:v>
                </c:pt>
                <c:pt idx="10">
                  <c:v>12063</c:v>
                </c:pt>
                <c:pt idx="11">
                  <c:v>11784</c:v>
                </c:pt>
                <c:pt idx="12">
                  <c:v>11510</c:v>
                </c:pt>
                <c:pt idx="13">
                  <c:v>11235</c:v>
                </c:pt>
                <c:pt idx="14">
                  <c:v>10935</c:v>
                </c:pt>
                <c:pt idx="15">
                  <c:v>10644</c:v>
                </c:pt>
                <c:pt idx="16">
                  <c:v>10644</c:v>
                </c:pt>
                <c:pt idx="17">
                  <c:v>10644</c:v>
                </c:pt>
                <c:pt idx="18">
                  <c:v>10644</c:v>
                </c:pt>
                <c:pt idx="19">
                  <c:v>10644</c:v>
                </c:pt>
                <c:pt idx="20">
                  <c:v>10644</c:v>
                </c:pt>
                <c:pt idx="21">
                  <c:v>10644</c:v>
                </c:pt>
                <c:pt idx="22">
                  <c:v>10644</c:v>
                </c:pt>
                <c:pt idx="23">
                  <c:v>10644</c:v>
                </c:pt>
                <c:pt idx="24">
                  <c:v>10644</c:v>
                </c:pt>
                <c:pt idx="25">
                  <c:v>10644</c:v>
                </c:pt>
                <c:pt idx="26">
                  <c:v>10644</c:v>
                </c:pt>
                <c:pt idx="27">
                  <c:v>10644</c:v>
                </c:pt>
                <c:pt idx="28">
                  <c:v>10644</c:v>
                </c:pt>
                <c:pt idx="29">
                  <c:v>10644</c:v>
                </c:pt>
                <c:pt idx="30">
                  <c:v>10644</c:v>
                </c:pt>
                <c:pt idx="31">
                  <c:v>10644</c:v>
                </c:pt>
                <c:pt idx="32">
                  <c:v>10644</c:v>
                </c:pt>
                <c:pt idx="33">
                  <c:v>10644</c:v>
                </c:pt>
                <c:pt idx="34">
                  <c:v>10644</c:v>
                </c:pt>
                <c:pt idx="35">
                  <c:v>10644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CF-4EA5-940B-ECDF74A1E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71135"/>
        <c:axId val="317571615"/>
      </c:scatterChart>
      <c:valAx>
        <c:axId val="317571135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615"/>
        <c:crosses val="autoZero"/>
        <c:crossBetween val="midCat"/>
      </c:valAx>
      <c:valAx>
        <c:axId val="317571615"/>
        <c:scaling>
          <c:orientation val="minMax"/>
          <c:max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Capital cost (Rm)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/>
              <a:t>Wind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parameters!$A$238</c:f>
              <c:strCache>
                <c:ptCount val="1"/>
                <c:pt idx="0">
                  <c:v>HIGH_PMR1b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parameters!$F$250:$AO$250</c:f>
              <c:numCache>
                <c:formatCode>0</c:formatCode>
                <c:ptCount val="36"/>
                <c:pt idx="0">
                  <c:v>30005.663046127767</c:v>
                </c:pt>
                <c:pt idx="1">
                  <c:v>29621.497506937769</c:v>
                </c:pt>
                <c:pt idx="2">
                  <c:v>29237.331967747865</c:v>
                </c:pt>
                <c:pt idx="3">
                  <c:v>28853.166428557866</c:v>
                </c:pt>
                <c:pt idx="4">
                  <c:v>28469.000889367962</c:v>
                </c:pt>
                <c:pt idx="5">
                  <c:v>28084.83535017796</c:v>
                </c:pt>
                <c:pt idx="6">
                  <c:v>27896.035789141064</c:v>
                </c:pt>
                <c:pt idx="7">
                  <c:v>27706.948432239806</c:v>
                </c:pt>
                <c:pt idx="8">
                  <c:v>27517.573279474367</c:v>
                </c:pt>
                <c:pt idx="9">
                  <c:v>27327.910330844563</c:v>
                </c:pt>
                <c:pt idx="10">
                  <c:v>27137.959586350582</c:v>
                </c:pt>
                <c:pt idx="11">
                  <c:v>26947.721045992232</c:v>
                </c:pt>
                <c:pt idx="12">
                  <c:v>26757.194709769614</c:v>
                </c:pt>
                <c:pt idx="13">
                  <c:v>26566.380577682816</c:v>
                </c:pt>
                <c:pt idx="14">
                  <c:v>26375.27864973155</c:v>
                </c:pt>
                <c:pt idx="15">
                  <c:v>26183.888925916115</c:v>
                </c:pt>
                <c:pt idx="16">
                  <c:v>25992.211406236405</c:v>
                </c:pt>
                <c:pt idx="17">
                  <c:v>25800.246090692424</c:v>
                </c:pt>
                <c:pt idx="18">
                  <c:v>25607.992979284172</c:v>
                </c:pt>
                <c:pt idx="19">
                  <c:v>25415.452072011551</c:v>
                </c:pt>
                <c:pt idx="20">
                  <c:v>25222.623368874756</c:v>
                </c:pt>
                <c:pt idx="21">
                  <c:v>25029.506869873592</c:v>
                </c:pt>
                <c:pt idx="22">
                  <c:v>24836.102575008154</c:v>
                </c:pt>
                <c:pt idx="23">
                  <c:v>24642.410484278545</c:v>
                </c:pt>
                <c:pt idx="24">
                  <c:v>24448.430597684561</c:v>
                </c:pt>
                <c:pt idx="25">
                  <c:v>24254.162915226309</c:v>
                </c:pt>
                <c:pt idx="26">
                  <c:v>24254.162915226309</c:v>
                </c:pt>
                <c:pt idx="27">
                  <c:v>24254.162915226309</c:v>
                </c:pt>
                <c:pt idx="28">
                  <c:v>24254.162915226309</c:v>
                </c:pt>
                <c:pt idx="29">
                  <c:v>24254.162915226309</c:v>
                </c:pt>
                <c:pt idx="30">
                  <c:v>24254.162915226309</c:v>
                </c:pt>
                <c:pt idx="31">
                  <c:v>24254.162915226309</c:v>
                </c:pt>
                <c:pt idx="32">
                  <c:v>24254.162915226309</c:v>
                </c:pt>
                <c:pt idx="33">
                  <c:v>24254.162915226309</c:v>
                </c:pt>
                <c:pt idx="34">
                  <c:v>24254.162915226309</c:v>
                </c:pt>
                <c:pt idx="35">
                  <c:v>24254.162915226309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C-4EB3-89CE-274D6D6ABD3F}"/>
            </c:ext>
          </c:extLst>
        </c:ser>
        <c:ser>
          <c:idx val="1"/>
          <c:order val="1"/>
          <c:tx>
            <c:strRef>
              <c:f>parameters!$A$255</c:f>
              <c:strCache>
                <c:ptCount val="1"/>
                <c:pt idx="0">
                  <c:v>BASE_PMR1b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parameters!$F$267:$AO$267</c:f>
              <c:numCache>
                <c:formatCode>0</c:formatCode>
                <c:ptCount val="36"/>
                <c:pt idx="0">
                  <c:v>27763.569381969999</c:v>
                </c:pt>
                <c:pt idx="1">
                  <c:v>27221.873115390485</c:v>
                </c:pt>
                <c:pt idx="2">
                  <c:v>26655.83094918932</c:v>
                </c:pt>
                <c:pt idx="3">
                  <c:v>26047.183458650386</c:v>
                </c:pt>
                <c:pt idx="4">
                  <c:v>25377.671219057669</c:v>
                </c:pt>
                <c:pt idx="5">
                  <c:v>24738.591353991844</c:v>
                </c:pt>
                <c:pt idx="6">
                  <c:v>24422.09465891165</c:v>
                </c:pt>
                <c:pt idx="7">
                  <c:v>24123.857388547574</c:v>
                </c:pt>
                <c:pt idx="8">
                  <c:v>23819.533643278155</c:v>
                </c:pt>
                <c:pt idx="9">
                  <c:v>23545.642272535631</c:v>
                </c:pt>
                <c:pt idx="10">
                  <c:v>23265.664426887863</c:v>
                </c:pt>
                <c:pt idx="11">
                  <c:v>22961.340681618349</c:v>
                </c:pt>
                <c:pt idx="12">
                  <c:v>22663.103411254273</c:v>
                </c:pt>
                <c:pt idx="13">
                  <c:v>22395.298515417282</c:v>
                </c:pt>
                <c:pt idx="14">
                  <c:v>22097.061245053203</c:v>
                </c:pt>
                <c:pt idx="15">
                  <c:v>21802.006109178154</c:v>
                </c:pt>
                <c:pt idx="16">
                  <c:v>21802.006109178154</c:v>
                </c:pt>
                <c:pt idx="17">
                  <c:v>21802.006109178154</c:v>
                </c:pt>
                <c:pt idx="18">
                  <c:v>21802.006109178154</c:v>
                </c:pt>
                <c:pt idx="19">
                  <c:v>21802.006109178154</c:v>
                </c:pt>
                <c:pt idx="20">
                  <c:v>21802.006109178154</c:v>
                </c:pt>
                <c:pt idx="21">
                  <c:v>21802.006109178154</c:v>
                </c:pt>
                <c:pt idx="22">
                  <c:v>21802.006109178154</c:v>
                </c:pt>
                <c:pt idx="23">
                  <c:v>21802.006109178154</c:v>
                </c:pt>
                <c:pt idx="24">
                  <c:v>21802.006109178154</c:v>
                </c:pt>
                <c:pt idx="25">
                  <c:v>21802.006109178154</c:v>
                </c:pt>
                <c:pt idx="26">
                  <c:v>21802.006109178154</c:v>
                </c:pt>
                <c:pt idx="27">
                  <c:v>21802.006109178154</c:v>
                </c:pt>
                <c:pt idx="28">
                  <c:v>21802.006109178154</c:v>
                </c:pt>
                <c:pt idx="29">
                  <c:v>21802.006109178154</c:v>
                </c:pt>
                <c:pt idx="30">
                  <c:v>21802.006109178154</c:v>
                </c:pt>
                <c:pt idx="31">
                  <c:v>21802.006109178154</c:v>
                </c:pt>
                <c:pt idx="32">
                  <c:v>21802.006109178154</c:v>
                </c:pt>
                <c:pt idx="33">
                  <c:v>21802.006109178154</c:v>
                </c:pt>
                <c:pt idx="34">
                  <c:v>21802.006109178154</c:v>
                </c:pt>
                <c:pt idx="35">
                  <c:v>21802.006109178154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FC-4EB3-89CE-274D6D6ABD3F}"/>
            </c:ext>
          </c:extLst>
        </c:ser>
        <c:ser>
          <c:idx val="2"/>
          <c:order val="2"/>
          <c:tx>
            <c:strRef>
              <c:f>parameters!$A$272</c:f>
              <c:strCache>
                <c:ptCount val="1"/>
                <c:pt idx="0">
                  <c:v>LOW_PMR1b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parameters!$F$284:$AO$284</c:f>
              <c:numCache>
                <c:formatCode>0</c:formatCode>
                <c:ptCount val="36"/>
                <c:pt idx="0">
                  <c:v>25081.781633302038</c:v>
                </c:pt>
                <c:pt idx="1">
                  <c:v>24592.409849616797</c:v>
                </c:pt>
                <c:pt idx="2">
                  <c:v>24081.043828462523</c:v>
                </c:pt>
                <c:pt idx="3">
                  <c:v>23531.187891737474</c:v>
                </c:pt>
                <c:pt idx="4">
                  <c:v>22926.346361339998</c:v>
                </c:pt>
                <c:pt idx="5">
                  <c:v>22348.997627778739</c:v>
                </c:pt>
                <c:pt idx="6">
                  <c:v>22063.072540681649</c:v>
                </c:pt>
                <c:pt idx="7">
                  <c:v>21793.643131686407</c:v>
                </c:pt>
                <c:pt idx="8">
                  <c:v>21518.715163323883</c:v>
                </c:pt>
                <c:pt idx="9">
                  <c:v>21271.27999179767</c:v>
                </c:pt>
                <c:pt idx="10">
                  <c:v>21018.346260904174</c:v>
                </c:pt>
                <c:pt idx="11">
                  <c:v>20743.41829254165</c:v>
                </c:pt>
                <c:pt idx="12">
                  <c:v>20473.988883546408</c:v>
                </c:pt>
                <c:pt idx="13">
                  <c:v>20232.05227138738</c:v>
                </c:pt>
                <c:pt idx="14">
                  <c:v>19962.622862392134</c:v>
                </c:pt>
                <c:pt idx="15">
                  <c:v>19696.068213528932</c:v>
                </c:pt>
                <c:pt idx="16">
                  <c:v>19696.068213528932</c:v>
                </c:pt>
                <c:pt idx="17">
                  <c:v>19696.068213528932</c:v>
                </c:pt>
                <c:pt idx="18">
                  <c:v>19696.068213528932</c:v>
                </c:pt>
                <c:pt idx="19">
                  <c:v>19696.068213528932</c:v>
                </c:pt>
                <c:pt idx="20">
                  <c:v>19696.068213528932</c:v>
                </c:pt>
                <c:pt idx="21">
                  <c:v>19696.068213528932</c:v>
                </c:pt>
                <c:pt idx="22">
                  <c:v>19696.068213528932</c:v>
                </c:pt>
                <c:pt idx="23">
                  <c:v>19696.068213528932</c:v>
                </c:pt>
                <c:pt idx="24">
                  <c:v>19696.068213528932</c:v>
                </c:pt>
                <c:pt idx="25">
                  <c:v>19696.068213528932</c:v>
                </c:pt>
                <c:pt idx="26">
                  <c:v>19696.068213528932</c:v>
                </c:pt>
                <c:pt idx="27">
                  <c:v>19696.068213528932</c:v>
                </c:pt>
                <c:pt idx="28">
                  <c:v>19696.068213528932</c:v>
                </c:pt>
                <c:pt idx="29">
                  <c:v>19696.068213528932</c:v>
                </c:pt>
                <c:pt idx="30">
                  <c:v>19696.068213528932</c:v>
                </c:pt>
                <c:pt idx="31">
                  <c:v>19696.068213528932</c:v>
                </c:pt>
                <c:pt idx="32">
                  <c:v>19696.068213528932</c:v>
                </c:pt>
                <c:pt idx="33">
                  <c:v>19696.068213528932</c:v>
                </c:pt>
                <c:pt idx="34">
                  <c:v>19696.068213528932</c:v>
                </c:pt>
                <c:pt idx="35">
                  <c:v>19696.068213528932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FC-4EB3-89CE-274D6D6AB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71135"/>
        <c:axId val="317571615"/>
      </c:scatterChart>
      <c:valAx>
        <c:axId val="317571135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615"/>
        <c:crosses val="autoZero"/>
        <c:crossBetween val="midCat"/>
      </c:valAx>
      <c:valAx>
        <c:axId val="31757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Capital cost (Rm)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/>
              <a:t>Battery storage 4h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239080712741223"/>
          <c:y val="0.16668976765407353"/>
          <c:w val="0.47820765232364293"/>
          <c:h val="0.7218384559365244"/>
        </c:manualLayout>
      </c:layout>
      <c:scatterChart>
        <c:scatterStyle val="lineMarker"/>
        <c:varyColors val="0"/>
        <c:ser>
          <c:idx val="3"/>
          <c:order val="0"/>
          <c:tx>
            <c:v>High Published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parameters!$F$215:$AO$215</c:f>
              <c:numCache>
                <c:formatCode>General</c:formatCode>
                <c:ptCount val="36"/>
                <c:pt idx="0">
                  <c:v>23490</c:v>
                </c:pt>
                <c:pt idx="1">
                  <c:v>22830</c:v>
                </c:pt>
                <c:pt idx="2">
                  <c:v>22191</c:v>
                </c:pt>
                <c:pt idx="3">
                  <c:v>21616</c:v>
                </c:pt>
                <c:pt idx="4">
                  <c:v>21005</c:v>
                </c:pt>
                <c:pt idx="5">
                  <c:v>20419</c:v>
                </c:pt>
                <c:pt idx="6">
                  <c:v>20051</c:v>
                </c:pt>
                <c:pt idx="7">
                  <c:v>19640</c:v>
                </c:pt>
                <c:pt idx="8">
                  <c:v>19263</c:v>
                </c:pt>
                <c:pt idx="9">
                  <c:v>18896</c:v>
                </c:pt>
                <c:pt idx="10">
                  <c:v>18492</c:v>
                </c:pt>
                <c:pt idx="11">
                  <c:v>18119</c:v>
                </c:pt>
                <c:pt idx="12">
                  <c:v>17709</c:v>
                </c:pt>
                <c:pt idx="13">
                  <c:v>17336</c:v>
                </c:pt>
                <c:pt idx="14">
                  <c:v>16953</c:v>
                </c:pt>
                <c:pt idx="15">
                  <c:v>16598</c:v>
                </c:pt>
                <c:pt idx="16">
                  <c:v>16598</c:v>
                </c:pt>
                <c:pt idx="17">
                  <c:v>16598</c:v>
                </c:pt>
                <c:pt idx="18">
                  <c:v>16598</c:v>
                </c:pt>
                <c:pt idx="19">
                  <c:v>16598</c:v>
                </c:pt>
                <c:pt idx="20">
                  <c:v>16598</c:v>
                </c:pt>
                <c:pt idx="21">
                  <c:v>16598</c:v>
                </c:pt>
                <c:pt idx="22">
                  <c:v>16598</c:v>
                </c:pt>
                <c:pt idx="23">
                  <c:v>16598</c:v>
                </c:pt>
                <c:pt idx="24">
                  <c:v>16598</c:v>
                </c:pt>
                <c:pt idx="25">
                  <c:v>16598</c:v>
                </c:pt>
                <c:pt idx="26">
                  <c:v>16598</c:v>
                </c:pt>
                <c:pt idx="27">
                  <c:v>16598</c:v>
                </c:pt>
                <c:pt idx="28">
                  <c:v>16598</c:v>
                </c:pt>
                <c:pt idx="29">
                  <c:v>16598</c:v>
                </c:pt>
                <c:pt idx="30">
                  <c:v>16598</c:v>
                </c:pt>
                <c:pt idx="31">
                  <c:v>16598</c:v>
                </c:pt>
                <c:pt idx="32">
                  <c:v>16598</c:v>
                </c:pt>
                <c:pt idx="33">
                  <c:v>16598</c:v>
                </c:pt>
                <c:pt idx="34">
                  <c:v>16598</c:v>
                </c:pt>
                <c:pt idx="35">
                  <c:v>16598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B1-4D39-A5D1-5FD0E3AA3F9B}"/>
            </c:ext>
          </c:extLst>
        </c:ser>
        <c:ser>
          <c:idx val="4"/>
          <c:order val="1"/>
          <c:tx>
            <c:v>Best Est. Published</c:v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parameters!$F$223:$AO$223</c:f>
              <c:numCache>
                <c:formatCode>General</c:formatCode>
                <c:ptCount val="36"/>
                <c:pt idx="0">
                  <c:v>21318</c:v>
                </c:pt>
                <c:pt idx="1">
                  <c:v>20250</c:v>
                </c:pt>
                <c:pt idx="2">
                  <c:v>19359</c:v>
                </c:pt>
                <c:pt idx="3">
                  <c:v>18595</c:v>
                </c:pt>
                <c:pt idx="4">
                  <c:v>17956</c:v>
                </c:pt>
                <c:pt idx="5">
                  <c:v>17210</c:v>
                </c:pt>
                <c:pt idx="6">
                  <c:v>16883</c:v>
                </c:pt>
                <c:pt idx="7">
                  <c:v>16534</c:v>
                </c:pt>
                <c:pt idx="8">
                  <c:v>16227</c:v>
                </c:pt>
                <c:pt idx="9">
                  <c:v>15924</c:v>
                </c:pt>
                <c:pt idx="10">
                  <c:v>15603</c:v>
                </c:pt>
                <c:pt idx="11">
                  <c:v>15297</c:v>
                </c:pt>
                <c:pt idx="12">
                  <c:v>14997</c:v>
                </c:pt>
                <c:pt idx="13">
                  <c:v>14716</c:v>
                </c:pt>
                <c:pt idx="14">
                  <c:v>14405</c:v>
                </c:pt>
                <c:pt idx="15">
                  <c:v>14227</c:v>
                </c:pt>
                <c:pt idx="16">
                  <c:v>14227</c:v>
                </c:pt>
                <c:pt idx="17">
                  <c:v>14227</c:v>
                </c:pt>
                <c:pt idx="18">
                  <c:v>14227</c:v>
                </c:pt>
                <c:pt idx="19">
                  <c:v>14227</c:v>
                </c:pt>
                <c:pt idx="20">
                  <c:v>14227</c:v>
                </c:pt>
                <c:pt idx="21">
                  <c:v>14227</c:v>
                </c:pt>
                <c:pt idx="22">
                  <c:v>14227</c:v>
                </c:pt>
                <c:pt idx="23">
                  <c:v>14227</c:v>
                </c:pt>
                <c:pt idx="24">
                  <c:v>14227</c:v>
                </c:pt>
                <c:pt idx="25">
                  <c:v>14227</c:v>
                </c:pt>
                <c:pt idx="26">
                  <c:v>14227</c:v>
                </c:pt>
                <c:pt idx="27">
                  <c:v>14227</c:v>
                </c:pt>
                <c:pt idx="28">
                  <c:v>14227</c:v>
                </c:pt>
                <c:pt idx="29">
                  <c:v>14227</c:v>
                </c:pt>
                <c:pt idx="30">
                  <c:v>14227</c:v>
                </c:pt>
                <c:pt idx="31">
                  <c:v>14227</c:v>
                </c:pt>
                <c:pt idx="32">
                  <c:v>14227</c:v>
                </c:pt>
                <c:pt idx="33">
                  <c:v>14227</c:v>
                </c:pt>
                <c:pt idx="34">
                  <c:v>14227</c:v>
                </c:pt>
                <c:pt idx="35">
                  <c:v>14227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B1-4D39-A5D1-5FD0E3AA3F9B}"/>
            </c:ext>
          </c:extLst>
        </c:ser>
        <c:ser>
          <c:idx val="5"/>
          <c:order val="2"/>
          <c:tx>
            <c:v>Low Published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parameters!$F$231:$AO$231</c:f>
              <c:numCache>
                <c:formatCode>General</c:formatCode>
                <c:ptCount val="36"/>
                <c:pt idx="0">
                  <c:v>19146</c:v>
                </c:pt>
                <c:pt idx="1">
                  <c:v>17669</c:v>
                </c:pt>
                <c:pt idx="2">
                  <c:v>16526</c:v>
                </c:pt>
                <c:pt idx="3">
                  <c:v>15573</c:v>
                </c:pt>
                <c:pt idx="4">
                  <c:v>14906</c:v>
                </c:pt>
                <c:pt idx="5">
                  <c:v>14001</c:v>
                </c:pt>
                <c:pt idx="6">
                  <c:v>13715</c:v>
                </c:pt>
                <c:pt idx="7">
                  <c:v>13429</c:v>
                </c:pt>
                <c:pt idx="8">
                  <c:v>13191</c:v>
                </c:pt>
                <c:pt idx="9">
                  <c:v>12952</c:v>
                </c:pt>
                <c:pt idx="10">
                  <c:v>12714</c:v>
                </c:pt>
                <c:pt idx="11">
                  <c:v>12476</c:v>
                </c:pt>
                <c:pt idx="12">
                  <c:v>12285</c:v>
                </c:pt>
                <c:pt idx="13">
                  <c:v>12095</c:v>
                </c:pt>
                <c:pt idx="14">
                  <c:v>11856</c:v>
                </c:pt>
                <c:pt idx="15">
                  <c:v>11856</c:v>
                </c:pt>
                <c:pt idx="16">
                  <c:v>11856</c:v>
                </c:pt>
                <c:pt idx="17">
                  <c:v>11856</c:v>
                </c:pt>
                <c:pt idx="18">
                  <c:v>11856</c:v>
                </c:pt>
                <c:pt idx="19">
                  <c:v>11856</c:v>
                </c:pt>
                <c:pt idx="20">
                  <c:v>11856</c:v>
                </c:pt>
                <c:pt idx="21">
                  <c:v>11856</c:v>
                </c:pt>
                <c:pt idx="22">
                  <c:v>11856</c:v>
                </c:pt>
                <c:pt idx="23">
                  <c:v>11856</c:v>
                </c:pt>
                <c:pt idx="24">
                  <c:v>11856</c:v>
                </c:pt>
                <c:pt idx="25">
                  <c:v>11856</c:v>
                </c:pt>
                <c:pt idx="26">
                  <c:v>11856</c:v>
                </c:pt>
                <c:pt idx="27">
                  <c:v>11856</c:v>
                </c:pt>
                <c:pt idx="28">
                  <c:v>11856</c:v>
                </c:pt>
                <c:pt idx="29">
                  <c:v>11856</c:v>
                </c:pt>
                <c:pt idx="30">
                  <c:v>11856</c:v>
                </c:pt>
                <c:pt idx="31">
                  <c:v>11856</c:v>
                </c:pt>
                <c:pt idx="32">
                  <c:v>11856</c:v>
                </c:pt>
                <c:pt idx="33">
                  <c:v>11856</c:v>
                </c:pt>
                <c:pt idx="34">
                  <c:v>11856</c:v>
                </c:pt>
                <c:pt idx="35">
                  <c:v>11856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B1-4D39-A5D1-5FD0E3AA3F9B}"/>
            </c:ext>
          </c:extLst>
        </c:ser>
        <c:ser>
          <c:idx val="0"/>
          <c:order val="3"/>
          <c:tx>
            <c:v>High Update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parameters!$F$239:$AO$239</c:f>
              <c:numCache>
                <c:formatCode>0</c:formatCode>
                <c:ptCount val="36"/>
                <c:pt idx="0">
                  <c:v>23490</c:v>
                </c:pt>
                <c:pt idx="1">
                  <c:v>20185.076946465</c:v>
                </c:pt>
                <c:pt idx="2">
                  <c:v>17988.3</c:v>
                </c:pt>
                <c:pt idx="3">
                  <c:v>16828.7048952523</c:v>
                </c:pt>
                <c:pt idx="4">
                  <c:v>15995.9016477448</c:v>
                </c:pt>
                <c:pt idx="5">
                  <c:v>15535.3499999999</c:v>
                </c:pt>
                <c:pt idx="6">
                  <c:v>15288.7053937117</c:v>
                </c:pt>
                <c:pt idx="7">
                  <c:v>15067.4126715444</c:v>
                </c:pt>
                <c:pt idx="8">
                  <c:v>14871.615677476801</c:v>
                </c:pt>
                <c:pt idx="9">
                  <c:v>14701.4582554875</c:v>
                </c:pt>
                <c:pt idx="10">
                  <c:v>14557.084249555101</c:v>
                </c:pt>
                <c:pt idx="11">
                  <c:v>14438.637503658299</c:v>
                </c:pt>
                <c:pt idx="12">
                  <c:v>14346.2618617757</c:v>
                </c:pt>
                <c:pt idx="13">
                  <c:v>14280.1011678861</c:v>
                </c:pt>
                <c:pt idx="14">
                  <c:v>14240.2992659679</c:v>
                </c:pt>
                <c:pt idx="15">
                  <c:v>14227</c:v>
                </c:pt>
                <c:pt idx="16">
                  <c:v>14227</c:v>
                </c:pt>
                <c:pt idx="17">
                  <c:v>14227</c:v>
                </c:pt>
                <c:pt idx="18">
                  <c:v>14227</c:v>
                </c:pt>
                <c:pt idx="19">
                  <c:v>14227</c:v>
                </c:pt>
                <c:pt idx="20">
                  <c:v>14227</c:v>
                </c:pt>
                <c:pt idx="21">
                  <c:v>14227</c:v>
                </c:pt>
                <c:pt idx="22">
                  <c:v>14227</c:v>
                </c:pt>
                <c:pt idx="23">
                  <c:v>14227</c:v>
                </c:pt>
                <c:pt idx="24">
                  <c:v>14227</c:v>
                </c:pt>
                <c:pt idx="25">
                  <c:v>14227</c:v>
                </c:pt>
                <c:pt idx="26">
                  <c:v>14227</c:v>
                </c:pt>
                <c:pt idx="27">
                  <c:v>14227</c:v>
                </c:pt>
                <c:pt idx="28">
                  <c:v>14227</c:v>
                </c:pt>
                <c:pt idx="29">
                  <c:v>14227</c:v>
                </c:pt>
                <c:pt idx="30">
                  <c:v>14227</c:v>
                </c:pt>
                <c:pt idx="31">
                  <c:v>14227</c:v>
                </c:pt>
                <c:pt idx="32">
                  <c:v>14227</c:v>
                </c:pt>
                <c:pt idx="33">
                  <c:v>14227</c:v>
                </c:pt>
                <c:pt idx="34">
                  <c:v>14227</c:v>
                </c:pt>
                <c:pt idx="35">
                  <c:v>14227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C-4EB3-89CE-274D6D6ABD3F}"/>
            </c:ext>
          </c:extLst>
        </c:ser>
        <c:ser>
          <c:idx val="1"/>
          <c:order val="4"/>
          <c:tx>
            <c:v>Best Est. Update</c:v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parameters!$F$256:$AO$256</c:f>
              <c:numCache>
                <c:formatCode>0</c:formatCode>
                <c:ptCount val="36"/>
                <c:pt idx="0">
                  <c:v>21318</c:v>
                </c:pt>
                <c:pt idx="1">
                  <c:v>18406.305025068199</c:v>
                </c:pt>
                <c:pt idx="2">
                  <c:v>16353</c:v>
                </c:pt>
                <c:pt idx="3">
                  <c:v>15102.0827746988</c:v>
                </c:pt>
                <c:pt idx="4">
                  <c:v>14161.236282913</c:v>
                </c:pt>
                <c:pt idx="5">
                  <c:v>13580.97</c:v>
                </c:pt>
                <c:pt idx="6">
                  <c:v>13216.2001586768</c:v>
                </c:pt>
                <c:pt idx="7">
                  <c:v>12887.786729556499</c:v>
                </c:pt>
                <c:pt idx="8">
                  <c:v>12595.1547948399</c:v>
                </c:pt>
                <c:pt idx="9">
                  <c:v>12337.729436727799</c:v>
                </c:pt>
                <c:pt idx="10">
                  <c:v>12114.9357374212</c:v>
                </c:pt>
                <c:pt idx="11">
                  <c:v>11926.198779120899</c:v>
                </c:pt>
                <c:pt idx="12">
                  <c:v>11770.9436440278</c:v>
                </c:pt>
                <c:pt idx="13">
                  <c:v>11648.595414342601</c:v>
                </c:pt>
                <c:pt idx="14">
                  <c:v>11558.5791722664</c:v>
                </c:pt>
                <c:pt idx="15">
                  <c:v>11500.32</c:v>
                </c:pt>
                <c:pt idx="16">
                  <c:v>11459.1970959313</c:v>
                </c:pt>
                <c:pt idx="17">
                  <c:v>11421.167005916201</c:v>
                </c:pt>
                <c:pt idx="18">
                  <c:v>11386.520833356801</c:v>
                </c:pt>
                <c:pt idx="19">
                  <c:v>11355.549681655701</c:v>
                </c:pt>
                <c:pt idx="20">
                  <c:v>11328.544654215</c:v>
                </c:pt>
                <c:pt idx="21">
                  <c:v>11305.7968544371</c:v>
                </c:pt>
                <c:pt idx="22">
                  <c:v>11287.597385724301</c:v>
                </c:pt>
                <c:pt idx="23">
                  <c:v>11274.237351479</c:v>
                </c:pt>
                <c:pt idx="24">
                  <c:v>11266.0078551034</c:v>
                </c:pt>
                <c:pt idx="25">
                  <c:v>11263.199999999901</c:v>
                </c:pt>
                <c:pt idx="26">
                  <c:v>11263.199999999901</c:v>
                </c:pt>
                <c:pt idx="27">
                  <c:v>11263.199999999901</c:v>
                </c:pt>
                <c:pt idx="28">
                  <c:v>11263.199999999901</c:v>
                </c:pt>
                <c:pt idx="29">
                  <c:v>11263.199999999901</c:v>
                </c:pt>
                <c:pt idx="30">
                  <c:v>11263.199999999901</c:v>
                </c:pt>
                <c:pt idx="31">
                  <c:v>11263.199999999901</c:v>
                </c:pt>
                <c:pt idx="32">
                  <c:v>11263.199999999901</c:v>
                </c:pt>
                <c:pt idx="33">
                  <c:v>11263.199999999901</c:v>
                </c:pt>
                <c:pt idx="34">
                  <c:v>11263.199999999901</c:v>
                </c:pt>
                <c:pt idx="35">
                  <c:v>11263.199999999901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FC-4EB3-89CE-274D6D6ABD3F}"/>
            </c:ext>
          </c:extLst>
        </c:ser>
        <c:ser>
          <c:idx val="2"/>
          <c:order val="5"/>
          <c:tx>
            <c:v>Low Update</c:v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parameters!$F$1:$AO$1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parameters!$F$273:$AO$273</c:f>
              <c:numCache>
                <c:formatCode>0</c:formatCode>
                <c:ptCount val="36"/>
                <c:pt idx="0">
                  <c:v>19146</c:v>
                </c:pt>
                <c:pt idx="1">
                  <c:v>16620.9058450253</c:v>
                </c:pt>
                <c:pt idx="2">
                  <c:v>14717.7</c:v>
                </c:pt>
                <c:pt idx="3">
                  <c:v>13377.426531880301</c:v>
                </c:pt>
                <c:pt idx="4">
                  <c:v>12311.037983828301</c:v>
                </c:pt>
                <c:pt idx="5">
                  <c:v>11620.83</c:v>
                </c:pt>
                <c:pt idx="6">
                  <c:v>11175.960033772901</c:v>
                </c:pt>
                <c:pt idx="7">
                  <c:v>10776.2526326116</c:v>
                </c:pt>
                <c:pt idx="8">
                  <c:v>10420.004081802001</c:v>
                </c:pt>
                <c:pt idx="9">
                  <c:v>10105.5106666299</c:v>
                </c:pt>
                <c:pt idx="10">
                  <c:v>9831.0686723814797</c:v>
                </c:pt>
                <c:pt idx="11">
                  <c:v>9594.9743843424694</c:v>
                </c:pt>
                <c:pt idx="12">
                  <c:v>9395.5240877988799</c:v>
                </c:pt>
                <c:pt idx="13">
                  <c:v>9231.0140680366494</c:v>
                </c:pt>
                <c:pt idx="14">
                  <c:v>9099.7406103416997</c:v>
                </c:pt>
                <c:pt idx="15">
                  <c:v>9000</c:v>
                </c:pt>
                <c:pt idx="16">
                  <c:v>8917.4089058284699</c:v>
                </c:pt>
                <c:pt idx="17">
                  <c:v>8839.3701227906804</c:v>
                </c:pt>
                <c:pt idx="18">
                  <c:v>8766.8591253924205</c:v>
                </c:pt>
                <c:pt idx="19">
                  <c:v>8700.8513881395102</c:v>
                </c:pt>
                <c:pt idx="20">
                  <c:v>8642.3223855377692</c:v>
                </c:pt>
                <c:pt idx="21">
                  <c:v>8592.2475920930101</c:v>
                </c:pt>
                <c:pt idx="22">
                  <c:v>8551.6024823110292</c:v>
                </c:pt>
                <c:pt idx="23">
                  <c:v>8521.3625306976701</c:v>
                </c:pt>
                <c:pt idx="24">
                  <c:v>8502.5032117587107</c:v>
                </c:pt>
                <c:pt idx="25">
                  <c:v>8496</c:v>
                </c:pt>
                <c:pt idx="26">
                  <c:v>8496</c:v>
                </c:pt>
                <c:pt idx="27">
                  <c:v>8496</c:v>
                </c:pt>
                <c:pt idx="28">
                  <c:v>8496</c:v>
                </c:pt>
                <c:pt idx="29">
                  <c:v>8496</c:v>
                </c:pt>
                <c:pt idx="30">
                  <c:v>8496</c:v>
                </c:pt>
                <c:pt idx="31">
                  <c:v>8496</c:v>
                </c:pt>
                <c:pt idx="32">
                  <c:v>8496</c:v>
                </c:pt>
                <c:pt idx="33">
                  <c:v>8496</c:v>
                </c:pt>
                <c:pt idx="34">
                  <c:v>8496</c:v>
                </c:pt>
                <c:pt idx="35">
                  <c:v>8496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FC-4EB3-89CE-274D6D6AB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71135"/>
        <c:axId val="317571615"/>
      </c:scatterChart>
      <c:valAx>
        <c:axId val="317571135"/>
        <c:scaling>
          <c:orientation val="minMax"/>
          <c:max val="2060"/>
          <c:min val="20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615"/>
        <c:crosses val="autoZero"/>
        <c:crossBetween val="midCat"/>
        <c:majorUnit val="10"/>
      </c:valAx>
      <c:valAx>
        <c:axId val="317571615"/>
        <c:scaling>
          <c:orientation val="minMax"/>
          <c:max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Overnight CAPEX (Rm)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71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80231350682909"/>
          <c:y val="0.3494000972524392"/>
          <c:w val="0.29319768649317096"/>
          <c:h val="0.419367389515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Cumulative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max_annual_installed!$A$23</c:f>
              <c:strCache>
                <c:ptCount val="1"/>
                <c:pt idx="0">
                  <c:v>LST_HIGH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max_annual_installed!$L$23:$AU$23</c:f>
              <c:numCache>
                <c:formatCode>General</c:formatCode>
                <c:ptCount val="36"/>
                <c:pt idx="0">
                  <c:v>5</c:v>
                </c:pt>
                <c:pt idx="1">
                  <c:v>1005</c:v>
                </c:pt>
                <c:pt idx="2">
                  <c:v>2105</c:v>
                </c:pt>
                <c:pt idx="3">
                  <c:v>3305</c:v>
                </c:pt>
                <c:pt idx="4">
                  <c:v>4605</c:v>
                </c:pt>
                <c:pt idx="5">
                  <c:v>6005</c:v>
                </c:pt>
                <c:pt idx="6">
                  <c:v>7505</c:v>
                </c:pt>
                <c:pt idx="7">
                  <c:v>9105</c:v>
                </c:pt>
                <c:pt idx="8">
                  <c:v>10805</c:v>
                </c:pt>
                <c:pt idx="9">
                  <c:v>12605</c:v>
                </c:pt>
                <c:pt idx="10">
                  <c:v>14505</c:v>
                </c:pt>
                <c:pt idx="11">
                  <c:v>16505</c:v>
                </c:pt>
                <c:pt idx="12">
                  <c:v>18605</c:v>
                </c:pt>
                <c:pt idx="13">
                  <c:v>20805</c:v>
                </c:pt>
                <c:pt idx="14">
                  <c:v>23105</c:v>
                </c:pt>
                <c:pt idx="15">
                  <c:v>25505</c:v>
                </c:pt>
                <c:pt idx="16">
                  <c:v>28005</c:v>
                </c:pt>
                <c:pt idx="17">
                  <c:v>30605</c:v>
                </c:pt>
                <c:pt idx="18">
                  <c:v>33305</c:v>
                </c:pt>
                <c:pt idx="19">
                  <c:v>36105</c:v>
                </c:pt>
                <c:pt idx="20">
                  <c:v>39005</c:v>
                </c:pt>
                <c:pt idx="21">
                  <c:v>42005</c:v>
                </c:pt>
                <c:pt idx="22">
                  <c:v>45105</c:v>
                </c:pt>
                <c:pt idx="23">
                  <c:v>48305</c:v>
                </c:pt>
                <c:pt idx="24">
                  <c:v>51605</c:v>
                </c:pt>
                <c:pt idx="25">
                  <c:v>55005</c:v>
                </c:pt>
                <c:pt idx="26">
                  <c:v>58505</c:v>
                </c:pt>
                <c:pt idx="27">
                  <c:v>62105</c:v>
                </c:pt>
                <c:pt idx="28">
                  <c:v>65805</c:v>
                </c:pt>
                <c:pt idx="29">
                  <c:v>69605</c:v>
                </c:pt>
                <c:pt idx="30">
                  <c:v>73505</c:v>
                </c:pt>
                <c:pt idx="31">
                  <c:v>77505</c:v>
                </c:pt>
                <c:pt idx="32">
                  <c:v>81605</c:v>
                </c:pt>
                <c:pt idx="33">
                  <c:v>85805</c:v>
                </c:pt>
                <c:pt idx="34">
                  <c:v>90105</c:v>
                </c:pt>
                <c:pt idx="35">
                  <c:v>94505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85-E548-8F4F-427523A573A1}"/>
            </c:ext>
          </c:extLst>
        </c:ser>
        <c:ser>
          <c:idx val="1"/>
          <c:order val="1"/>
          <c:tx>
            <c:strRef>
              <c:f>max_annual_installed!$A$46</c:f>
              <c:strCache>
                <c:ptCount val="1"/>
                <c:pt idx="0">
                  <c:v>MOD_HIGH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max_annual_installed!$L$46:$AU$46</c:f>
              <c:numCache>
                <c:formatCode>General</c:formatCode>
                <c:ptCount val="3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6100</c:v>
                </c:pt>
                <c:pt idx="7">
                  <c:v>7300</c:v>
                </c:pt>
                <c:pt idx="8">
                  <c:v>8600</c:v>
                </c:pt>
                <c:pt idx="9">
                  <c:v>10000</c:v>
                </c:pt>
                <c:pt idx="10">
                  <c:v>11500</c:v>
                </c:pt>
                <c:pt idx="11">
                  <c:v>13100</c:v>
                </c:pt>
                <c:pt idx="12">
                  <c:v>14800</c:v>
                </c:pt>
                <c:pt idx="13">
                  <c:v>16600</c:v>
                </c:pt>
                <c:pt idx="14">
                  <c:v>18500</c:v>
                </c:pt>
                <c:pt idx="15">
                  <c:v>20500</c:v>
                </c:pt>
                <c:pt idx="16">
                  <c:v>22600</c:v>
                </c:pt>
                <c:pt idx="17">
                  <c:v>24800</c:v>
                </c:pt>
                <c:pt idx="18">
                  <c:v>27100</c:v>
                </c:pt>
                <c:pt idx="19">
                  <c:v>29500</c:v>
                </c:pt>
                <c:pt idx="20">
                  <c:v>32000</c:v>
                </c:pt>
                <c:pt idx="21">
                  <c:v>34600</c:v>
                </c:pt>
                <c:pt idx="22">
                  <c:v>37300</c:v>
                </c:pt>
                <c:pt idx="23">
                  <c:v>40100</c:v>
                </c:pt>
                <c:pt idx="24">
                  <c:v>43000</c:v>
                </c:pt>
                <c:pt idx="25">
                  <c:v>46000</c:v>
                </c:pt>
                <c:pt idx="26">
                  <c:v>49100</c:v>
                </c:pt>
                <c:pt idx="27">
                  <c:v>52300</c:v>
                </c:pt>
                <c:pt idx="28">
                  <c:v>55600</c:v>
                </c:pt>
                <c:pt idx="29">
                  <c:v>59000</c:v>
                </c:pt>
                <c:pt idx="30">
                  <c:v>62500</c:v>
                </c:pt>
                <c:pt idx="31">
                  <c:v>66100</c:v>
                </c:pt>
                <c:pt idx="32">
                  <c:v>69800</c:v>
                </c:pt>
                <c:pt idx="33">
                  <c:v>73600</c:v>
                </c:pt>
                <c:pt idx="34">
                  <c:v>77500</c:v>
                </c:pt>
                <c:pt idx="35">
                  <c:v>81500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85-E548-8F4F-427523A573A1}"/>
            </c:ext>
          </c:extLst>
        </c:ser>
        <c:ser>
          <c:idx val="2"/>
          <c:order val="2"/>
          <c:tx>
            <c:strRef>
              <c:f>max_annual_installed!$A$69</c:f>
              <c:strCache>
                <c:ptCount val="1"/>
                <c:pt idx="0">
                  <c:v>MST_HIGH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max_annual_installed!$L$69:$AU$69</c:f>
              <c:numCache>
                <c:formatCode>General</c:formatCode>
                <c:ptCount val="3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11100</c:v>
                </c:pt>
                <c:pt idx="12">
                  <c:v>12300</c:v>
                </c:pt>
                <c:pt idx="13">
                  <c:v>13600</c:v>
                </c:pt>
                <c:pt idx="14">
                  <c:v>15000</c:v>
                </c:pt>
                <c:pt idx="15">
                  <c:v>16500</c:v>
                </c:pt>
                <c:pt idx="16">
                  <c:v>18100</c:v>
                </c:pt>
                <c:pt idx="17">
                  <c:v>19800</c:v>
                </c:pt>
                <c:pt idx="18">
                  <c:v>21600</c:v>
                </c:pt>
                <c:pt idx="19">
                  <c:v>23500</c:v>
                </c:pt>
                <c:pt idx="20">
                  <c:v>25500</c:v>
                </c:pt>
                <c:pt idx="21">
                  <c:v>27600</c:v>
                </c:pt>
                <c:pt idx="22">
                  <c:v>29800</c:v>
                </c:pt>
                <c:pt idx="23">
                  <c:v>32100</c:v>
                </c:pt>
                <c:pt idx="24">
                  <c:v>34500</c:v>
                </c:pt>
                <c:pt idx="25">
                  <c:v>37000</c:v>
                </c:pt>
                <c:pt idx="26">
                  <c:v>39600</c:v>
                </c:pt>
                <c:pt idx="27">
                  <c:v>42300</c:v>
                </c:pt>
                <c:pt idx="28">
                  <c:v>45100</c:v>
                </c:pt>
                <c:pt idx="29">
                  <c:v>48000</c:v>
                </c:pt>
                <c:pt idx="30">
                  <c:v>51000</c:v>
                </c:pt>
                <c:pt idx="31">
                  <c:v>54100</c:v>
                </c:pt>
                <c:pt idx="32">
                  <c:v>57300</c:v>
                </c:pt>
                <c:pt idx="33">
                  <c:v>60600</c:v>
                </c:pt>
                <c:pt idx="34">
                  <c:v>64000</c:v>
                </c:pt>
                <c:pt idx="35">
                  <c:v>67500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85-E548-8F4F-427523A57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55856"/>
        <c:axId val="644757024"/>
      </c:scatterChart>
      <c:valAx>
        <c:axId val="789055856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57024"/>
        <c:crosses val="autoZero"/>
        <c:crossBetween val="midCat"/>
      </c:valAx>
      <c:valAx>
        <c:axId val="6447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5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Cumulative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max_annual_installed!$A$24</c:f>
              <c:strCache>
                <c:ptCount val="1"/>
                <c:pt idx="0">
                  <c:v>LST_LOW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max_annual_installed!$L$24:$AU$24</c:f>
              <c:numCache>
                <c:formatCode>General</c:formatCode>
                <c:ptCount val="3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1505</c:v>
                </c:pt>
                <c:pt idx="6">
                  <c:v>3005</c:v>
                </c:pt>
                <c:pt idx="7">
                  <c:v>4505</c:v>
                </c:pt>
                <c:pt idx="8">
                  <c:v>6005</c:v>
                </c:pt>
                <c:pt idx="9">
                  <c:v>7505</c:v>
                </c:pt>
                <c:pt idx="10">
                  <c:v>9005</c:v>
                </c:pt>
                <c:pt idx="11">
                  <c:v>10505</c:v>
                </c:pt>
                <c:pt idx="12">
                  <c:v>12005</c:v>
                </c:pt>
                <c:pt idx="13">
                  <c:v>13505</c:v>
                </c:pt>
                <c:pt idx="14">
                  <c:v>15005</c:v>
                </c:pt>
                <c:pt idx="15">
                  <c:v>16505</c:v>
                </c:pt>
                <c:pt idx="16">
                  <c:v>18005</c:v>
                </c:pt>
                <c:pt idx="17">
                  <c:v>19505</c:v>
                </c:pt>
                <c:pt idx="18">
                  <c:v>21005</c:v>
                </c:pt>
                <c:pt idx="19">
                  <c:v>22505</c:v>
                </c:pt>
                <c:pt idx="20">
                  <c:v>24005</c:v>
                </c:pt>
                <c:pt idx="21">
                  <c:v>25505</c:v>
                </c:pt>
                <c:pt idx="22">
                  <c:v>27005</c:v>
                </c:pt>
                <c:pt idx="23">
                  <c:v>28505</c:v>
                </c:pt>
                <c:pt idx="24">
                  <c:v>30005</c:v>
                </c:pt>
                <c:pt idx="25">
                  <c:v>31505</c:v>
                </c:pt>
                <c:pt idx="26">
                  <c:v>33005</c:v>
                </c:pt>
                <c:pt idx="27">
                  <c:v>34505</c:v>
                </c:pt>
                <c:pt idx="28">
                  <c:v>36005</c:v>
                </c:pt>
                <c:pt idx="29">
                  <c:v>37505</c:v>
                </c:pt>
                <c:pt idx="30">
                  <c:v>39005</c:v>
                </c:pt>
                <c:pt idx="31">
                  <c:v>40505</c:v>
                </c:pt>
                <c:pt idx="32">
                  <c:v>42005</c:v>
                </c:pt>
                <c:pt idx="33">
                  <c:v>43505</c:v>
                </c:pt>
                <c:pt idx="34">
                  <c:v>45005</c:v>
                </c:pt>
                <c:pt idx="35">
                  <c:v>46505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15-504E-B664-ED491FE10CD8}"/>
            </c:ext>
          </c:extLst>
        </c:ser>
        <c:ser>
          <c:idx val="1"/>
          <c:order val="1"/>
          <c:tx>
            <c:strRef>
              <c:f>max_annual_installed!$A$47</c:f>
              <c:strCache>
                <c:ptCount val="1"/>
                <c:pt idx="0">
                  <c:v>MOD_LOW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max_annual_installed!$L$47:$AU$47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1000</c:v>
                </c:pt>
                <c:pt idx="6">
                  <c:v>2000</c:v>
                </c:pt>
                <c:pt idx="7">
                  <c:v>3000</c:v>
                </c:pt>
                <c:pt idx="8">
                  <c:v>4000</c:v>
                </c:pt>
                <c:pt idx="9">
                  <c:v>5000</c:v>
                </c:pt>
                <c:pt idx="10">
                  <c:v>6000</c:v>
                </c:pt>
                <c:pt idx="11">
                  <c:v>7000</c:v>
                </c:pt>
                <c:pt idx="12">
                  <c:v>8000</c:v>
                </c:pt>
                <c:pt idx="13">
                  <c:v>9000</c:v>
                </c:pt>
                <c:pt idx="14">
                  <c:v>10000</c:v>
                </c:pt>
                <c:pt idx="15">
                  <c:v>11000</c:v>
                </c:pt>
                <c:pt idx="16">
                  <c:v>12000</c:v>
                </c:pt>
                <c:pt idx="17">
                  <c:v>13000</c:v>
                </c:pt>
                <c:pt idx="18">
                  <c:v>14000</c:v>
                </c:pt>
                <c:pt idx="19">
                  <c:v>15000</c:v>
                </c:pt>
                <c:pt idx="20">
                  <c:v>16000</c:v>
                </c:pt>
                <c:pt idx="21">
                  <c:v>17000</c:v>
                </c:pt>
                <c:pt idx="22">
                  <c:v>18000</c:v>
                </c:pt>
                <c:pt idx="23">
                  <c:v>19000</c:v>
                </c:pt>
                <c:pt idx="24">
                  <c:v>20000</c:v>
                </c:pt>
                <c:pt idx="25">
                  <c:v>21000</c:v>
                </c:pt>
                <c:pt idx="26">
                  <c:v>22000</c:v>
                </c:pt>
                <c:pt idx="27">
                  <c:v>23000</c:v>
                </c:pt>
                <c:pt idx="28">
                  <c:v>24000</c:v>
                </c:pt>
                <c:pt idx="29">
                  <c:v>25000</c:v>
                </c:pt>
                <c:pt idx="30">
                  <c:v>26000</c:v>
                </c:pt>
                <c:pt idx="31">
                  <c:v>27000</c:v>
                </c:pt>
                <c:pt idx="32">
                  <c:v>28000</c:v>
                </c:pt>
                <c:pt idx="33">
                  <c:v>29000</c:v>
                </c:pt>
                <c:pt idx="34">
                  <c:v>30000</c:v>
                </c:pt>
                <c:pt idx="35">
                  <c:v>31000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15-504E-B664-ED491FE10CD8}"/>
            </c:ext>
          </c:extLst>
        </c:ser>
        <c:ser>
          <c:idx val="2"/>
          <c:order val="2"/>
          <c:tx>
            <c:strRef>
              <c:f>max_annual_installed!$A$70</c:f>
              <c:strCache>
                <c:ptCount val="1"/>
                <c:pt idx="0">
                  <c:v>MST_LOW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max_annual_installed!$L$70:$AU$70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500</c:v>
                </c:pt>
                <c:pt idx="6">
                  <c:v>1000</c:v>
                </c:pt>
                <c:pt idx="7">
                  <c:v>1500</c:v>
                </c:pt>
                <c:pt idx="8">
                  <c:v>2000</c:v>
                </c:pt>
                <c:pt idx="9">
                  <c:v>2500</c:v>
                </c:pt>
                <c:pt idx="10">
                  <c:v>3000</c:v>
                </c:pt>
                <c:pt idx="11">
                  <c:v>3500</c:v>
                </c:pt>
                <c:pt idx="12">
                  <c:v>4000</c:v>
                </c:pt>
                <c:pt idx="13">
                  <c:v>4500</c:v>
                </c:pt>
                <c:pt idx="14">
                  <c:v>5000</c:v>
                </c:pt>
                <c:pt idx="15">
                  <c:v>5500</c:v>
                </c:pt>
                <c:pt idx="16">
                  <c:v>6000</c:v>
                </c:pt>
                <c:pt idx="17">
                  <c:v>6500</c:v>
                </c:pt>
                <c:pt idx="18">
                  <c:v>7000</c:v>
                </c:pt>
                <c:pt idx="19">
                  <c:v>7500</c:v>
                </c:pt>
                <c:pt idx="20">
                  <c:v>8000</c:v>
                </c:pt>
                <c:pt idx="21">
                  <c:v>8500</c:v>
                </c:pt>
                <c:pt idx="22">
                  <c:v>9000</c:v>
                </c:pt>
                <c:pt idx="23">
                  <c:v>9500</c:v>
                </c:pt>
                <c:pt idx="24">
                  <c:v>10000</c:v>
                </c:pt>
                <c:pt idx="25">
                  <c:v>10500</c:v>
                </c:pt>
                <c:pt idx="26">
                  <c:v>11000</c:v>
                </c:pt>
                <c:pt idx="27">
                  <c:v>11500</c:v>
                </c:pt>
                <c:pt idx="28">
                  <c:v>12000</c:v>
                </c:pt>
                <c:pt idx="29">
                  <c:v>12500</c:v>
                </c:pt>
                <c:pt idx="30">
                  <c:v>13000</c:v>
                </c:pt>
                <c:pt idx="31">
                  <c:v>13500</c:v>
                </c:pt>
                <c:pt idx="32">
                  <c:v>14000</c:v>
                </c:pt>
                <c:pt idx="33">
                  <c:v>14500</c:v>
                </c:pt>
                <c:pt idx="34">
                  <c:v>15000</c:v>
                </c:pt>
                <c:pt idx="35">
                  <c:v>15500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15-504E-B664-ED491FE10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381952"/>
        <c:axId val="486556640"/>
      </c:scatterChart>
      <c:valAx>
        <c:axId val="419381952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56640"/>
        <c:crosses val="autoZero"/>
        <c:crossBetween val="midCat"/>
      </c:valAx>
      <c:valAx>
        <c:axId val="4865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8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Cumulative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max_annual_installed!$A$25</c:f>
              <c:strCache>
                <c:ptCount val="1"/>
                <c:pt idx="0">
                  <c:v>LST_TOT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max_annual_installed!$L$25:$AU$25</c:f>
              <c:numCache>
                <c:formatCode>General</c:formatCode>
                <c:ptCount val="36"/>
                <c:pt idx="0">
                  <c:v>10</c:v>
                </c:pt>
                <c:pt idx="1">
                  <c:v>1010</c:v>
                </c:pt>
                <c:pt idx="2">
                  <c:v>2110</c:v>
                </c:pt>
                <c:pt idx="3">
                  <c:v>3310</c:v>
                </c:pt>
                <c:pt idx="4">
                  <c:v>4610</c:v>
                </c:pt>
                <c:pt idx="5">
                  <c:v>7510</c:v>
                </c:pt>
                <c:pt idx="6">
                  <c:v>10510</c:v>
                </c:pt>
                <c:pt idx="7">
                  <c:v>13610</c:v>
                </c:pt>
                <c:pt idx="8">
                  <c:v>16810</c:v>
                </c:pt>
                <c:pt idx="9">
                  <c:v>20110</c:v>
                </c:pt>
                <c:pt idx="10">
                  <c:v>23510</c:v>
                </c:pt>
                <c:pt idx="11">
                  <c:v>27010</c:v>
                </c:pt>
                <c:pt idx="12">
                  <c:v>30610</c:v>
                </c:pt>
                <c:pt idx="13">
                  <c:v>34310</c:v>
                </c:pt>
                <c:pt idx="14">
                  <c:v>38110</c:v>
                </c:pt>
                <c:pt idx="15">
                  <c:v>42010</c:v>
                </c:pt>
                <c:pt idx="16">
                  <c:v>46010</c:v>
                </c:pt>
                <c:pt idx="17">
                  <c:v>50110</c:v>
                </c:pt>
                <c:pt idx="18">
                  <c:v>54310</c:v>
                </c:pt>
                <c:pt idx="19">
                  <c:v>58610</c:v>
                </c:pt>
                <c:pt idx="20">
                  <c:v>63010</c:v>
                </c:pt>
                <c:pt idx="21">
                  <c:v>67510</c:v>
                </c:pt>
                <c:pt idx="22">
                  <c:v>72110</c:v>
                </c:pt>
                <c:pt idx="23">
                  <c:v>76810</c:v>
                </c:pt>
                <c:pt idx="24">
                  <c:v>81610</c:v>
                </c:pt>
                <c:pt idx="25">
                  <c:v>86510</c:v>
                </c:pt>
                <c:pt idx="26">
                  <c:v>91510</c:v>
                </c:pt>
                <c:pt idx="27">
                  <c:v>96610</c:v>
                </c:pt>
                <c:pt idx="28">
                  <c:v>101810</c:v>
                </c:pt>
                <c:pt idx="29">
                  <c:v>107110</c:v>
                </c:pt>
                <c:pt idx="30">
                  <c:v>112510</c:v>
                </c:pt>
                <c:pt idx="31">
                  <c:v>118010</c:v>
                </c:pt>
                <c:pt idx="32">
                  <c:v>123610</c:v>
                </c:pt>
                <c:pt idx="33">
                  <c:v>129310</c:v>
                </c:pt>
                <c:pt idx="34">
                  <c:v>135110</c:v>
                </c:pt>
                <c:pt idx="35">
                  <c:v>141010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CD-DF40-9DA7-BCC7392D0E01}"/>
            </c:ext>
          </c:extLst>
        </c:ser>
        <c:ser>
          <c:idx val="0"/>
          <c:order val="1"/>
          <c:tx>
            <c:strRef>
              <c:f>max_annual_installed!$A$48</c:f>
              <c:strCache>
                <c:ptCount val="1"/>
                <c:pt idx="0">
                  <c:v>MOD_TOT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max_annual_installed!$B$48:$AU$48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4000</c:v>
                </c:pt>
                <c:pt idx="6">
                  <c:v>6000</c:v>
                </c:pt>
                <c:pt idx="7">
                  <c:v>8100</c:v>
                </c:pt>
                <c:pt idx="8">
                  <c:v>10300</c:v>
                </c:pt>
                <c:pt idx="9">
                  <c:v>12600</c:v>
                </c:pt>
                <c:pt idx="10">
                  <c:v>15000</c:v>
                </c:pt>
                <c:pt idx="11">
                  <c:v>17500</c:v>
                </c:pt>
                <c:pt idx="12">
                  <c:v>20100</c:v>
                </c:pt>
                <c:pt idx="13">
                  <c:v>22800</c:v>
                </c:pt>
                <c:pt idx="14">
                  <c:v>25600</c:v>
                </c:pt>
                <c:pt idx="15">
                  <c:v>28500</c:v>
                </c:pt>
                <c:pt idx="16">
                  <c:v>31500</c:v>
                </c:pt>
                <c:pt idx="17">
                  <c:v>34600</c:v>
                </c:pt>
                <c:pt idx="18">
                  <c:v>37800</c:v>
                </c:pt>
                <c:pt idx="19">
                  <c:v>41100</c:v>
                </c:pt>
                <c:pt idx="20">
                  <c:v>44500</c:v>
                </c:pt>
                <c:pt idx="21">
                  <c:v>48000</c:v>
                </c:pt>
                <c:pt idx="22">
                  <c:v>51600</c:v>
                </c:pt>
                <c:pt idx="23">
                  <c:v>55300</c:v>
                </c:pt>
                <c:pt idx="24">
                  <c:v>59100</c:v>
                </c:pt>
                <c:pt idx="25">
                  <c:v>63000</c:v>
                </c:pt>
                <c:pt idx="26">
                  <c:v>67000</c:v>
                </c:pt>
                <c:pt idx="27">
                  <c:v>71100</c:v>
                </c:pt>
                <c:pt idx="28">
                  <c:v>75300</c:v>
                </c:pt>
                <c:pt idx="29">
                  <c:v>79600</c:v>
                </c:pt>
                <c:pt idx="30">
                  <c:v>84000</c:v>
                </c:pt>
                <c:pt idx="31">
                  <c:v>88500</c:v>
                </c:pt>
                <c:pt idx="32">
                  <c:v>93100</c:v>
                </c:pt>
                <c:pt idx="33">
                  <c:v>97800</c:v>
                </c:pt>
                <c:pt idx="34">
                  <c:v>102600</c:v>
                </c:pt>
                <c:pt idx="35">
                  <c:v>107500</c:v>
                </c:pt>
                <c:pt idx="36">
                  <c:v>112500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CD-DF40-9DA7-BCC7392D0E01}"/>
            </c:ext>
          </c:extLst>
        </c:ser>
        <c:ser>
          <c:idx val="1"/>
          <c:order val="2"/>
          <c:tx>
            <c:strRef>
              <c:f>max_annual_installed!$A$71</c:f>
              <c:strCache>
                <c:ptCount val="1"/>
                <c:pt idx="0">
                  <c:v>MST_TOT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max_annual_installed!$B$71:$AU$71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4000</c:v>
                </c:pt>
                <c:pt idx="6">
                  <c:v>5500</c:v>
                </c:pt>
                <c:pt idx="7">
                  <c:v>7000</c:v>
                </c:pt>
                <c:pt idx="8">
                  <c:v>8500</c:v>
                </c:pt>
                <c:pt idx="9">
                  <c:v>10000</c:v>
                </c:pt>
                <c:pt idx="10">
                  <c:v>11500</c:v>
                </c:pt>
                <c:pt idx="11">
                  <c:v>13000</c:v>
                </c:pt>
                <c:pt idx="12">
                  <c:v>14600</c:v>
                </c:pt>
                <c:pt idx="13">
                  <c:v>16300</c:v>
                </c:pt>
                <c:pt idx="14">
                  <c:v>18100</c:v>
                </c:pt>
                <c:pt idx="15">
                  <c:v>20000</c:v>
                </c:pt>
                <c:pt idx="16">
                  <c:v>22000</c:v>
                </c:pt>
                <c:pt idx="17">
                  <c:v>24100</c:v>
                </c:pt>
                <c:pt idx="18">
                  <c:v>26300</c:v>
                </c:pt>
                <c:pt idx="19">
                  <c:v>28600</c:v>
                </c:pt>
                <c:pt idx="20">
                  <c:v>31000</c:v>
                </c:pt>
                <c:pt idx="21">
                  <c:v>33500</c:v>
                </c:pt>
                <c:pt idx="22">
                  <c:v>36100</c:v>
                </c:pt>
                <c:pt idx="23">
                  <c:v>38800</c:v>
                </c:pt>
                <c:pt idx="24">
                  <c:v>41600</c:v>
                </c:pt>
                <c:pt idx="25">
                  <c:v>44500</c:v>
                </c:pt>
                <c:pt idx="26">
                  <c:v>47500</c:v>
                </c:pt>
                <c:pt idx="27">
                  <c:v>50600</c:v>
                </c:pt>
                <c:pt idx="28">
                  <c:v>53800</c:v>
                </c:pt>
                <c:pt idx="29">
                  <c:v>57100</c:v>
                </c:pt>
                <c:pt idx="30">
                  <c:v>60500</c:v>
                </c:pt>
                <c:pt idx="31">
                  <c:v>64000</c:v>
                </c:pt>
                <c:pt idx="32">
                  <c:v>67600</c:v>
                </c:pt>
                <c:pt idx="33">
                  <c:v>71300</c:v>
                </c:pt>
                <c:pt idx="34">
                  <c:v>75100</c:v>
                </c:pt>
                <c:pt idx="35">
                  <c:v>79000</c:v>
                </c:pt>
                <c:pt idx="36">
                  <c:v>83000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CD-DF40-9DA7-BCC7392D0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669296"/>
        <c:axId val="1768248832"/>
      </c:scatterChart>
      <c:valAx>
        <c:axId val="176866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248832"/>
        <c:crosses val="autoZero"/>
        <c:crossBetween val="midCat"/>
      </c:valAx>
      <c:valAx>
        <c:axId val="176824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6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Annual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max_annual_installed!$A$6</c:f>
              <c:strCache>
                <c:ptCount val="1"/>
                <c:pt idx="0">
                  <c:v>LEAST_CNST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max_annual_installed!$L$6:$AU$6</c:f>
              <c:numCache>
                <c:formatCode>General</c:formatCode>
                <c:ptCount val="36"/>
                <c:pt idx="0">
                  <c:v>5</c:v>
                </c:pt>
                <c:pt idx="1">
                  <c:v>1000</c:v>
                </c:pt>
                <c:pt idx="2">
                  <c:v>1100</c:v>
                </c:pt>
                <c:pt idx="3">
                  <c:v>1200</c:v>
                </c:pt>
                <c:pt idx="4">
                  <c:v>1300</c:v>
                </c:pt>
                <c:pt idx="5">
                  <c:v>1400</c:v>
                </c:pt>
                <c:pt idx="6">
                  <c:v>1500</c:v>
                </c:pt>
                <c:pt idx="7">
                  <c:v>1600</c:v>
                </c:pt>
                <c:pt idx="8">
                  <c:v>1700</c:v>
                </c:pt>
                <c:pt idx="9">
                  <c:v>1800</c:v>
                </c:pt>
                <c:pt idx="10">
                  <c:v>1900</c:v>
                </c:pt>
                <c:pt idx="11">
                  <c:v>2000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2400</c:v>
                </c:pt>
                <c:pt idx="16">
                  <c:v>2500</c:v>
                </c:pt>
                <c:pt idx="17">
                  <c:v>2600</c:v>
                </c:pt>
                <c:pt idx="18">
                  <c:v>2700</c:v>
                </c:pt>
                <c:pt idx="19">
                  <c:v>2800</c:v>
                </c:pt>
                <c:pt idx="20">
                  <c:v>2900</c:v>
                </c:pt>
                <c:pt idx="21">
                  <c:v>3000</c:v>
                </c:pt>
                <c:pt idx="22">
                  <c:v>3100</c:v>
                </c:pt>
                <c:pt idx="23">
                  <c:v>3200</c:v>
                </c:pt>
                <c:pt idx="24">
                  <c:v>3300</c:v>
                </c:pt>
                <c:pt idx="25">
                  <c:v>3400</c:v>
                </c:pt>
                <c:pt idx="26">
                  <c:v>3500</c:v>
                </c:pt>
                <c:pt idx="27">
                  <c:v>3600</c:v>
                </c:pt>
                <c:pt idx="28">
                  <c:v>3700</c:v>
                </c:pt>
                <c:pt idx="29">
                  <c:v>3800</c:v>
                </c:pt>
                <c:pt idx="30">
                  <c:v>3900</c:v>
                </c:pt>
                <c:pt idx="31">
                  <c:v>4000</c:v>
                </c:pt>
                <c:pt idx="32">
                  <c:v>4100</c:v>
                </c:pt>
                <c:pt idx="33">
                  <c:v>4200</c:v>
                </c:pt>
                <c:pt idx="34">
                  <c:v>4300</c:v>
                </c:pt>
                <c:pt idx="35">
                  <c:v>4400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9-5D4D-9F58-2E7339A58D80}"/>
            </c:ext>
          </c:extLst>
        </c:ser>
        <c:ser>
          <c:idx val="1"/>
          <c:order val="1"/>
          <c:tx>
            <c:strRef>
              <c:f>max_annual_installed!$A$29</c:f>
              <c:strCache>
                <c:ptCount val="1"/>
                <c:pt idx="0">
                  <c:v>MOD_CNST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max_annual_installed!$L$29:$AU$29</c:f>
              <c:numCache>
                <c:formatCode>General</c:formatCode>
                <c:ptCount val="36"/>
                <c:pt idx="0">
                  <c:v>5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1100</c:v>
                </c:pt>
                <c:pt idx="7">
                  <c:v>1200</c:v>
                </c:pt>
                <c:pt idx="8">
                  <c:v>1300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  <c:pt idx="12">
                  <c:v>1700</c:v>
                </c:pt>
                <c:pt idx="13">
                  <c:v>1800</c:v>
                </c:pt>
                <c:pt idx="14">
                  <c:v>1900</c:v>
                </c:pt>
                <c:pt idx="15">
                  <c:v>2000</c:v>
                </c:pt>
                <c:pt idx="16">
                  <c:v>2100</c:v>
                </c:pt>
                <c:pt idx="17">
                  <c:v>2200</c:v>
                </c:pt>
                <c:pt idx="18">
                  <c:v>2300</c:v>
                </c:pt>
                <c:pt idx="19">
                  <c:v>2400</c:v>
                </c:pt>
                <c:pt idx="20">
                  <c:v>2500</c:v>
                </c:pt>
                <c:pt idx="21">
                  <c:v>2600</c:v>
                </c:pt>
                <c:pt idx="22">
                  <c:v>2700</c:v>
                </c:pt>
                <c:pt idx="23">
                  <c:v>2800</c:v>
                </c:pt>
                <c:pt idx="24">
                  <c:v>2900</c:v>
                </c:pt>
                <c:pt idx="25">
                  <c:v>3000</c:v>
                </c:pt>
                <c:pt idx="26">
                  <c:v>3100</c:v>
                </c:pt>
                <c:pt idx="27">
                  <c:v>3200</c:v>
                </c:pt>
                <c:pt idx="28">
                  <c:v>3300</c:v>
                </c:pt>
                <c:pt idx="29">
                  <c:v>3400</c:v>
                </c:pt>
                <c:pt idx="30">
                  <c:v>3500</c:v>
                </c:pt>
                <c:pt idx="31">
                  <c:v>3600</c:v>
                </c:pt>
                <c:pt idx="32">
                  <c:v>3700</c:v>
                </c:pt>
                <c:pt idx="33">
                  <c:v>3800</c:v>
                </c:pt>
                <c:pt idx="34">
                  <c:v>3900</c:v>
                </c:pt>
                <c:pt idx="35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E9-5D4D-9F58-2E7339A58D80}"/>
            </c:ext>
          </c:extLst>
        </c:ser>
        <c:ser>
          <c:idx val="2"/>
          <c:order val="2"/>
          <c:tx>
            <c:strRef>
              <c:f>max_annual_installed!$A$52</c:f>
              <c:strCache>
                <c:ptCount val="1"/>
                <c:pt idx="0">
                  <c:v>MOST_CNST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max_annual_installed!$L$52:$AU$52</c:f>
              <c:numCache>
                <c:formatCode>General</c:formatCode>
                <c:ptCount val="36"/>
                <c:pt idx="0">
                  <c:v>5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E9-5D4D-9F58-2E7339A58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144464"/>
        <c:axId val="612539520"/>
      </c:scatterChart>
      <c:valAx>
        <c:axId val="1775144464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39520"/>
        <c:crosses val="autoZero"/>
        <c:crossBetween val="midCat"/>
      </c:valAx>
      <c:valAx>
        <c:axId val="61253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4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Annual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max_annual_installed!$A$7</c:f>
              <c:strCache>
                <c:ptCount val="1"/>
                <c:pt idx="0">
                  <c:v>LEAST_CNST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max_annual_installed!$L$7:$AU$7</c:f>
              <c:numCache>
                <c:formatCode>General</c:formatCode>
                <c:ptCount val="3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E-3042-AC77-0CABFB92BAFF}"/>
            </c:ext>
          </c:extLst>
        </c:ser>
        <c:ser>
          <c:idx val="1"/>
          <c:order val="1"/>
          <c:tx>
            <c:strRef>
              <c:f>max_annual_installed!$A$30</c:f>
              <c:strCache>
                <c:ptCount val="1"/>
                <c:pt idx="0">
                  <c:v>MOD_CNST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max_annual_installed!$L$30:$AU$30</c:f>
              <c:numCache>
                <c:formatCode>General</c:formatCode>
                <c:ptCount val="3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2E-3042-AC77-0CABFB92BAFF}"/>
            </c:ext>
          </c:extLst>
        </c:ser>
        <c:ser>
          <c:idx val="2"/>
          <c:order val="2"/>
          <c:tx>
            <c:strRef>
              <c:f>max_annual_installed!$A$53</c:f>
              <c:strCache>
                <c:ptCount val="1"/>
                <c:pt idx="0">
                  <c:v>MOST_CNST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max_annual_installed!$L$1:$AU$1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max_annual_installed!$L$53:$AU$53</c:f>
              <c:numCache>
                <c:formatCode>General</c:formatCode>
                <c:ptCount val="3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2E-3042-AC77-0CABFB92B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441952"/>
        <c:axId val="439070336"/>
      </c:scatterChart>
      <c:valAx>
        <c:axId val="1131441952"/>
        <c:scaling>
          <c:orientation val="minMax"/>
          <c:max val="206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70336"/>
        <c:crosses val="autoZero"/>
        <c:crossBetween val="midCat"/>
      </c:valAx>
      <c:valAx>
        <c:axId val="4390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4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1392617</xdr:colOff>
      <xdr:row>163</xdr:row>
      <xdr:rowOff>22241</xdr:rowOff>
    </xdr:from>
    <xdr:to>
      <xdr:col>5</xdr:col>
      <xdr:colOff>626616</xdr:colOff>
      <xdr:row>179</xdr:row>
      <xdr:rowOff>133854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70176-8A94-7AD6-36ED-1C608C8D5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608744</xdr:colOff>
      <xdr:row>163</xdr:row>
      <xdr:rowOff>37300</xdr:rowOff>
    </xdr:from>
    <xdr:to>
      <xdr:col>12</xdr:col>
      <xdr:colOff>829022</xdr:colOff>
      <xdr:row>179</xdr:row>
      <xdr:rowOff>142633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B7AFD5-1718-BE85-2338-BA5C8376C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805004</xdr:colOff>
      <xdr:row>163</xdr:row>
      <xdr:rowOff>24014</xdr:rowOff>
    </xdr:from>
    <xdr:to>
      <xdr:col>18</xdr:col>
      <xdr:colOff>264885</xdr:colOff>
      <xdr:row>179</xdr:row>
      <xdr:rowOff>129347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D2E72A-A79A-EF62-214A-5C3A4CD41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652722</xdr:colOff>
      <xdr:row>78</xdr:row>
      <xdr:rowOff>149447</xdr:rowOff>
    </xdr:from>
    <xdr:to>
      <xdr:col>26</xdr:col>
      <xdr:colOff>41349</xdr:colOff>
      <xdr:row>93</xdr:row>
      <xdr:rowOff>12995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41339D-44A2-2CAF-3E5B-ADE6A1FBA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239231</xdr:colOff>
      <xdr:row>78</xdr:row>
      <xdr:rowOff>149447</xdr:rowOff>
    </xdr:from>
    <xdr:to>
      <xdr:col>34</xdr:col>
      <xdr:colOff>351464</xdr:colOff>
      <xdr:row>93</xdr:row>
      <xdr:rowOff>12995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CFC39C-79E5-F8F0-5421-D1EBEC2FC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2158999</xdr:colOff>
      <xdr:row>78</xdr:row>
      <xdr:rowOff>119912</xdr:rowOff>
    </xdr:from>
    <xdr:to>
      <xdr:col>16</xdr:col>
      <xdr:colOff>499139</xdr:colOff>
      <xdr:row>92</xdr:row>
      <xdr:rowOff>175437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53FCAA-0509-CF2D-AAC5-7EFA4EAEC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524542</xdr:colOff>
      <xdr:row>93</xdr:row>
      <xdr:rowOff>103469</xdr:rowOff>
    </xdr:from>
    <xdr:to>
      <xdr:col>26</xdr:col>
      <xdr:colOff>40101</xdr:colOff>
      <xdr:row>107</xdr:row>
      <xdr:rowOff>157257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A75D23-AAD5-E245-1216-48809E6F6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239539</xdr:colOff>
      <xdr:row>93</xdr:row>
      <xdr:rowOff>97385</xdr:rowOff>
    </xdr:from>
    <xdr:to>
      <xdr:col>34</xdr:col>
      <xdr:colOff>402745</xdr:colOff>
      <xdr:row>107</xdr:row>
      <xdr:rowOff>149572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EE9CCE4-B2AB-6D40-9A49-DBF75685B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zoomScale="120" zoomScaleNormal="120" workbookViewId="0">
      <selection activeCell="L12" sqref="L12"/>
    </sheetView>
  </sheetViews>
  <sheetFormatPr defaultColWidth="8.6328125" defaultRowHeight="14.5" x14ac:dyDescent="0.35"/>
  <cols>
    <col min="1" max="1" width="12.453125" style="1" customWidth="1"/>
    <col min="2" max="2" width="16.36328125" style="1" customWidth="1"/>
    <col min="3" max="3" width="12.453125" style="1" customWidth="1"/>
    <col min="4" max="6" width="6.36328125" bestFit="1" customWidth="1"/>
    <col min="7" max="8" width="9" bestFit="1" customWidth="1"/>
    <col min="16382" max="16384" width="11.4531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93</v>
      </c>
      <c r="I1" s="3" t="s">
        <v>94</v>
      </c>
      <c r="J1" s="113" t="s">
        <v>115</v>
      </c>
      <c r="K1" s="113" t="s">
        <v>118</v>
      </c>
    </row>
    <row r="2" spans="1:11" x14ac:dyDescent="0.35">
      <c r="A2" s="4" t="s">
        <v>7</v>
      </c>
      <c r="B2" s="4" t="s">
        <v>8</v>
      </c>
      <c r="C2" s="4" t="s">
        <v>9</v>
      </c>
      <c r="D2" s="5" t="b">
        <f>TRUE()</f>
        <v>1</v>
      </c>
      <c r="E2" s="5" t="b">
        <f>TRUE()</f>
        <v>1</v>
      </c>
      <c r="F2" s="5" t="b">
        <f>TRUE()</f>
        <v>1</v>
      </c>
      <c r="G2" s="5" t="b">
        <f>TRUE()</f>
        <v>1</v>
      </c>
      <c r="H2" s="5" t="b">
        <f>TRUE()</f>
        <v>1</v>
      </c>
      <c r="I2" s="5" t="b">
        <f>TRUE()</f>
        <v>1</v>
      </c>
      <c r="J2" s="5" t="b">
        <f>TRUE()</f>
        <v>1</v>
      </c>
      <c r="K2" s="5" t="b">
        <f>TRUE()</f>
        <v>1</v>
      </c>
    </row>
    <row r="3" spans="1:11" x14ac:dyDescent="0.35">
      <c r="A3" s="6" t="s">
        <v>7</v>
      </c>
      <c r="B3" s="6" t="s">
        <v>10</v>
      </c>
      <c r="C3" s="6" t="s">
        <v>9</v>
      </c>
      <c r="D3" s="5" t="b">
        <f>TRUE()</f>
        <v>1</v>
      </c>
      <c r="E3" s="5" t="b">
        <f>TRUE()</f>
        <v>1</v>
      </c>
      <c r="F3" s="5" t="b">
        <f>TRUE()</f>
        <v>1</v>
      </c>
      <c r="G3" s="5" t="b">
        <f>TRUE()</f>
        <v>1</v>
      </c>
      <c r="H3" s="5" t="b">
        <f>TRUE()</f>
        <v>1</v>
      </c>
      <c r="I3" s="5" t="b">
        <f>TRUE()</f>
        <v>1</v>
      </c>
      <c r="J3" s="5" t="b">
        <f>TRUE()</f>
        <v>1</v>
      </c>
      <c r="K3" s="5" t="b">
        <f>TRUE()</f>
        <v>1</v>
      </c>
    </row>
    <row r="4" spans="1:11" x14ac:dyDescent="0.35">
      <c r="A4" s="4" t="s">
        <v>7</v>
      </c>
      <c r="B4" s="4" t="s">
        <v>11</v>
      </c>
      <c r="C4" s="4" t="s">
        <v>9</v>
      </c>
      <c r="D4" s="5" t="b">
        <f>TRUE()</f>
        <v>1</v>
      </c>
      <c r="E4" s="5" t="b">
        <f>TRUE()</f>
        <v>1</v>
      </c>
      <c r="F4" s="5" t="b">
        <f>TRUE()</f>
        <v>1</v>
      </c>
      <c r="G4" s="5" t="b">
        <f>TRUE()</f>
        <v>1</v>
      </c>
      <c r="H4" s="5" t="b">
        <f>TRUE()</f>
        <v>1</v>
      </c>
      <c r="I4" s="5" t="b">
        <f>TRUE()</f>
        <v>1</v>
      </c>
      <c r="J4" s="5" t="b">
        <f>TRUE()</f>
        <v>1</v>
      </c>
      <c r="K4" s="5" t="b">
        <f>TRUE()</f>
        <v>1</v>
      </c>
    </row>
    <row r="5" spans="1:11" x14ac:dyDescent="0.35">
      <c r="A5" s="6" t="s">
        <v>7</v>
      </c>
      <c r="B5" s="6" t="s">
        <v>12</v>
      </c>
      <c r="C5" s="6" t="s">
        <v>9</v>
      </c>
      <c r="D5" s="5" t="b">
        <f>TRUE()</f>
        <v>1</v>
      </c>
      <c r="E5" s="5" t="b">
        <f>TRUE()</f>
        <v>1</v>
      </c>
      <c r="F5" s="5" t="b">
        <f>TRUE()</f>
        <v>1</v>
      </c>
      <c r="G5" s="5" t="b">
        <f>TRUE()</f>
        <v>1</v>
      </c>
      <c r="H5" s="5" t="b">
        <f>TRUE()</f>
        <v>1</v>
      </c>
      <c r="I5" s="5" t="b">
        <f>TRUE()</f>
        <v>1</v>
      </c>
      <c r="J5" s="5" t="b">
        <f>TRUE()</f>
        <v>1</v>
      </c>
      <c r="K5" s="5" t="b">
        <f>TRUE()</f>
        <v>1</v>
      </c>
    </row>
    <row r="6" spans="1:11" x14ac:dyDescent="0.35">
      <c r="A6" s="4" t="s">
        <v>7</v>
      </c>
      <c r="B6" s="4" t="s">
        <v>13</v>
      </c>
      <c r="C6" s="4" t="s">
        <v>9</v>
      </c>
      <c r="D6" s="5" t="b">
        <f>TRUE()</f>
        <v>1</v>
      </c>
      <c r="E6" s="5" t="b">
        <f>TRUE()</f>
        <v>1</v>
      </c>
      <c r="F6" s="5" t="b">
        <f>TRUE()</f>
        <v>1</v>
      </c>
      <c r="G6" s="5" t="b">
        <f>TRUE()</f>
        <v>1</v>
      </c>
      <c r="H6" s="5" t="b">
        <f>TRUE()</f>
        <v>1</v>
      </c>
      <c r="I6" s="5" t="b">
        <f>TRUE()</f>
        <v>1</v>
      </c>
      <c r="J6" s="5" t="b">
        <f>TRUE()</f>
        <v>1</v>
      </c>
      <c r="K6" s="5" t="b">
        <f>TRUE()</f>
        <v>1</v>
      </c>
    </row>
    <row r="7" spans="1:11" x14ac:dyDescent="0.35">
      <c r="A7" s="6" t="s">
        <v>7</v>
      </c>
      <c r="B7" s="6" t="s">
        <v>14</v>
      </c>
      <c r="C7" s="6" t="s">
        <v>9</v>
      </c>
      <c r="D7" s="5" t="b">
        <f>TRUE()</f>
        <v>1</v>
      </c>
      <c r="E7" s="5" t="b">
        <f>TRUE()</f>
        <v>1</v>
      </c>
      <c r="F7" s="5" t="b">
        <f>TRUE()</f>
        <v>1</v>
      </c>
      <c r="G7" s="5" t="b">
        <f>TRUE()</f>
        <v>1</v>
      </c>
      <c r="H7" s="5" t="b">
        <f>TRUE()</f>
        <v>1</v>
      </c>
      <c r="I7" s="5" t="b">
        <f>TRUE()</f>
        <v>1</v>
      </c>
      <c r="J7" s="5" t="b">
        <f>TRUE()</f>
        <v>1</v>
      </c>
      <c r="K7" s="5" t="b">
        <f>TRUE()</f>
        <v>1</v>
      </c>
    </row>
    <row r="8" spans="1:11" x14ac:dyDescent="0.35">
      <c r="A8" s="4" t="s">
        <v>7</v>
      </c>
      <c r="B8" s="4" t="s">
        <v>15</v>
      </c>
      <c r="C8" s="4" t="s">
        <v>16</v>
      </c>
      <c r="D8" s="5" t="b">
        <f>TRUE()</f>
        <v>1</v>
      </c>
      <c r="E8" s="5" t="b">
        <f>TRUE()</f>
        <v>1</v>
      </c>
      <c r="F8" s="5" t="b">
        <f>TRUE()</f>
        <v>1</v>
      </c>
      <c r="G8" s="5" t="b">
        <f>TRUE()</f>
        <v>1</v>
      </c>
      <c r="H8" s="5" t="b">
        <f>TRUE()</f>
        <v>1</v>
      </c>
      <c r="I8" s="5" t="b">
        <f>TRUE()</f>
        <v>1</v>
      </c>
      <c r="J8" s="5" t="b">
        <f>TRUE()</f>
        <v>1</v>
      </c>
      <c r="K8" s="5" t="b">
        <f>TRUE()</f>
        <v>1</v>
      </c>
    </row>
    <row r="9" spans="1:11" x14ac:dyDescent="0.35">
      <c r="A9" s="6" t="s">
        <v>7</v>
      </c>
      <c r="B9" s="6" t="s">
        <v>17</v>
      </c>
      <c r="C9" s="6" t="s">
        <v>16</v>
      </c>
      <c r="D9" s="5" t="b">
        <f>TRUE()</f>
        <v>1</v>
      </c>
      <c r="E9" s="5" t="b">
        <f>TRUE()</f>
        <v>1</v>
      </c>
      <c r="F9" s="5" t="b">
        <f>TRUE()</f>
        <v>1</v>
      </c>
      <c r="G9" s="5" t="b">
        <f>TRUE()</f>
        <v>1</v>
      </c>
      <c r="H9" s="5" t="b">
        <f>TRUE()</f>
        <v>1</v>
      </c>
      <c r="I9" s="5" t="b">
        <f>TRUE()</f>
        <v>1</v>
      </c>
      <c r="J9" s="5" t="b">
        <v>0</v>
      </c>
      <c r="K9" s="5" t="b">
        <f>TRUE()</f>
        <v>1</v>
      </c>
    </row>
    <row r="10" spans="1:11" x14ac:dyDescent="0.35">
      <c r="A10" s="4" t="s">
        <v>7</v>
      </c>
      <c r="B10" s="4" t="s">
        <v>18</v>
      </c>
      <c r="C10" s="4" t="s">
        <v>16</v>
      </c>
      <c r="D10" s="5" t="b">
        <f>TRUE()</f>
        <v>1</v>
      </c>
      <c r="E10" s="5" t="b">
        <f>FALSE()</f>
        <v>0</v>
      </c>
      <c r="F10" s="5" t="b">
        <f>TRUE()</f>
        <v>1</v>
      </c>
      <c r="G10" s="5" t="b">
        <f>FALSE()</f>
        <v>0</v>
      </c>
      <c r="H10" s="5" t="b">
        <f>TRUE()</f>
        <v>1</v>
      </c>
      <c r="I10" s="5" t="b">
        <f>TRUE()</f>
        <v>1</v>
      </c>
      <c r="J10" s="5" t="b">
        <v>0</v>
      </c>
      <c r="K10" s="5" t="b">
        <f>FALSE()</f>
        <v>0</v>
      </c>
    </row>
    <row r="11" spans="1:11" x14ac:dyDescent="0.35">
      <c r="A11" s="6" t="s">
        <v>7</v>
      </c>
      <c r="B11" s="6" t="s">
        <v>19</v>
      </c>
      <c r="C11" s="6" t="s">
        <v>16</v>
      </c>
      <c r="D11" s="5" t="b">
        <f>TRUE()</f>
        <v>1</v>
      </c>
      <c r="E11" s="5" t="b">
        <f>FALSE()</f>
        <v>0</v>
      </c>
      <c r="F11" s="5" t="b">
        <f>TRUE()</f>
        <v>1</v>
      </c>
      <c r="G11" s="5" t="b">
        <f>FALSE()</f>
        <v>0</v>
      </c>
      <c r="H11" s="5" t="b">
        <f>TRUE()</f>
        <v>1</v>
      </c>
      <c r="I11" s="5" t="b">
        <f>TRUE()</f>
        <v>1</v>
      </c>
      <c r="J11" s="5" t="b">
        <v>0</v>
      </c>
      <c r="K11" s="5" t="b">
        <f>FALSE()</f>
        <v>0</v>
      </c>
    </row>
    <row r="12" spans="1:11" x14ac:dyDescent="0.35">
      <c r="A12" s="4" t="s">
        <v>7</v>
      </c>
      <c r="B12" s="4" t="s">
        <v>20</v>
      </c>
      <c r="C12" s="4" t="s">
        <v>16</v>
      </c>
      <c r="D12" s="5" t="b">
        <f>TRUE()</f>
        <v>1</v>
      </c>
      <c r="E12" s="5" t="b">
        <f>FALSE()</f>
        <v>0</v>
      </c>
      <c r="F12" s="5" t="b">
        <f>TRUE()</f>
        <v>1</v>
      </c>
      <c r="G12" s="5" t="b">
        <f>FALSE()</f>
        <v>0</v>
      </c>
      <c r="H12" s="5" t="b">
        <f>TRUE()</f>
        <v>1</v>
      </c>
      <c r="I12" s="5" t="b">
        <v>0</v>
      </c>
      <c r="J12" s="5" t="b">
        <v>0</v>
      </c>
      <c r="K12" s="5" t="b">
        <f>FALSE()</f>
        <v>0</v>
      </c>
    </row>
    <row r="13" spans="1:11" x14ac:dyDescent="0.35">
      <c r="A13" s="4" t="s">
        <v>7</v>
      </c>
      <c r="B13" s="4" t="s">
        <v>21</v>
      </c>
      <c r="C13" s="4" t="s">
        <v>16</v>
      </c>
      <c r="D13" s="5" t="b">
        <f>TRUE()</f>
        <v>1</v>
      </c>
      <c r="E13" s="5" t="b">
        <f>FALSE()</f>
        <v>0</v>
      </c>
      <c r="F13" s="5" t="b">
        <f>TRUE()</f>
        <v>1</v>
      </c>
      <c r="G13" s="5" t="b">
        <f>FALSE()</f>
        <v>0</v>
      </c>
      <c r="H13" s="5" t="b">
        <v>0</v>
      </c>
      <c r="I13" s="5" t="b">
        <v>0</v>
      </c>
      <c r="J13" s="5" t="b">
        <v>0</v>
      </c>
      <c r="K13" s="5" t="b">
        <f>FALSE()</f>
        <v>0</v>
      </c>
    </row>
    <row r="14" spans="1:11" x14ac:dyDescent="0.35">
      <c r="A14" s="4" t="s">
        <v>7</v>
      </c>
      <c r="B14" s="4" t="s">
        <v>22</v>
      </c>
      <c r="C14" s="4" t="s">
        <v>16</v>
      </c>
      <c r="D14" s="5" t="b">
        <f>TRUE()</f>
        <v>1</v>
      </c>
      <c r="E14" s="5" t="b">
        <f>FALSE()</f>
        <v>0</v>
      </c>
      <c r="F14" s="5" t="b">
        <f>TRUE()</f>
        <v>1</v>
      </c>
      <c r="G14" s="5" t="b">
        <f>FALSE()</f>
        <v>0</v>
      </c>
      <c r="H14" s="5" t="b">
        <f>FALSE()</f>
        <v>0</v>
      </c>
      <c r="I14" s="5" t="b">
        <v>0</v>
      </c>
      <c r="J14" s="5" t="b">
        <v>0</v>
      </c>
      <c r="K14" s="5" t="b">
        <f>FALSE()</f>
        <v>0</v>
      </c>
    </row>
    <row r="15" spans="1:11" x14ac:dyDescent="0.35">
      <c r="A15" s="6" t="s">
        <v>7</v>
      </c>
      <c r="B15" s="6" t="s">
        <v>23</v>
      </c>
      <c r="C15" s="6" t="s">
        <v>16</v>
      </c>
      <c r="D15" s="5" t="b">
        <f>TRUE()</f>
        <v>1</v>
      </c>
      <c r="E15" s="5" t="b">
        <f>TRUE()</f>
        <v>1</v>
      </c>
      <c r="F15" s="5" t="b">
        <f>TRUE()</f>
        <v>1</v>
      </c>
      <c r="G15" s="5" t="b">
        <f>TRUE()</f>
        <v>1</v>
      </c>
      <c r="H15" s="5" t="b">
        <f>TRUE()</f>
        <v>1</v>
      </c>
      <c r="I15" s="5" t="b">
        <f>TRUE()</f>
        <v>1</v>
      </c>
      <c r="J15" s="5" t="b">
        <f>TRUE()</f>
        <v>1</v>
      </c>
      <c r="K15" s="5" t="b">
        <f>TRUE()</f>
        <v>1</v>
      </c>
    </row>
    <row r="16" spans="1:11" x14ac:dyDescent="0.35">
      <c r="A16" s="4" t="s">
        <v>7</v>
      </c>
      <c r="B16" s="4" t="s">
        <v>24</v>
      </c>
      <c r="C16" s="4" t="s">
        <v>16</v>
      </c>
      <c r="D16" s="5" t="b">
        <f>FALSE()</f>
        <v>0</v>
      </c>
      <c r="E16" s="5" t="b">
        <f>FALSE()</f>
        <v>0</v>
      </c>
      <c r="F16" s="5" t="b">
        <f>FALSE()</f>
        <v>0</v>
      </c>
      <c r="G16" s="5" t="b">
        <f>FALSE()</f>
        <v>0</v>
      </c>
      <c r="H16" s="5" t="b">
        <f>FALSE()</f>
        <v>0</v>
      </c>
      <c r="I16" s="5" t="b">
        <f>FALSE()</f>
        <v>0</v>
      </c>
      <c r="J16" s="5" t="b">
        <f>FALSE()</f>
        <v>0</v>
      </c>
      <c r="K16" s="5" t="b">
        <f>FALSE()</f>
        <v>0</v>
      </c>
    </row>
    <row r="17" spans="1:11" x14ac:dyDescent="0.35">
      <c r="A17" s="4" t="s">
        <v>7</v>
      </c>
      <c r="B17" s="4" t="s">
        <v>117</v>
      </c>
      <c r="C17" s="4" t="s">
        <v>16</v>
      </c>
      <c r="D17" s="5" t="b">
        <f>FALSE()</f>
        <v>0</v>
      </c>
      <c r="E17" s="5" t="b">
        <f>FALSE()</f>
        <v>0</v>
      </c>
      <c r="F17" s="5" t="b">
        <f>FALSE()</f>
        <v>0</v>
      </c>
      <c r="G17" s="5" t="b">
        <f>FALSE()</f>
        <v>0</v>
      </c>
      <c r="H17" s="5" t="b">
        <f>FALSE()</f>
        <v>0</v>
      </c>
      <c r="I17" s="5" t="b">
        <f>FALSE()</f>
        <v>0</v>
      </c>
      <c r="J17" s="5" t="b">
        <f>FALSE()</f>
        <v>0</v>
      </c>
      <c r="K17" s="5" t="b">
        <v>1</v>
      </c>
    </row>
    <row r="18" spans="1:11" x14ac:dyDescent="0.35">
      <c r="A18" s="6" t="s">
        <v>7</v>
      </c>
      <c r="B18" s="6" t="s">
        <v>25</v>
      </c>
      <c r="C18" s="6" t="s">
        <v>16</v>
      </c>
      <c r="D18" s="5" t="b">
        <f>TRUE()</f>
        <v>1</v>
      </c>
      <c r="E18" s="5" t="b">
        <f>TRUE()</f>
        <v>1</v>
      </c>
      <c r="F18" s="5" t="b">
        <f>TRUE()</f>
        <v>1</v>
      </c>
      <c r="G18" s="5" t="b">
        <f>TRUE()</f>
        <v>1</v>
      </c>
      <c r="H18" s="5" t="b">
        <f>TRUE()</f>
        <v>1</v>
      </c>
      <c r="I18" s="5" t="b">
        <f>TRUE()</f>
        <v>1</v>
      </c>
      <c r="J18" s="5" t="b">
        <f>TRUE()</f>
        <v>1</v>
      </c>
      <c r="K18" s="5" t="b">
        <f>TRUE()</f>
        <v>1</v>
      </c>
    </row>
    <row r="19" spans="1:11" x14ac:dyDescent="0.35">
      <c r="A19" s="4" t="s">
        <v>7</v>
      </c>
      <c r="B19" s="4" t="s">
        <v>26</v>
      </c>
      <c r="C19" s="4" t="s">
        <v>16</v>
      </c>
      <c r="D19" s="5" t="b">
        <f>TRUE()</f>
        <v>1</v>
      </c>
      <c r="E19" s="5" t="b">
        <f>TRUE()</f>
        <v>1</v>
      </c>
      <c r="F19" s="5" t="b">
        <f>TRUE()</f>
        <v>1</v>
      </c>
      <c r="G19" s="5" t="b">
        <f>TRUE()</f>
        <v>1</v>
      </c>
      <c r="H19" s="5" t="b">
        <f>TRUE()</f>
        <v>1</v>
      </c>
      <c r="I19" s="5" t="b">
        <f>TRUE()</f>
        <v>1</v>
      </c>
      <c r="J19" s="5" t="b">
        <f>TRUE()</f>
        <v>1</v>
      </c>
      <c r="K19" s="5" t="b">
        <f>TRUE()</f>
        <v>1</v>
      </c>
    </row>
    <row r="20" spans="1:11" x14ac:dyDescent="0.35">
      <c r="A20" s="6" t="s">
        <v>27</v>
      </c>
      <c r="B20" s="6" t="s">
        <v>28</v>
      </c>
      <c r="C20" s="6" t="s">
        <v>29</v>
      </c>
      <c r="D20" s="5" t="b">
        <f>TRUE()</f>
        <v>1</v>
      </c>
      <c r="E20" s="5" t="b">
        <f>TRUE()</f>
        <v>1</v>
      </c>
      <c r="F20" s="5" t="b">
        <v>0</v>
      </c>
      <c r="G20" s="5" t="b">
        <f>TRUE()</f>
        <v>1</v>
      </c>
      <c r="H20" s="5" t="b">
        <f>TRUE()</f>
        <v>1</v>
      </c>
      <c r="I20" s="5" t="b">
        <f>TRUE()</f>
        <v>1</v>
      </c>
      <c r="J20" s="5" t="b">
        <f>TRUE()</f>
        <v>1</v>
      </c>
      <c r="K20" s="5" t="b">
        <f>TRUE()</f>
        <v>1</v>
      </c>
    </row>
    <row r="21" spans="1:11" x14ac:dyDescent="0.35">
      <c r="A21" s="4" t="s">
        <v>27</v>
      </c>
      <c r="B21" s="4" t="s">
        <v>30</v>
      </c>
      <c r="C21" s="4" t="s">
        <v>29</v>
      </c>
      <c r="D21" s="5" t="b">
        <f>TRUE()</f>
        <v>1</v>
      </c>
      <c r="E21" s="5" t="b">
        <f>TRUE()</f>
        <v>1</v>
      </c>
      <c r="F21" s="5" t="b">
        <f>TRUE()</f>
        <v>1</v>
      </c>
      <c r="G21" s="5" t="b">
        <f>TRUE()</f>
        <v>1</v>
      </c>
      <c r="H21" s="5" t="b">
        <f>TRUE()</f>
        <v>1</v>
      </c>
      <c r="I21" s="5" t="b">
        <f>TRUE()</f>
        <v>1</v>
      </c>
      <c r="J21" s="5" t="b">
        <f>TRUE()</f>
        <v>1</v>
      </c>
      <c r="K21" s="5" t="b">
        <f>TRUE()</f>
        <v>1</v>
      </c>
    </row>
    <row r="22" spans="1:11" x14ac:dyDescent="0.35">
      <c r="A22" s="6" t="s">
        <v>27</v>
      </c>
      <c r="B22" s="6" t="s">
        <v>31</v>
      </c>
      <c r="C22" s="6" t="s">
        <v>29</v>
      </c>
      <c r="D22" s="5" t="b">
        <f>FALSE()</f>
        <v>0</v>
      </c>
      <c r="E22" s="5" t="b">
        <f>FALSE()</f>
        <v>0</v>
      </c>
      <c r="F22" s="5" t="b">
        <f>FALSE()</f>
        <v>0</v>
      </c>
      <c r="G22" s="5" t="b">
        <f>FALSE()</f>
        <v>0</v>
      </c>
      <c r="H22" s="5" t="b">
        <f>FALSE()</f>
        <v>0</v>
      </c>
      <c r="I22" s="5" t="b">
        <f>FALSE()</f>
        <v>0</v>
      </c>
      <c r="J22" s="5" t="b">
        <f>FALSE()</f>
        <v>0</v>
      </c>
      <c r="K22" s="5" t="b">
        <f>FALSE()</f>
        <v>0</v>
      </c>
    </row>
    <row r="23" spans="1:11" x14ac:dyDescent="0.35">
      <c r="A23" s="4" t="s">
        <v>27</v>
      </c>
      <c r="B23" s="4" t="s">
        <v>32</v>
      </c>
      <c r="C23" s="4" t="s">
        <v>29</v>
      </c>
      <c r="D23" s="5" t="b">
        <f>TRUE()</f>
        <v>1</v>
      </c>
      <c r="E23" s="5" t="b">
        <f>TRUE()</f>
        <v>1</v>
      </c>
      <c r="F23" s="5" t="b">
        <f>TRUE()</f>
        <v>1</v>
      </c>
      <c r="G23" s="5" t="b">
        <f>TRUE()</f>
        <v>1</v>
      </c>
      <c r="H23" s="5" t="b">
        <f>TRUE()</f>
        <v>1</v>
      </c>
      <c r="I23" s="5" t="b">
        <f>TRUE()</f>
        <v>1</v>
      </c>
      <c r="J23" s="5" t="b">
        <f>TRUE()</f>
        <v>1</v>
      </c>
      <c r="K23" s="5" t="b">
        <f>TRUE()</f>
        <v>1</v>
      </c>
    </row>
    <row r="24" spans="1:11" x14ac:dyDescent="0.35">
      <c r="A24" s="6" t="s">
        <v>27</v>
      </c>
      <c r="B24" s="6" t="s">
        <v>33</v>
      </c>
      <c r="C24" s="6" t="s">
        <v>29</v>
      </c>
      <c r="D24" s="5" t="b">
        <f>TRUE()</f>
        <v>1</v>
      </c>
      <c r="E24" s="5" t="b">
        <f>TRUE()</f>
        <v>1</v>
      </c>
      <c r="F24" s="5" t="b">
        <f>TRUE()</f>
        <v>1</v>
      </c>
      <c r="G24" s="5" t="b">
        <f>TRUE()</f>
        <v>1</v>
      </c>
      <c r="H24" s="5" t="b">
        <f>TRUE()</f>
        <v>1</v>
      </c>
      <c r="I24" s="5" t="b">
        <f>TRUE()</f>
        <v>1</v>
      </c>
      <c r="J24" s="5" t="b">
        <f>TRUE()</f>
        <v>1</v>
      </c>
      <c r="K24" s="5" t="b">
        <f>TRUE()</f>
        <v>1</v>
      </c>
    </row>
  </sheetData>
  <conditionalFormatting sqref="D2:K24">
    <cfRule type="cellIs" dxfId="22" priority="1" operator="equal">
      <formula>TRUE</formula>
    </cfRule>
    <cfRule type="cellIs" dxfId="21" priority="2" operator="equal">
      <formula>FALSE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4"/>
  <sheetViews>
    <sheetView tabSelected="1" zoomScaleNormal="100" workbookViewId="0">
      <pane ySplit="1" topLeftCell="A2" activePane="bottomLeft" state="frozen"/>
      <selection pane="bottomLeft" activeCell="I15" sqref="I15"/>
    </sheetView>
  </sheetViews>
  <sheetFormatPr defaultColWidth="8.6328125" defaultRowHeight="14.5" x14ac:dyDescent="0.35"/>
  <cols>
    <col min="1" max="1" width="32.08984375" style="1" customWidth="1"/>
    <col min="2" max="2" width="22.453125" style="7" customWidth="1"/>
    <col min="3" max="3" width="17.453125" customWidth="1"/>
    <col min="4" max="4" width="16.6328125" style="8" customWidth="1"/>
    <col min="5" max="5" width="18.453125" style="8" customWidth="1"/>
    <col min="6" max="6" width="17.453125" customWidth="1"/>
    <col min="7" max="7" width="14.36328125" customWidth="1"/>
    <col min="8" max="8" width="16.08984375" customWidth="1"/>
    <col min="9" max="9" width="19.08984375" customWidth="1"/>
    <col min="10" max="10" width="16.36328125" customWidth="1"/>
    <col min="11" max="11" width="16.453125" customWidth="1"/>
    <col min="12" max="12" width="20" customWidth="1"/>
    <col min="13" max="14" width="19.453125" customWidth="1"/>
    <col min="15" max="15" width="22.36328125" customWidth="1"/>
    <col min="16" max="16" width="25.08984375" customWidth="1"/>
    <col min="17" max="17" width="24.453125" customWidth="1"/>
    <col min="18" max="21" width="25.08984375" customWidth="1"/>
    <col min="22" max="22" width="15.36328125" customWidth="1"/>
  </cols>
  <sheetData>
    <row r="1" spans="1:22" ht="29" x14ac:dyDescent="0.35">
      <c r="A1" s="9" t="s">
        <v>34</v>
      </c>
      <c r="B1" s="10" t="s">
        <v>1</v>
      </c>
      <c r="C1" s="11" t="s">
        <v>35</v>
      </c>
      <c r="D1" s="12" t="s">
        <v>95</v>
      </c>
      <c r="E1" s="57" t="s">
        <v>96</v>
      </c>
      <c r="F1" s="9" t="s">
        <v>36</v>
      </c>
      <c r="G1" s="9" t="s">
        <v>37</v>
      </c>
      <c r="H1" s="9" t="s">
        <v>38</v>
      </c>
      <c r="I1" s="9" t="s">
        <v>39</v>
      </c>
      <c r="J1" s="9" t="s">
        <v>40</v>
      </c>
      <c r="K1" s="9" t="s">
        <v>41</v>
      </c>
      <c r="L1" s="9" t="s">
        <v>42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137</v>
      </c>
      <c r="R1" s="9" t="s">
        <v>47</v>
      </c>
      <c r="S1" s="9" t="s">
        <v>48</v>
      </c>
      <c r="T1" s="9" t="s">
        <v>49</v>
      </c>
      <c r="U1" s="9" t="s">
        <v>50</v>
      </c>
      <c r="V1" s="9" t="s">
        <v>51</v>
      </c>
    </row>
    <row r="2" spans="1:22" s="8" customFormat="1" x14ac:dyDescent="0.35">
      <c r="A2" s="122" t="s">
        <v>125</v>
      </c>
      <c r="B2" s="91" t="s">
        <v>30</v>
      </c>
      <c r="C2" s="13" t="s">
        <v>52</v>
      </c>
      <c r="D2" s="128" t="s">
        <v>125</v>
      </c>
      <c r="E2" s="13" t="s">
        <v>52</v>
      </c>
      <c r="F2" s="13" t="s">
        <v>52</v>
      </c>
      <c r="G2" s="13" t="s">
        <v>52</v>
      </c>
      <c r="H2" s="88" t="s">
        <v>52</v>
      </c>
      <c r="I2" s="58"/>
      <c r="J2" s="88" t="s">
        <v>52</v>
      </c>
      <c r="K2" s="75" t="s">
        <v>53</v>
      </c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2" s="8" customFormat="1" x14ac:dyDescent="0.35">
      <c r="A3" s="122" t="s">
        <v>125</v>
      </c>
      <c r="B3" s="68" t="s">
        <v>32</v>
      </c>
      <c r="C3" s="13" t="s">
        <v>52</v>
      </c>
      <c r="D3" s="128" t="s">
        <v>125</v>
      </c>
      <c r="E3" s="13" t="s">
        <v>52</v>
      </c>
      <c r="F3" s="13" t="s">
        <v>52</v>
      </c>
      <c r="G3" s="13" t="s">
        <v>52</v>
      </c>
      <c r="H3" s="75" t="s">
        <v>52</v>
      </c>
      <c r="I3" s="14"/>
      <c r="J3" s="75" t="s">
        <v>52</v>
      </c>
      <c r="K3" s="75" t="s">
        <v>53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8" customFormat="1" x14ac:dyDescent="0.35">
      <c r="A4" s="122" t="s">
        <v>125</v>
      </c>
      <c r="B4" s="91" t="s">
        <v>33</v>
      </c>
      <c r="C4" s="13" t="s">
        <v>52</v>
      </c>
      <c r="D4" s="128" t="s">
        <v>125</v>
      </c>
      <c r="E4" s="13" t="s">
        <v>52</v>
      </c>
      <c r="F4" s="13" t="s">
        <v>52</v>
      </c>
      <c r="G4" s="13" t="s">
        <v>52</v>
      </c>
      <c r="H4" s="88" t="s">
        <v>52</v>
      </c>
      <c r="I4" s="58"/>
      <c r="J4" s="88" t="s">
        <v>52</v>
      </c>
      <c r="K4" s="75" t="s">
        <v>53</v>
      </c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</row>
    <row r="5" spans="1:22" s="8" customFormat="1" x14ac:dyDescent="0.35">
      <c r="A5" s="122" t="s">
        <v>125</v>
      </c>
      <c r="B5" s="68" t="s">
        <v>28</v>
      </c>
      <c r="C5" s="13" t="s">
        <v>52</v>
      </c>
      <c r="D5" s="75" t="s">
        <v>52</v>
      </c>
      <c r="E5" s="128" t="s">
        <v>112</v>
      </c>
      <c r="F5" s="13" t="s">
        <v>52</v>
      </c>
      <c r="G5" s="13" t="s">
        <v>52</v>
      </c>
      <c r="H5" s="75" t="s">
        <v>52</v>
      </c>
      <c r="I5" s="14"/>
      <c r="J5" s="75" t="s">
        <v>52</v>
      </c>
      <c r="K5" s="75" t="s">
        <v>53</v>
      </c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6" spans="1:22" s="8" customFormat="1" x14ac:dyDescent="0.35">
      <c r="A6" s="122" t="s">
        <v>125</v>
      </c>
      <c r="B6" s="91" t="s">
        <v>25</v>
      </c>
      <c r="C6" s="13" t="s">
        <v>52</v>
      </c>
      <c r="D6" s="88" t="s">
        <v>52</v>
      </c>
      <c r="E6" s="128" t="s">
        <v>112</v>
      </c>
      <c r="F6" s="13" t="s">
        <v>52</v>
      </c>
      <c r="G6" s="13" t="s">
        <v>52</v>
      </c>
      <c r="H6" s="58"/>
      <c r="I6" s="88" t="s">
        <v>52</v>
      </c>
      <c r="J6" s="88" t="s">
        <v>52</v>
      </c>
      <c r="K6" s="75" t="s">
        <v>53</v>
      </c>
      <c r="L6" s="75" t="s">
        <v>52</v>
      </c>
      <c r="M6" s="75" t="s">
        <v>52</v>
      </c>
      <c r="N6" s="75" t="s">
        <v>52</v>
      </c>
      <c r="O6" s="75" t="s">
        <v>52</v>
      </c>
      <c r="P6" s="75" t="s">
        <v>52</v>
      </c>
      <c r="Q6" s="75" t="s">
        <v>52</v>
      </c>
      <c r="R6" s="75" t="s">
        <v>52</v>
      </c>
      <c r="S6" s="75" t="s">
        <v>52</v>
      </c>
      <c r="T6" s="75" t="s">
        <v>52</v>
      </c>
      <c r="U6" s="75" t="s">
        <v>52</v>
      </c>
      <c r="V6" s="14"/>
    </row>
    <row r="7" spans="1:22" s="8" customFormat="1" x14ac:dyDescent="0.35">
      <c r="A7" s="122" t="s">
        <v>125</v>
      </c>
      <c r="B7" s="68" t="s">
        <v>26</v>
      </c>
      <c r="C7" s="13" t="s">
        <v>52</v>
      </c>
      <c r="D7" s="75" t="s">
        <v>52</v>
      </c>
      <c r="E7" s="128" t="s">
        <v>112</v>
      </c>
      <c r="F7" s="13" t="s">
        <v>52</v>
      </c>
      <c r="G7" s="13" t="s">
        <v>52</v>
      </c>
      <c r="H7" s="14"/>
      <c r="I7" s="75" t="s">
        <v>52</v>
      </c>
      <c r="J7" s="75" t="s">
        <v>52</v>
      </c>
      <c r="K7" s="75" t="s">
        <v>53</v>
      </c>
      <c r="L7" s="73" t="s">
        <v>52</v>
      </c>
      <c r="M7" s="73" t="s">
        <v>52</v>
      </c>
      <c r="N7" s="73" t="s">
        <v>52</v>
      </c>
      <c r="O7" s="73" t="s">
        <v>52</v>
      </c>
      <c r="P7" s="73" t="s">
        <v>52</v>
      </c>
      <c r="Q7" s="73" t="s">
        <v>52</v>
      </c>
      <c r="R7" s="73" t="s">
        <v>52</v>
      </c>
      <c r="S7" s="73" t="s">
        <v>52</v>
      </c>
      <c r="T7" s="73" t="s">
        <v>52</v>
      </c>
      <c r="U7" s="73" t="s">
        <v>52</v>
      </c>
      <c r="V7" s="89"/>
    </row>
    <row r="8" spans="1:22" s="8" customFormat="1" x14ac:dyDescent="0.35">
      <c r="A8" s="122" t="s">
        <v>125</v>
      </c>
      <c r="B8" s="91" t="s">
        <v>23</v>
      </c>
      <c r="C8" s="13" t="s">
        <v>52</v>
      </c>
      <c r="D8" s="73" t="s">
        <v>52</v>
      </c>
      <c r="E8" s="128" t="s">
        <v>112</v>
      </c>
      <c r="F8" s="13" t="s">
        <v>52</v>
      </c>
      <c r="G8" s="13" t="s">
        <v>52</v>
      </c>
      <c r="H8" s="58"/>
      <c r="I8" s="88" t="s">
        <v>52</v>
      </c>
      <c r="J8" s="88" t="s">
        <v>52</v>
      </c>
      <c r="K8" s="75" t="s">
        <v>53</v>
      </c>
      <c r="L8" s="14"/>
      <c r="M8" s="14"/>
      <c r="N8" s="75" t="s">
        <v>52</v>
      </c>
      <c r="O8" s="14"/>
      <c r="P8" s="14"/>
      <c r="Q8" s="75" t="s">
        <v>52</v>
      </c>
      <c r="R8" s="14"/>
      <c r="S8" s="14"/>
      <c r="T8" s="14"/>
      <c r="U8" s="14"/>
      <c r="V8" s="14"/>
    </row>
    <row r="9" spans="1:22" s="8" customFormat="1" x14ac:dyDescent="0.35">
      <c r="A9" s="122" t="s">
        <v>125</v>
      </c>
      <c r="B9" s="68" t="s">
        <v>24</v>
      </c>
      <c r="C9" s="13" t="s">
        <v>52</v>
      </c>
      <c r="D9" s="73" t="s">
        <v>52</v>
      </c>
      <c r="E9" s="128" t="s">
        <v>112</v>
      </c>
      <c r="F9" s="13" t="s">
        <v>52</v>
      </c>
      <c r="G9" s="13" t="s">
        <v>52</v>
      </c>
      <c r="H9" s="14"/>
      <c r="I9" s="75" t="s">
        <v>52</v>
      </c>
      <c r="J9" s="75" t="s">
        <v>52</v>
      </c>
      <c r="K9" s="75" t="s">
        <v>53</v>
      </c>
      <c r="L9" s="89"/>
      <c r="M9" s="89"/>
      <c r="N9" s="73" t="s">
        <v>52</v>
      </c>
      <c r="O9" s="89"/>
      <c r="P9" s="89"/>
      <c r="Q9" s="73" t="s">
        <v>52</v>
      </c>
      <c r="R9" s="89"/>
      <c r="S9" s="89"/>
      <c r="T9" s="89"/>
      <c r="U9" s="89"/>
      <c r="V9" s="89"/>
    </row>
    <row r="10" spans="1:22" s="8" customFormat="1" x14ac:dyDescent="0.35">
      <c r="A10" s="122" t="s">
        <v>125</v>
      </c>
      <c r="B10" s="91" t="s">
        <v>17</v>
      </c>
      <c r="C10" s="13" t="s">
        <v>52</v>
      </c>
      <c r="D10" s="73" t="s">
        <v>52</v>
      </c>
      <c r="E10" s="128" t="s">
        <v>112</v>
      </c>
      <c r="F10" s="13" t="s">
        <v>52</v>
      </c>
      <c r="G10" s="13" t="s">
        <v>52</v>
      </c>
      <c r="H10" s="58"/>
      <c r="I10" s="88" t="s">
        <v>52</v>
      </c>
      <c r="J10" s="88" t="s">
        <v>52</v>
      </c>
      <c r="K10" s="75" t="s">
        <v>53</v>
      </c>
      <c r="L10" s="14"/>
      <c r="M10" s="14"/>
      <c r="N10" s="75" t="s">
        <v>52</v>
      </c>
      <c r="O10" s="14"/>
      <c r="P10" s="14"/>
      <c r="Q10" s="75" t="s">
        <v>52</v>
      </c>
      <c r="R10" s="14"/>
      <c r="S10" s="14"/>
      <c r="T10" s="14"/>
      <c r="U10" s="14"/>
      <c r="V10" s="14"/>
    </row>
    <row r="11" spans="1:22" s="8" customFormat="1" x14ac:dyDescent="0.35">
      <c r="A11" s="122" t="s">
        <v>125</v>
      </c>
      <c r="B11" s="68" t="s">
        <v>18</v>
      </c>
      <c r="C11" s="13" t="s">
        <v>52</v>
      </c>
      <c r="D11" s="73" t="s">
        <v>52</v>
      </c>
      <c r="E11" s="128" t="s">
        <v>112</v>
      </c>
      <c r="F11" s="13" t="s">
        <v>52</v>
      </c>
      <c r="G11" s="13" t="s">
        <v>52</v>
      </c>
      <c r="H11" s="14"/>
      <c r="I11" s="75" t="s">
        <v>52</v>
      </c>
      <c r="J11" s="75" t="s">
        <v>52</v>
      </c>
      <c r="K11" s="75" t="s">
        <v>53</v>
      </c>
      <c r="L11" s="89"/>
      <c r="M11" s="89"/>
      <c r="N11" s="73" t="s">
        <v>52</v>
      </c>
      <c r="O11" s="89"/>
      <c r="P11" s="89"/>
      <c r="Q11" s="73" t="s">
        <v>52</v>
      </c>
      <c r="R11" s="89"/>
      <c r="S11" s="89"/>
      <c r="T11" s="89"/>
      <c r="U11" s="89"/>
      <c r="V11" s="89"/>
    </row>
    <row r="12" spans="1:22" s="8" customFormat="1" x14ac:dyDescent="0.35">
      <c r="A12" s="122" t="s">
        <v>125</v>
      </c>
      <c r="B12" s="91" t="s">
        <v>19</v>
      </c>
      <c r="C12" s="13" t="s">
        <v>52</v>
      </c>
      <c r="D12" s="73" t="s">
        <v>52</v>
      </c>
      <c r="E12" s="128" t="s">
        <v>112</v>
      </c>
      <c r="F12" s="13" t="s">
        <v>52</v>
      </c>
      <c r="G12" s="13" t="s">
        <v>52</v>
      </c>
      <c r="H12" s="58"/>
      <c r="I12" s="88" t="s">
        <v>52</v>
      </c>
      <c r="J12" s="88" t="s">
        <v>52</v>
      </c>
      <c r="K12" s="75" t="s">
        <v>53</v>
      </c>
      <c r="L12" s="14"/>
      <c r="M12" s="14"/>
      <c r="N12" s="75" t="s">
        <v>52</v>
      </c>
      <c r="O12" s="14"/>
      <c r="P12" s="14"/>
      <c r="Q12" s="75" t="s">
        <v>52</v>
      </c>
      <c r="R12" s="14"/>
      <c r="S12" s="14"/>
      <c r="T12" s="14"/>
      <c r="U12" s="14"/>
      <c r="V12" s="14"/>
    </row>
    <row r="13" spans="1:22" s="8" customFormat="1" x14ac:dyDescent="0.35">
      <c r="A13" s="122" t="s">
        <v>125</v>
      </c>
      <c r="B13" s="68" t="s">
        <v>20</v>
      </c>
      <c r="C13" s="13" t="s">
        <v>52</v>
      </c>
      <c r="D13" s="73" t="s">
        <v>52</v>
      </c>
      <c r="E13" s="128" t="s">
        <v>112</v>
      </c>
      <c r="F13" s="13" t="s">
        <v>52</v>
      </c>
      <c r="G13" s="13" t="s">
        <v>52</v>
      </c>
      <c r="H13" s="14"/>
      <c r="I13" s="75" t="s">
        <v>52</v>
      </c>
      <c r="J13" s="75" t="s">
        <v>52</v>
      </c>
      <c r="K13" s="75" t="s">
        <v>53</v>
      </c>
      <c r="L13" s="89"/>
      <c r="M13" s="89"/>
      <c r="N13" s="73" t="s">
        <v>52</v>
      </c>
      <c r="O13" s="89"/>
      <c r="P13" s="89"/>
      <c r="Q13" s="73" t="s">
        <v>52</v>
      </c>
      <c r="R13" s="89"/>
      <c r="S13" s="89"/>
      <c r="T13" s="89"/>
      <c r="U13" s="89"/>
      <c r="V13" s="89"/>
    </row>
    <row r="14" spans="1:22" s="8" customFormat="1" x14ac:dyDescent="0.35">
      <c r="A14" s="122" t="s">
        <v>125</v>
      </c>
      <c r="B14" s="91" t="s">
        <v>21</v>
      </c>
      <c r="C14" s="13" t="s">
        <v>52</v>
      </c>
      <c r="D14" s="73" t="s">
        <v>52</v>
      </c>
      <c r="E14" s="128" t="s">
        <v>112</v>
      </c>
      <c r="F14" s="13" t="s">
        <v>52</v>
      </c>
      <c r="G14" s="13" t="s">
        <v>52</v>
      </c>
      <c r="H14" s="58"/>
      <c r="I14" s="88" t="s">
        <v>52</v>
      </c>
      <c r="J14" s="88" t="s">
        <v>52</v>
      </c>
      <c r="K14" s="75" t="s">
        <v>53</v>
      </c>
      <c r="L14" s="14"/>
      <c r="M14" s="14"/>
      <c r="N14" s="75" t="s">
        <v>52</v>
      </c>
      <c r="O14" s="14"/>
      <c r="P14" s="14"/>
      <c r="Q14" s="75" t="s">
        <v>52</v>
      </c>
      <c r="R14" s="14"/>
      <c r="S14" s="14"/>
      <c r="T14" s="14"/>
      <c r="U14" s="14"/>
      <c r="V14" s="14"/>
    </row>
    <row r="15" spans="1:22" s="8" customFormat="1" x14ac:dyDescent="0.35">
      <c r="A15" s="122" t="s">
        <v>125</v>
      </c>
      <c r="B15" s="68" t="s">
        <v>22</v>
      </c>
      <c r="C15" s="13" t="s">
        <v>52</v>
      </c>
      <c r="D15" s="73" t="s">
        <v>52</v>
      </c>
      <c r="E15" s="128" t="s">
        <v>112</v>
      </c>
      <c r="F15" s="13" t="s">
        <v>52</v>
      </c>
      <c r="G15" s="13" t="s">
        <v>52</v>
      </c>
      <c r="H15" s="14"/>
      <c r="I15" s="75" t="s">
        <v>52</v>
      </c>
      <c r="J15" s="75" t="s">
        <v>52</v>
      </c>
      <c r="K15" s="75" t="s">
        <v>53</v>
      </c>
      <c r="L15" s="89"/>
      <c r="M15" s="89"/>
      <c r="N15" s="73" t="s">
        <v>52</v>
      </c>
      <c r="O15" s="89"/>
      <c r="P15" s="89"/>
      <c r="Q15" s="73" t="s">
        <v>52</v>
      </c>
      <c r="R15" s="89"/>
      <c r="S15" s="89"/>
      <c r="T15" s="89"/>
      <c r="U15" s="89"/>
      <c r="V15" s="89"/>
    </row>
    <row r="16" spans="1:22" s="8" customFormat="1" x14ac:dyDescent="0.35">
      <c r="A16" s="122" t="s">
        <v>125</v>
      </c>
      <c r="B16" s="91" t="s">
        <v>15</v>
      </c>
      <c r="C16" s="13" t="s">
        <v>52</v>
      </c>
      <c r="D16" s="73" t="s">
        <v>52</v>
      </c>
      <c r="E16" s="128" t="s">
        <v>112</v>
      </c>
      <c r="F16" s="13" t="s">
        <v>52</v>
      </c>
      <c r="G16" s="13" t="s">
        <v>52</v>
      </c>
      <c r="H16" s="58"/>
      <c r="I16" s="75" t="s">
        <v>52</v>
      </c>
      <c r="J16" s="75" t="s">
        <v>52</v>
      </c>
      <c r="K16" s="75" t="s">
        <v>53</v>
      </c>
      <c r="L16" s="75" t="s">
        <v>52</v>
      </c>
      <c r="M16" s="75" t="s">
        <v>52</v>
      </c>
      <c r="N16" s="75" t="s">
        <v>52</v>
      </c>
      <c r="O16" s="75" t="s">
        <v>52</v>
      </c>
      <c r="P16" s="75" t="s">
        <v>52</v>
      </c>
      <c r="Q16" s="75" t="s">
        <v>52</v>
      </c>
      <c r="R16" s="75" t="s">
        <v>52</v>
      </c>
      <c r="S16" s="75" t="s">
        <v>52</v>
      </c>
      <c r="T16" s="75" t="s">
        <v>52</v>
      </c>
      <c r="U16" s="75" t="s">
        <v>52</v>
      </c>
      <c r="V16" s="14"/>
    </row>
    <row r="17" spans="1:22" s="8" customFormat="1" x14ac:dyDescent="0.35">
      <c r="A17" s="122" t="s">
        <v>125</v>
      </c>
      <c r="B17" s="68" t="s">
        <v>10</v>
      </c>
      <c r="C17" s="13" t="s">
        <v>52</v>
      </c>
      <c r="D17" s="128" t="s">
        <v>125</v>
      </c>
      <c r="E17" s="128" t="s">
        <v>112</v>
      </c>
      <c r="F17" s="13" t="s">
        <v>52</v>
      </c>
      <c r="G17" s="13" t="s">
        <v>52</v>
      </c>
      <c r="H17" s="14"/>
      <c r="I17" s="14"/>
      <c r="J17" s="14"/>
      <c r="K17" s="75" t="s">
        <v>53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s="8" customFormat="1" x14ac:dyDescent="0.35">
      <c r="A18" s="122" t="s">
        <v>125</v>
      </c>
      <c r="B18" s="91" t="s">
        <v>11</v>
      </c>
      <c r="C18" s="13" t="s">
        <v>52</v>
      </c>
      <c r="D18" s="128" t="s">
        <v>125</v>
      </c>
      <c r="E18" s="128" t="s">
        <v>112</v>
      </c>
      <c r="F18" s="13" t="s">
        <v>52</v>
      </c>
      <c r="G18" s="13" t="s">
        <v>52</v>
      </c>
      <c r="H18" s="58"/>
      <c r="I18" s="58"/>
      <c r="J18" s="58"/>
      <c r="K18" s="75" t="s">
        <v>53</v>
      </c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</row>
    <row r="19" spans="1:22" s="8" customFormat="1" x14ac:dyDescent="0.35">
      <c r="A19" s="122" t="s">
        <v>125</v>
      </c>
      <c r="B19" s="68" t="s">
        <v>8</v>
      </c>
      <c r="C19" s="13" t="s">
        <v>52</v>
      </c>
      <c r="D19" s="128" t="s">
        <v>125</v>
      </c>
      <c r="E19" s="128" t="s">
        <v>112</v>
      </c>
      <c r="F19" s="13" t="s">
        <v>52</v>
      </c>
      <c r="G19" s="13" t="s">
        <v>52</v>
      </c>
      <c r="H19" s="14"/>
      <c r="I19" s="14"/>
      <c r="J19" s="14"/>
      <c r="K19" s="75" t="s">
        <v>53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s="8" customFormat="1" x14ac:dyDescent="0.35">
      <c r="A20" s="122" t="s">
        <v>125</v>
      </c>
      <c r="B20" s="91" t="s">
        <v>12</v>
      </c>
      <c r="C20" s="13" t="s">
        <v>52</v>
      </c>
      <c r="D20" s="13" t="s">
        <v>52</v>
      </c>
      <c r="E20" s="128" t="s">
        <v>112</v>
      </c>
      <c r="F20" s="13" t="s">
        <v>52</v>
      </c>
      <c r="G20" s="13" t="s">
        <v>52</v>
      </c>
      <c r="H20" s="58"/>
      <c r="I20" s="58"/>
      <c r="J20" s="58"/>
      <c r="K20" s="75" t="s">
        <v>53</v>
      </c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</row>
    <row r="21" spans="1:22" s="8" customFormat="1" x14ac:dyDescent="0.35">
      <c r="A21" s="122" t="s">
        <v>125</v>
      </c>
      <c r="B21" s="68" t="s">
        <v>13</v>
      </c>
      <c r="C21" s="13" t="s">
        <v>52</v>
      </c>
      <c r="D21" s="128" t="s">
        <v>125</v>
      </c>
      <c r="E21" s="128" t="s">
        <v>112</v>
      </c>
      <c r="F21" s="13" t="s">
        <v>52</v>
      </c>
      <c r="G21" s="13" t="s">
        <v>52</v>
      </c>
      <c r="H21" s="14"/>
      <c r="I21" s="14"/>
      <c r="J21" s="14"/>
      <c r="K21" s="75" t="s">
        <v>53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 s="8" customFormat="1" x14ac:dyDescent="0.35">
      <c r="A22" s="123" t="s">
        <v>125</v>
      </c>
      <c r="B22" s="92" t="s">
        <v>14</v>
      </c>
      <c r="C22" s="110" t="s">
        <v>52</v>
      </c>
      <c r="D22" s="128" t="s">
        <v>125</v>
      </c>
      <c r="E22" s="128" t="s">
        <v>112</v>
      </c>
      <c r="F22" s="110" t="s">
        <v>52</v>
      </c>
      <c r="G22" s="110" t="s">
        <v>52</v>
      </c>
      <c r="H22" s="87"/>
      <c r="I22" s="87"/>
      <c r="J22" s="87"/>
      <c r="K22" s="111" t="s">
        <v>53</v>
      </c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</row>
    <row r="23" spans="1:22" s="8" customFormat="1" x14ac:dyDescent="0.35">
      <c r="A23" s="124" t="s">
        <v>126</v>
      </c>
      <c r="B23" s="91" t="s">
        <v>30</v>
      </c>
      <c r="C23" s="13" t="s">
        <v>52</v>
      </c>
      <c r="D23" s="129" t="s">
        <v>126</v>
      </c>
      <c r="E23" s="13" t="s">
        <v>52</v>
      </c>
      <c r="F23" s="13" t="s">
        <v>52</v>
      </c>
      <c r="G23" s="13" t="s">
        <v>52</v>
      </c>
      <c r="H23" s="88" t="s">
        <v>52</v>
      </c>
      <c r="I23" s="58"/>
      <c r="J23" s="88" t="s">
        <v>52</v>
      </c>
      <c r="K23" s="75" t="s">
        <v>53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</row>
    <row r="24" spans="1:22" s="8" customFormat="1" x14ac:dyDescent="0.35">
      <c r="A24" s="124" t="s">
        <v>126</v>
      </c>
      <c r="B24" s="68" t="s">
        <v>32</v>
      </c>
      <c r="C24" s="13" t="s">
        <v>52</v>
      </c>
      <c r="D24" s="129" t="s">
        <v>126</v>
      </c>
      <c r="E24" s="13" t="s">
        <v>52</v>
      </c>
      <c r="F24" s="13" t="s">
        <v>52</v>
      </c>
      <c r="G24" s="13" t="s">
        <v>52</v>
      </c>
      <c r="H24" s="75" t="s">
        <v>52</v>
      </c>
      <c r="I24" s="14"/>
      <c r="J24" s="75" t="s">
        <v>52</v>
      </c>
      <c r="K24" s="75" t="s">
        <v>53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s="8" customFormat="1" x14ac:dyDescent="0.35">
      <c r="A25" s="124" t="s">
        <v>126</v>
      </c>
      <c r="B25" s="72" t="s">
        <v>33</v>
      </c>
      <c r="C25" s="13" t="s">
        <v>52</v>
      </c>
      <c r="D25" s="129" t="s">
        <v>126</v>
      </c>
      <c r="E25" s="13" t="s">
        <v>52</v>
      </c>
      <c r="F25" s="13" t="s">
        <v>52</v>
      </c>
      <c r="G25" s="13" t="s">
        <v>52</v>
      </c>
      <c r="H25" s="73" t="s">
        <v>52</v>
      </c>
      <c r="I25" s="89"/>
      <c r="J25" s="73" t="s">
        <v>52</v>
      </c>
      <c r="K25" s="75" t="s">
        <v>53</v>
      </c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</row>
    <row r="26" spans="1:22" s="8" customFormat="1" x14ac:dyDescent="0.35">
      <c r="A26" s="124" t="s">
        <v>126</v>
      </c>
      <c r="B26" s="72" t="s">
        <v>28</v>
      </c>
      <c r="C26" s="13" t="s">
        <v>52</v>
      </c>
      <c r="D26" s="73" t="s">
        <v>52</v>
      </c>
      <c r="E26" s="129" t="s">
        <v>113</v>
      </c>
      <c r="F26" s="13" t="s">
        <v>52</v>
      </c>
      <c r="G26" s="13" t="s">
        <v>52</v>
      </c>
      <c r="H26" s="73" t="s">
        <v>52</v>
      </c>
      <c r="I26" s="89"/>
      <c r="J26" s="73" t="s">
        <v>52</v>
      </c>
      <c r="K26" s="75" t="s">
        <v>53</v>
      </c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</row>
    <row r="27" spans="1:22" s="8" customFormat="1" x14ac:dyDescent="0.35">
      <c r="A27" s="124" t="s">
        <v>126</v>
      </c>
      <c r="B27" s="68" t="s">
        <v>25</v>
      </c>
      <c r="C27" s="13" t="s">
        <v>52</v>
      </c>
      <c r="D27" s="75" t="s">
        <v>52</v>
      </c>
      <c r="E27" s="129" t="s">
        <v>113</v>
      </c>
      <c r="F27" s="13" t="s">
        <v>52</v>
      </c>
      <c r="G27" s="13" t="s">
        <v>52</v>
      </c>
      <c r="H27" s="14"/>
      <c r="I27" s="75" t="s">
        <v>52</v>
      </c>
      <c r="J27" s="75" t="s">
        <v>52</v>
      </c>
      <c r="K27" s="75" t="s">
        <v>53</v>
      </c>
      <c r="L27" s="75" t="s">
        <v>52</v>
      </c>
      <c r="M27" s="75" t="s">
        <v>52</v>
      </c>
      <c r="N27" s="75" t="s">
        <v>52</v>
      </c>
      <c r="O27" s="75" t="s">
        <v>52</v>
      </c>
      <c r="P27" s="75" t="s">
        <v>52</v>
      </c>
      <c r="Q27" s="75" t="s">
        <v>52</v>
      </c>
      <c r="R27" s="75" t="s">
        <v>52</v>
      </c>
      <c r="S27" s="75" t="s">
        <v>52</v>
      </c>
      <c r="T27" s="75" t="s">
        <v>52</v>
      </c>
      <c r="U27" s="75" t="s">
        <v>52</v>
      </c>
      <c r="V27" s="14"/>
    </row>
    <row r="28" spans="1:22" s="8" customFormat="1" x14ac:dyDescent="0.35">
      <c r="A28" s="124" t="s">
        <v>126</v>
      </c>
      <c r="B28" s="72" t="s">
        <v>26</v>
      </c>
      <c r="C28" s="13" t="s">
        <v>52</v>
      </c>
      <c r="D28" s="73" t="s">
        <v>52</v>
      </c>
      <c r="E28" s="129" t="s">
        <v>113</v>
      </c>
      <c r="F28" s="13" t="s">
        <v>52</v>
      </c>
      <c r="G28" s="13" t="s">
        <v>52</v>
      </c>
      <c r="H28" s="89"/>
      <c r="I28" s="73" t="s">
        <v>52</v>
      </c>
      <c r="J28" s="73" t="s">
        <v>52</v>
      </c>
      <c r="K28" s="75" t="s">
        <v>53</v>
      </c>
      <c r="L28" s="73" t="s">
        <v>52</v>
      </c>
      <c r="M28" s="73" t="s">
        <v>52</v>
      </c>
      <c r="N28" s="73" t="s">
        <v>52</v>
      </c>
      <c r="O28" s="73" t="s">
        <v>52</v>
      </c>
      <c r="P28" s="73" t="s">
        <v>52</v>
      </c>
      <c r="Q28" s="73" t="s">
        <v>52</v>
      </c>
      <c r="R28" s="73" t="s">
        <v>52</v>
      </c>
      <c r="S28" s="73" t="s">
        <v>52</v>
      </c>
      <c r="T28" s="73" t="s">
        <v>52</v>
      </c>
      <c r="U28" s="73" t="s">
        <v>52</v>
      </c>
      <c r="V28" s="89"/>
    </row>
    <row r="29" spans="1:22" s="8" customFormat="1" x14ac:dyDescent="0.35">
      <c r="A29" s="124" t="s">
        <v>126</v>
      </c>
      <c r="B29" s="68" t="s">
        <v>23</v>
      </c>
      <c r="C29" s="13" t="s">
        <v>52</v>
      </c>
      <c r="D29" s="73" t="s">
        <v>52</v>
      </c>
      <c r="E29" s="129" t="s">
        <v>113</v>
      </c>
      <c r="F29" s="13" t="s">
        <v>52</v>
      </c>
      <c r="G29" s="13" t="s">
        <v>52</v>
      </c>
      <c r="H29" s="14"/>
      <c r="I29" s="75" t="s">
        <v>52</v>
      </c>
      <c r="J29" s="75" t="s">
        <v>52</v>
      </c>
      <c r="K29" s="75" t="s">
        <v>53</v>
      </c>
      <c r="L29" s="14"/>
      <c r="M29" s="14"/>
      <c r="N29" s="75" t="s">
        <v>52</v>
      </c>
      <c r="O29" s="14"/>
      <c r="P29" s="14"/>
      <c r="Q29" s="75" t="s">
        <v>52</v>
      </c>
      <c r="R29" s="14"/>
      <c r="S29" s="14"/>
      <c r="T29" s="14"/>
      <c r="U29" s="14"/>
      <c r="V29" s="14"/>
    </row>
    <row r="30" spans="1:22" s="8" customFormat="1" x14ac:dyDescent="0.35">
      <c r="A30" s="124" t="s">
        <v>126</v>
      </c>
      <c r="B30" s="72" t="s">
        <v>24</v>
      </c>
      <c r="C30" s="13" t="s">
        <v>52</v>
      </c>
      <c r="D30" s="73" t="s">
        <v>52</v>
      </c>
      <c r="E30" s="129" t="s">
        <v>113</v>
      </c>
      <c r="F30" s="13" t="s">
        <v>52</v>
      </c>
      <c r="G30" s="13" t="s">
        <v>52</v>
      </c>
      <c r="H30" s="89"/>
      <c r="I30" s="73" t="s">
        <v>52</v>
      </c>
      <c r="J30" s="73" t="s">
        <v>52</v>
      </c>
      <c r="K30" s="75" t="s">
        <v>53</v>
      </c>
      <c r="L30" s="89"/>
      <c r="M30" s="89"/>
      <c r="N30" s="73" t="s">
        <v>52</v>
      </c>
      <c r="O30" s="89"/>
      <c r="P30" s="89"/>
      <c r="Q30" s="73" t="s">
        <v>52</v>
      </c>
      <c r="R30" s="89"/>
      <c r="S30" s="89"/>
      <c r="T30" s="89"/>
      <c r="U30" s="89"/>
      <c r="V30" s="89"/>
    </row>
    <row r="31" spans="1:22" s="8" customFormat="1" x14ac:dyDescent="0.35">
      <c r="A31" s="124" t="s">
        <v>126</v>
      </c>
      <c r="B31" s="68" t="s">
        <v>17</v>
      </c>
      <c r="C31" s="13" t="s">
        <v>52</v>
      </c>
      <c r="D31" s="73" t="s">
        <v>52</v>
      </c>
      <c r="E31" s="129" t="s">
        <v>113</v>
      </c>
      <c r="F31" s="13" t="s">
        <v>52</v>
      </c>
      <c r="G31" s="13" t="s">
        <v>52</v>
      </c>
      <c r="H31" s="14"/>
      <c r="I31" s="75" t="s">
        <v>52</v>
      </c>
      <c r="J31" s="75" t="s">
        <v>52</v>
      </c>
      <c r="K31" s="75" t="s">
        <v>53</v>
      </c>
      <c r="L31" s="14"/>
      <c r="M31" s="14"/>
      <c r="N31" s="75" t="s">
        <v>52</v>
      </c>
      <c r="O31" s="14"/>
      <c r="P31" s="14"/>
      <c r="Q31" s="75" t="s">
        <v>52</v>
      </c>
      <c r="R31" s="14"/>
      <c r="S31" s="14"/>
      <c r="T31" s="14"/>
      <c r="U31" s="14"/>
      <c r="V31" s="89"/>
    </row>
    <row r="32" spans="1:22" s="8" customFormat="1" x14ac:dyDescent="0.35">
      <c r="A32" s="124" t="s">
        <v>126</v>
      </c>
      <c r="B32" s="72" t="s">
        <v>18</v>
      </c>
      <c r="C32" s="13" t="s">
        <v>52</v>
      </c>
      <c r="D32" s="73" t="s">
        <v>52</v>
      </c>
      <c r="E32" s="129" t="s">
        <v>113</v>
      </c>
      <c r="F32" s="13" t="s">
        <v>52</v>
      </c>
      <c r="G32" s="13" t="s">
        <v>52</v>
      </c>
      <c r="H32" s="89"/>
      <c r="I32" s="73" t="s">
        <v>52</v>
      </c>
      <c r="J32" s="73" t="s">
        <v>52</v>
      </c>
      <c r="K32" s="75" t="s">
        <v>53</v>
      </c>
      <c r="L32" s="89"/>
      <c r="M32" s="89"/>
      <c r="N32" s="73" t="s">
        <v>52</v>
      </c>
      <c r="O32" s="89"/>
      <c r="P32" s="89"/>
      <c r="Q32" s="73" t="s">
        <v>52</v>
      </c>
      <c r="R32" s="89"/>
      <c r="S32" s="89"/>
      <c r="T32" s="89"/>
      <c r="U32" s="89"/>
      <c r="V32" s="89"/>
    </row>
    <row r="33" spans="1:22" s="8" customFormat="1" x14ac:dyDescent="0.35">
      <c r="A33" s="124" t="s">
        <v>126</v>
      </c>
      <c r="B33" s="68" t="s">
        <v>19</v>
      </c>
      <c r="C33" s="13" t="s">
        <v>52</v>
      </c>
      <c r="D33" s="73" t="s">
        <v>52</v>
      </c>
      <c r="E33" s="129" t="s">
        <v>113</v>
      </c>
      <c r="F33" s="13" t="s">
        <v>52</v>
      </c>
      <c r="G33" s="13" t="s">
        <v>52</v>
      </c>
      <c r="H33" s="14"/>
      <c r="I33" s="75" t="s">
        <v>52</v>
      </c>
      <c r="J33" s="75" t="s">
        <v>52</v>
      </c>
      <c r="K33" s="75" t="s">
        <v>53</v>
      </c>
      <c r="L33" s="14"/>
      <c r="M33" s="14"/>
      <c r="N33" s="75" t="s">
        <v>52</v>
      </c>
      <c r="O33" s="14"/>
      <c r="P33" s="14"/>
      <c r="Q33" s="75" t="s">
        <v>52</v>
      </c>
      <c r="R33" s="14"/>
      <c r="S33" s="14"/>
      <c r="T33" s="14"/>
      <c r="U33" s="14"/>
      <c r="V33" s="89"/>
    </row>
    <row r="34" spans="1:22" s="8" customFormat="1" x14ac:dyDescent="0.35">
      <c r="A34" s="124" t="s">
        <v>126</v>
      </c>
      <c r="B34" s="72" t="s">
        <v>20</v>
      </c>
      <c r="C34" s="13" t="s">
        <v>52</v>
      </c>
      <c r="D34" s="73" t="s">
        <v>52</v>
      </c>
      <c r="E34" s="129" t="s">
        <v>113</v>
      </c>
      <c r="F34" s="13" t="s">
        <v>52</v>
      </c>
      <c r="G34" s="13" t="s">
        <v>52</v>
      </c>
      <c r="H34" s="89"/>
      <c r="I34" s="73" t="s">
        <v>52</v>
      </c>
      <c r="J34" s="73" t="s">
        <v>52</v>
      </c>
      <c r="K34" s="75" t="s">
        <v>53</v>
      </c>
      <c r="L34" s="89"/>
      <c r="M34" s="89"/>
      <c r="N34" s="73" t="s">
        <v>52</v>
      </c>
      <c r="O34" s="89"/>
      <c r="P34" s="89"/>
      <c r="Q34" s="73" t="s">
        <v>52</v>
      </c>
      <c r="R34" s="89"/>
      <c r="S34" s="89"/>
      <c r="T34" s="89"/>
      <c r="U34" s="89"/>
      <c r="V34" s="89"/>
    </row>
    <row r="35" spans="1:22" s="8" customFormat="1" x14ac:dyDescent="0.35">
      <c r="A35" s="124" t="s">
        <v>126</v>
      </c>
      <c r="B35" s="68" t="s">
        <v>21</v>
      </c>
      <c r="C35" s="13" t="s">
        <v>52</v>
      </c>
      <c r="D35" s="73" t="s">
        <v>52</v>
      </c>
      <c r="E35" s="129" t="s">
        <v>113</v>
      </c>
      <c r="F35" s="13" t="s">
        <v>52</v>
      </c>
      <c r="G35" s="13" t="s">
        <v>52</v>
      </c>
      <c r="H35" s="14"/>
      <c r="I35" s="75" t="s">
        <v>52</v>
      </c>
      <c r="J35" s="75" t="s">
        <v>52</v>
      </c>
      <c r="K35" s="75" t="s">
        <v>53</v>
      </c>
      <c r="L35" s="14"/>
      <c r="M35" s="14"/>
      <c r="N35" s="75" t="s">
        <v>52</v>
      </c>
      <c r="O35" s="14"/>
      <c r="P35" s="14"/>
      <c r="Q35" s="75" t="s">
        <v>52</v>
      </c>
      <c r="R35" s="14"/>
      <c r="S35" s="14"/>
      <c r="T35" s="14"/>
      <c r="U35" s="14"/>
      <c r="V35" s="89"/>
    </row>
    <row r="36" spans="1:22" s="8" customFormat="1" x14ac:dyDescent="0.35">
      <c r="A36" s="124" t="s">
        <v>126</v>
      </c>
      <c r="B36" s="72" t="s">
        <v>22</v>
      </c>
      <c r="C36" s="13" t="s">
        <v>52</v>
      </c>
      <c r="D36" s="73" t="s">
        <v>52</v>
      </c>
      <c r="E36" s="129" t="s">
        <v>113</v>
      </c>
      <c r="F36" s="13" t="s">
        <v>52</v>
      </c>
      <c r="G36" s="13" t="s">
        <v>52</v>
      </c>
      <c r="H36" s="89"/>
      <c r="I36" s="73" t="s">
        <v>52</v>
      </c>
      <c r="J36" s="73" t="s">
        <v>52</v>
      </c>
      <c r="K36" s="75" t="s">
        <v>53</v>
      </c>
      <c r="L36" s="89"/>
      <c r="M36" s="89"/>
      <c r="N36" s="73" t="s">
        <v>52</v>
      </c>
      <c r="O36" s="89"/>
      <c r="P36" s="89"/>
      <c r="Q36" s="73" t="s">
        <v>52</v>
      </c>
      <c r="R36" s="89"/>
      <c r="S36" s="89"/>
      <c r="T36" s="89"/>
      <c r="U36" s="89"/>
      <c r="V36" s="89"/>
    </row>
    <row r="37" spans="1:22" s="8" customFormat="1" x14ac:dyDescent="0.35">
      <c r="A37" s="124" t="s">
        <v>126</v>
      </c>
      <c r="B37" s="68" t="s">
        <v>15</v>
      </c>
      <c r="C37" s="13" t="s">
        <v>52</v>
      </c>
      <c r="D37" s="73" t="s">
        <v>52</v>
      </c>
      <c r="E37" s="129" t="s">
        <v>113</v>
      </c>
      <c r="F37" s="13" t="s">
        <v>52</v>
      </c>
      <c r="G37" s="13" t="s">
        <v>52</v>
      </c>
      <c r="H37" s="14"/>
      <c r="I37" s="75" t="s">
        <v>52</v>
      </c>
      <c r="J37" s="75" t="s">
        <v>52</v>
      </c>
      <c r="K37" s="75" t="s">
        <v>53</v>
      </c>
      <c r="L37" s="75" t="s">
        <v>52</v>
      </c>
      <c r="M37" s="75" t="s">
        <v>52</v>
      </c>
      <c r="N37" s="75" t="s">
        <v>52</v>
      </c>
      <c r="O37" s="75" t="s">
        <v>52</v>
      </c>
      <c r="P37" s="75" t="s">
        <v>52</v>
      </c>
      <c r="Q37" s="75" t="s">
        <v>52</v>
      </c>
      <c r="R37" s="75" t="s">
        <v>52</v>
      </c>
      <c r="S37" s="75" t="s">
        <v>52</v>
      </c>
      <c r="T37" s="75" t="s">
        <v>52</v>
      </c>
      <c r="U37" s="75" t="s">
        <v>52</v>
      </c>
      <c r="V37" s="89"/>
    </row>
    <row r="38" spans="1:22" s="8" customFormat="1" x14ac:dyDescent="0.35">
      <c r="A38" s="124" t="s">
        <v>126</v>
      </c>
      <c r="B38" s="68" t="s">
        <v>10</v>
      </c>
      <c r="C38" s="13" t="s">
        <v>52</v>
      </c>
      <c r="D38" s="129" t="s">
        <v>126</v>
      </c>
      <c r="E38" s="129" t="s">
        <v>113</v>
      </c>
      <c r="F38" s="13" t="s">
        <v>52</v>
      </c>
      <c r="G38" s="13" t="s">
        <v>52</v>
      </c>
      <c r="H38" s="14"/>
      <c r="I38" s="14"/>
      <c r="J38" s="14"/>
      <c r="K38" s="75" t="s">
        <v>53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89"/>
    </row>
    <row r="39" spans="1:22" s="8" customFormat="1" x14ac:dyDescent="0.35">
      <c r="A39" s="124" t="s">
        <v>126</v>
      </c>
      <c r="B39" s="72" t="s">
        <v>11</v>
      </c>
      <c r="C39" s="13" t="s">
        <v>52</v>
      </c>
      <c r="D39" s="129" t="s">
        <v>126</v>
      </c>
      <c r="E39" s="129" t="s">
        <v>113</v>
      </c>
      <c r="F39" s="13" t="s">
        <v>52</v>
      </c>
      <c r="G39" s="13" t="s">
        <v>52</v>
      </c>
      <c r="H39" s="89"/>
      <c r="I39" s="89"/>
      <c r="J39" s="89"/>
      <c r="K39" s="75" t="s">
        <v>53</v>
      </c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</row>
    <row r="40" spans="1:22" s="8" customFormat="1" x14ac:dyDescent="0.35">
      <c r="A40" s="124" t="s">
        <v>126</v>
      </c>
      <c r="B40" s="68" t="s">
        <v>8</v>
      </c>
      <c r="C40" s="13" t="s">
        <v>52</v>
      </c>
      <c r="D40" s="129" t="s">
        <v>126</v>
      </c>
      <c r="E40" s="129" t="s">
        <v>113</v>
      </c>
      <c r="F40" s="13" t="s">
        <v>52</v>
      </c>
      <c r="G40" s="13" t="s">
        <v>52</v>
      </c>
      <c r="H40" s="14"/>
      <c r="I40" s="14"/>
      <c r="J40" s="14"/>
      <c r="K40" s="75" t="s">
        <v>53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89"/>
    </row>
    <row r="41" spans="1:22" s="8" customFormat="1" x14ac:dyDescent="0.35">
      <c r="A41" s="124" t="s">
        <v>126</v>
      </c>
      <c r="B41" s="72" t="s">
        <v>12</v>
      </c>
      <c r="C41" s="13" t="s">
        <v>52</v>
      </c>
      <c r="D41" s="15" t="s">
        <v>52</v>
      </c>
      <c r="E41" s="129" t="s">
        <v>113</v>
      </c>
      <c r="F41" s="13" t="s">
        <v>52</v>
      </c>
      <c r="G41" s="13" t="s">
        <v>52</v>
      </c>
      <c r="H41" s="89"/>
      <c r="I41" s="89"/>
      <c r="J41" s="89"/>
      <c r="K41" s="75" t="s">
        <v>53</v>
      </c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</row>
    <row r="42" spans="1:22" s="8" customFormat="1" x14ac:dyDescent="0.35">
      <c r="A42" s="124" t="s">
        <v>126</v>
      </c>
      <c r="B42" s="68" t="s">
        <v>13</v>
      </c>
      <c r="C42" s="13" t="s">
        <v>52</v>
      </c>
      <c r="D42" s="129" t="s">
        <v>126</v>
      </c>
      <c r="E42" s="129" t="s">
        <v>113</v>
      </c>
      <c r="F42" s="13" t="s">
        <v>52</v>
      </c>
      <c r="G42" s="13" t="s">
        <v>52</v>
      </c>
      <c r="H42" s="14"/>
      <c r="I42" s="14"/>
      <c r="J42" s="14"/>
      <c r="K42" s="75" t="s">
        <v>53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89"/>
    </row>
    <row r="43" spans="1:22" s="8" customFormat="1" x14ac:dyDescent="0.35">
      <c r="A43" s="125" t="s">
        <v>126</v>
      </c>
      <c r="B43" s="93" t="s">
        <v>14</v>
      </c>
      <c r="C43" s="110" t="s">
        <v>52</v>
      </c>
      <c r="D43" s="129" t="s">
        <v>126</v>
      </c>
      <c r="E43" s="129" t="s">
        <v>113</v>
      </c>
      <c r="F43" s="110" t="s">
        <v>52</v>
      </c>
      <c r="G43" s="110" t="s">
        <v>52</v>
      </c>
      <c r="H43" s="90"/>
      <c r="I43" s="90"/>
      <c r="J43" s="90"/>
      <c r="K43" s="111" t="s">
        <v>53</v>
      </c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89"/>
    </row>
    <row r="44" spans="1:22" s="8" customFormat="1" x14ac:dyDescent="0.35">
      <c r="A44" s="126" t="s">
        <v>127</v>
      </c>
      <c r="B44" s="91" t="s">
        <v>30</v>
      </c>
      <c r="C44" s="13" t="s">
        <v>52</v>
      </c>
      <c r="D44" s="130" t="s">
        <v>127</v>
      </c>
      <c r="E44" s="13" t="s">
        <v>52</v>
      </c>
      <c r="F44" s="13" t="s">
        <v>52</v>
      </c>
      <c r="G44" s="13" t="s">
        <v>52</v>
      </c>
      <c r="H44" s="88" t="s">
        <v>52</v>
      </c>
      <c r="I44" s="58"/>
      <c r="J44" s="88" t="s">
        <v>52</v>
      </c>
      <c r="K44" s="75" t="s">
        <v>53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89"/>
    </row>
    <row r="45" spans="1:22" s="8" customFormat="1" x14ac:dyDescent="0.35">
      <c r="A45" s="126" t="s">
        <v>127</v>
      </c>
      <c r="B45" s="68" t="s">
        <v>32</v>
      </c>
      <c r="C45" s="13" t="s">
        <v>52</v>
      </c>
      <c r="D45" s="130" t="s">
        <v>127</v>
      </c>
      <c r="E45" s="13" t="s">
        <v>52</v>
      </c>
      <c r="F45" s="13" t="s">
        <v>52</v>
      </c>
      <c r="G45" s="13" t="s">
        <v>52</v>
      </c>
      <c r="H45" s="75" t="s">
        <v>52</v>
      </c>
      <c r="I45" s="14"/>
      <c r="J45" s="75" t="s">
        <v>52</v>
      </c>
      <c r="K45" s="75" t="s">
        <v>53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89"/>
    </row>
    <row r="46" spans="1:22" s="8" customFormat="1" x14ac:dyDescent="0.35">
      <c r="A46" s="126" t="s">
        <v>127</v>
      </c>
      <c r="B46" s="72" t="s">
        <v>33</v>
      </c>
      <c r="C46" s="13" t="s">
        <v>52</v>
      </c>
      <c r="D46" s="130" t="s">
        <v>127</v>
      </c>
      <c r="E46" s="13" t="s">
        <v>52</v>
      </c>
      <c r="F46" s="13" t="s">
        <v>52</v>
      </c>
      <c r="G46" s="13" t="s">
        <v>52</v>
      </c>
      <c r="H46" s="73" t="s">
        <v>52</v>
      </c>
      <c r="I46" s="89"/>
      <c r="J46" s="73" t="s">
        <v>52</v>
      </c>
      <c r="K46" s="75" t="s">
        <v>53</v>
      </c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</row>
    <row r="47" spans="1:22" s="8" customFormat="1" x14ac:dyDescent="0.35">
      <c r="A47" s="126" t="s">
        <v>127</v>
      </c>
      <c r="B47" s="72" t="s">
        <v>28</v>
      </c>
      <c r="C47" s="13" t="s">
        <v>52</v>
      </c>
      <c r="D47" s="73" t="s">
        <v>52</v>
      </c>
      <c r="E47" s="130" t="s">
        <v>114</v>
      </c>
      <c r="F47" s="13" t="s">
        <v>52</v>
      </c>
      <c r="G47" s="13" t="s">
        <v>52</v>
      </c>
      <c r="H47" s="73" t="s">
        <v>52</v>
      </c>
      <c r="I47" s="89"/>
      <c r="J47" s="73" t="s">
        <v>52</v>
      </c>
      <c r="K47" s="75" t="s">
        <v>53</v>
      </c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</row>
    <row r="48" spans="1:22" s="8" customFormat="1" x14ac:dyDescent="0.35">
      <c r="A48" s="126" t="s">
        <v>127</v>
      </c>
      <c r="B48" s="68" t="s">
        <v>25</v>
      </c>
      <c r="C48" s="13" t="s">
        <v>52</v>
      </c>
      <c r="D48" s="75" t="s">
        <v>52</v>
      </c>
      <c r="E48" s="130" t="s">
        <v>114</v>
      </c>
      <c r="F48" s="13" t="s">
        <v>52</v>
      </c>
      <c r="G48" s="13" t="s">
        <v>52</v>
      </c>
      <c r="H48" s="14"/>
      <c r="I48" s="75" t="s">
        <v>52</v>
      </c>
      <c r="J48" s="75" t="s">
        <v>52</v>
      </c>
      <c r="K48" s="75" t="s">
        <v>53</v>
      </c>
      <c r="L48" s="75" t="s">
        <v>52</v>
      </c>
      <c r="M48" s="75" t="s">
        <v>52</v>
      </c>
      <c r="N48" s="75" t="s">
        <v>52</v>
      </c>
      <c r="O48" s="75" t="s">
        <v>52</v>
      </c>
      <c r="P48" s="75" t="s">
        <v>52</v>
      </c>
      <c r="Q48" s="75" t="s">
        <v>52</v>
      </c>
      <c r="R48" s="75" t="s">
        <v>52</v>
      </c>
      <c r="S48" s="75" t="s">
        <v>52</v>
      </c>
      <c r="T48" s="75" t="s">
        <v>52</v>
      </c>
      <c r="U48" s="75" t="s">
        <v>52</v>
      </c>
      <c r="V48" s="89"/>
    </row>
    <row r="49" spans="1:22" s="8" customFormat="1" x14ac:dyDescent="0.35">
      <c r="A49" s="126" t="s">
        <v>127</v>
      </c>
      <c r="B49" s="72" t="s">
        <v>26</v>
      </c>
      <c r="C49" s="13" t="s">
        <v>52</v>
      </c>
      <c r="D49" s="73" t="s">
        <v>52</v>
      </c>
      <c r="E49" s="130" t="s">
        <v>114</v>
      </c>
      <c r="F49" s="13" t="s">
        <v>52</v>
      </c>
      <c r="G49" s="13" t="s">
        <v>52</v>
      </c>
      <c r="H49" s="89"/>
      <c r="I49" s="73" t="s">
        <v>52</v>
      </c>
      <c r="J49" s="73" t="s">
        <v>52</v>
      </c>
      <c r="K49" s="75" t="s">
        <v>53</v>
      </c>
      <c r="L49" s="73" t="s">
        <v>52</v>
      </c>
      <c r="M49" s="73" t="s">
        <v>52</v>
      </c>
      <c r="N49" s="73" t="s">
        <v>52</v>
      </c>
      <c r="O49" s="73" t="s">
        <v>52</v>
      </c>
      <c r="P49" s="73" t="s">
        <v>52</v>
      </c>
      <c r="Q49" s="73" t="s">
        <v>52</v>
      </c>
      <c r="R49" s="73" t="s">
        <v>52</v>
      </c>
      <c r="S49" s="73" t="s">
        <v>52</v>
      </c>
      <c r="T49" s="73" t="s">
        <v>52</v>
      </c>
      <c r="U49" s="73" t="s">
        <v>52</v>
      </c>
      <c r="V49" s="89"/>
    </row>
    <row r="50" spans="1:22" s="8" customFormat="1" x14ac:dyDescent="0.35">
      <c r="A50" s="126" t="s">
        <v>127</v>
      </c>
      <c r="B50" s="68" t="s">
        <v>23</v>
      </c>
      <c r="C50" s="13" t="s">
        <v>52</v>
      </c>
      <c r="D50" s="75" t="s">
        <v>52</v>
      </c>
      <c r="E50" s="130" t="s">
        <v>114</v>
      </c>
      <c r="F50" s="13" t="s">
        <v>52</v>
      </c>
      <c r="G50" s="13" t="s">
        <v>52</v>
      </c>
      <c r="H50" s="14"/>
      <c r="I50" s="75" t="s">
        <v>52</v>
      </c>
      <c r="J50" s="75" t="s">
        <v>52</v>
      </c>
      <c r="K50" s="75" t="s">
        <v>53</v>
      </c>
      <c r="L50" s="14"/>
      <c r="M50" s="14"/>
      <c r="N50" s="75" t="s">
        <v>52</v>
      </c>
      <c r="O50" s="14"/>
      <c r="P50" s="14"/>
      <c r="Q50" s="75" t="s">
        <v>52</v>
      </c>
      <c r="R50" s="14"/>
      <c r="S50" s="14"/>
      <c r="T50" s="14"/>
      <c r="U50" s="14"/>
      <c r="V50" s="89"/>
    </row>
    <row r="51" spans="1:22" s="8" customFormat="1" x14ac:dyDescent="0.35">
      <c r="A51" s="126" t="s">
        <v>127</v>
      </c>
      <c r="B51" s="72" t="s">
        <v>24</v>
      </c>
      <c r="C51" s="13" t="s">
        <v>52</v>
      </c>
      <c r="D51" s="73" t="s">
        <v>52</v>
      </c>
      <c r="E51" s="130" t="s">
        <v>114</v>
      </c>
      <c r="F51" s="13" t="s">
        <v>52</v>
      </c>
      <c r="G51" s="13" t="s">
        <v>52</v>
      </c>
      <c r="H51" s="89"/>
      <c r="I51" s="73" t="s">
        <v>52</v>
      </c>
      <c r="J51" s="73" t="s">
        <v>52</v>
      </c>
      <c r="K51" s="75" t="s">
        <v>53</v>
      </c>
      <c r="L51" s="89"/>
      <c r="M51" s="89"/>
      <c r="N51" s="73" t="s">
        <v>52</v>
      </c>
      <c r="O51" s="89"/>
      <c r="P51" s="89"/>
      <c r="Q51" s="73" t="s">
        <v>52</v>
      </c>
      <c r="R51" s="89"/>
      <c r="S51" s="89"/>
      <c r="T51" s="89"/>
      <c r="U51" s="89"/>
      <c r="V51" s="89"/>
    </row>
    <row r="52" spans="1:22" s="8" customFormat="1" x14ac:dyDescent="0.35">
      <c r="A52" s="126" t="s">
        <v>127</v>
      </c>
      <c r="B52" s="68" t="s">
        <v>17</v>
      </c>
      <c r="C52" s="13" t="s">
        <v>52</v>
      </c>
      <c r="D52" s="75" t="s">
        <v>52</v>
      </c>
      <c r="E52" s="130" t="s">
        <v>114</v>
      </c>
      <c r="F52" s="13" t="s">
        <v>52</v>
      </c>
      <c r="G52" s="13" t="s">
        <v>52</v>
      </c>
      <c r="H52" s="14"/>
      <c r="I52" s="75" t="s">
        <v>52</v>
      </c>
      <c r="J52" s="75" t="s">
        <v>52</v>
      </c>
      <c r="K52" s="75" t="s">
        <v>53</v>
      </c>
      <c r="L52" s="14"/>
      <c r="M52" s="14"/>
      <c r="N52" s="75" t="s">
        <v>52</v>
      </c>
      <c r="O52" s="14"/>
      <c r="P52" s="14"/>
      <c r="Q52" s="75" t="s">
        <v>52</v>
      </c>
      <c r="R52" s="14"/>
      <c r="S52" s="14"/>
      <c r="T52" s="14"/>
      <c r="U52" s="14"/>
      <c r="V52" s="89"/>
    </row>
    <row r="53" spans="1:22" s="8" customFormat="1" x14ac:dyDescent="0.35">
      <c r="A53" s="126" t="s">
        <v>127</v>
      </c>
      <c r="B53" s="72" t="s">
        <v>18</v>
      </c>
      <c r="C53" s="13" t="s">
        <v>52</v>
      </c>
      <c r="D53" s="73" t="s">
        <v>52</v>
      </c>
      <c r="E53" s="130" t="s">
        <v>114</v>
      </c>
      <c r="F53" s="13" t="s">
        <v>52</v>
      </c>
      <c r="G53" s="13" t="s">
        <v>52</v>
      </c>
      <c r="H53" s="89"/>
      <c r="I53" s="73" t="s">
        <v>52</v>
      </c>
      <c r="J53" s="73" t="s">
        <v>52</v>
      </c>
      <c r="K53" s="75" t="s">
        <v>53</v>
      </c>
      <c r="L53" s="89"/>
      <c r="M53" s="89"/>
      <c r="N53" s="73" t="s">
        <v>52</v>
      </c>
      <c r="O53" s="89"/>
      <c r="P53" s="89"/>
      <c r="Q53" s="73" t="s">
        <v>52</v>
      </c>
      <c r="R53" s="89"/>
      <c r="S53" s="89"/>
      <c r="T53" s="89"/>
      <c r="U53" s="89"/>
      <c r="V53" s="89"/>
    </row>
    <row r="54" spans="1:22" s="8" customFormat="1" x14ac:dyDescent="0.35">
      <c r="A54" s="126" t="s">
        <v>127</v>
      </c>
      <c r="B54" s="68" t="s">
        <v>19</v>
      </c>
      <c r="C54" s="13" t="s">
        <v>52</v>
      </c>
      <c r="D54" s="75" t="s">
        <v>52</v>
      </c>
      <c r="E54" s="130" t="s">
        <v>114</v>
      </c>
      <c r="F54" s="13" t="s">
        <v>52</v>
      </c>
      <c r="G54" s="13" t="s">
        <v>52</v>
      </c>
      <c r="H54" s="14"/>
      <c r="I54" s="75" t="s">
        <v>52</v>
      </c>
      <c r="J54" s="75" t="s">
        <v>52</v>
      </c>
      <c r="K54" s="75" t="s">
        <v>53</v>
      </c>
      <c r="L54" s="14"/>
      <c r="M54" s="14"/>
      <c r="N54" s="75" t="s">
        <v>52</v>
      </c>
      <c r="O54" s="14"/>
      <c r="P54" s="14"/>
      <c r="Q54" s="75" t="s">
        <v>52</v>
      </c>
      <c r="R54" s="14"/>
      <c r="S54" s="14"/>
      <c r="T54" s="14"/>
      <c r="U54" s="14"/>
      <c r="V54" s="89"/>
    </row>
    <row r="55" spans="1:22" s="8" customFormat="1" x14ac:dyDescent="0.35">
      <c r="A55" s="126" t="s">
        <v>127</v>
      </c>
      <c r="B55" s="72" t="s">
        <v>20</v>
      </c>
      <c r="C55" s="13" t="s">
        <v>52</v>
      </c>
      <c r="D55" s="73" t="s">
        <v>52</v>
      </c>
      <c r="E55" s="130" t="s">
        <v>114</v>
      </c>
      <c r="F55" s="13" t="s">
        <v>52</v>
      </c>
      <c r="G55" s="13" t="s">
        <v>52</v>
      </c>
      <c r="H55" s="89"/>
      <c r="I55" s="73" t="s">
        <v>52</v>
      </c>
      <c r="J55" s="73" t="s">
        <v>52</v>
      </c>
      <c r="K55" s="75" t="s">
        <v>53</v>
      </c>
      <c r="L55" s="89"/>
      <c r="M55" s="89"/>
      <c r="N55" s="73" t="s">
        <v>52</v>
      </c>
      <c r="O55" s="89"/>
      <c r="P55" s="89"/>
      <c r="Q55" s="73" t="s">
        <v>52</v>
      </c>
      <c r="R55" s="89"/>
      <c r="S55" s="89"/>
      <c r="T55" s="89"/>
      <c r="U55" s="89"/>
      <c r="V55" s="89"/>
    </row>
    <row r="56" spans="1:22" s="8" customFormat="1" x14ac:dyDescent="0.35">
      <c r="A56" s="126" t="s">
        <v>127</v>
      </c>
      <c r="B56" s="68" t="s">
        <v>21</v>
      </c>
      <c r="C56" s="13" t="s">
        <v>52</v>
      </c>
      <c r="D56" s="75" t="s">
        <v>52</v>
      </c>
      <c r="E56" s="130" t="s">
        <v>114</v>
      </c>
      <c r="F56" s="13" t="s">
        <v>52</v>
      </c>
      <c r="G56" s="13" t="s">
        <v>52</v>
      </c>
      <c r="H56" s="14"/>
      <c r="I56" s="75" t="s">
        <v>52</v>
      </c>
      <c r="J56" s="75" t="s">
        <v>52</v>
      </c>
      <c r="K56" s="75" t="s">
        <v>53</v>
      </c>
      <c r="L56" s="14"/>
      <c r="M56" s="14"/>
      <c r="N56" s="75" t="s">
        <v>52</v>
      </c>
      <c r="O56" s="14"/>
      <c r="P56" s="14"/>
      <c r="Q56" s="75" t="s">
        <v>52</v>
      </c>
      <c r="R56" s="14"/>
      <c r="S56" s="14"/>
      <c r="T56" s="14"/>
      <c r="U56" s="14"/>
      <c r="V56" s="89"/>
    </row>
    <row r="57" spans="1:22" s="8" customFormat="1" x14ac:dyDescent="0.35">
      <c r="A57" s="126" t="s">
        <v>127</v>
      </c>
      <c r="B57" s="72" t="s">
        <v>22</v>
      </c>
      <c r="C57" s="13" t="s">
        <v>52</v>
      </c>
      <c r="D57" s="73" t="s">
        <v>52</v>
      </c>
      <c r="E57" s="130" t="s">
        <v>114</v>
      </c>
      <c r="F57" s="13" t="s">
        <v>52</v>
      </c>
      <c r="G57" s="13" t="s">
        <v>52</v>
      </c>
      <c r="H57" s="89"/>
      <c r="I57" s="73" t="s">
        <v>52</v>
      </c>
      <c r="J57" s="73" t="s">
        <v>52</v>
      </c>
      <c r="K57" s="75" t="s">
        <v>53</v>
      </c>
      <c r="L57" s="89"/>
      <c r="M57" s="89"/>
      <c r="N57" s="73" t="s">
        <v>52</v>
      </c>
      <c r="O57" s="89"/>
      <c r="P57" s="89"/>
      <c r="Q57" s="73" t="s">
        <v>52</v>
      </c>
      <c r="R57" s="89"/>
      <c r="S57" s="89"/>
      <c r="T57" s="89"/>
      <c r="U57" s="89"/>
      <c r="V57" s="89"/>
    </row>
    <row r="58" spans="1:22" s="8" customFormat="1" x14ac:dyDescent="0.35">
      <c r="A58" s="126" t="s">
        <v>127</v>
      </c>
      <c r="B58" s="68" t="s">
        <v>15</v>
      </c>
      <c r="C58" s="13" t="s">
        <v>52</v>
      </c>
      <c r="D58" s="75" t="s">
        <v>52</v>
      </c>
      <c r="E58" s="130" t="s">
        <v>114</v>
      </c>
      <c r="F58" s="13" t="s">
        <v>52</v>
      </c>
      <c r="G58" s="13" t="s">
        <v>52</v>
      </c>
      <c r="H58" s="14"/>
      <c r="I58" s="73" t="s">
        <v>52</v>
      </c>
      <c r="J58" s="73" t="s">
        <v>52</v>
      </c>
      <c r="K58" s="75" t="s">
        <v>53</v>
      </c>
      <c r="L58" s="75" t="s">
        <v>52</v>
      </c>
      <c r="M58" s="75" t="s">
        <v>52</v>
      </c>
      <c r="N58" s="75" t="s">
        <v>52</v>
      </c>
      <c r="O58" s="75" t="s">
        <v>52</v>
      </c>
      <c r="P58" s="75" t="s">
        <v>52</v>
      </c>
      <c r="Q58" s="75" t="s">
        <v>52</v>
      </c>
      <c r="R58" s="75" t="s">
        <v>52</v>
      </c>
      <c r="S58" s="75" t="s">
        <v>52</v>
      </c>
      <c r="T58" s="75" t="s">
        <v>52</v>
      </c>
      <c r="U58" s="75" t="s">
        <v>52</v>
      </c>
      <c r="V58" s="89"/>
    </row>
    <row r="59" spans="1:22" s="8" customFormat="1" x14ac:dyDescent="0.35">
      <c r="A59" s="126" t="s">
        <v>127</v>
      </c>
      <c r="B59" s="68" t="s">
        <v>10</v>
      </c>
      <c r="C59" s="13" t="s">
        <v>52</v>
      </c>
      <c r="D59" s="130" t="s">
        <v>127</v>
      </c>
      <c r="E59" s="130" t="s">
        <v>114</v>
      </c>
      <c r="F59" s="13" t="s">
        <v>52</v>
      </c>
      <c r="G59" s="13" t="s">
        <v>52</v>
      </c>
      <c r="H59" s="14"/>
      <c r="I59" s="14"/>
      <c r="J59" s="14"/>
      <c r="K59" s="75" t="s">
        <v>53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89"/>
    </row>
    <row r="60" spans="1:22" s="8" customFormat="1" x14ac:dyDescent="0.35">
      <c r="A60" s="126" t="s">
        <v>127</v>
      </c>
      <c r="B60" s="72" t="s">
        <v>11</v>
      </c>
      <c r="C60" s="13" t="s">
        <v>52</v>
      </c>
      <c r="D60" s="130" t="s">
        <v>127</v>
      </c>
      <c r="E60" s="130" t="s">
        <v>114</v>
      </c>
      <c r="F60" s="13" t="s">
        <v>52</v>
      </c>
      <c r="G60" s="13" t="s">
        <v>52</v>
      </c>
      <c r="H60" s="89"/>
      <c r="I60" s="89"/>
      <c r="J60" s="89"/>
      <c r="K60" s="75" t="s">
        <v>53</v>
      </c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</row>
    <row r="61" spans="1:22" s="8" customFormat="1" x14ac:dyDescent="0.35">
      <c r="A61" s="126" t="s">
        <v>127</v>
      </c>
      <c r="B61" s="68" t="s">
        <v>8</v>
      </c>
      <c r="C61" s="13" t="s">
        <v>52</v>
      </c>
      <c r="D61" s="130" t="s">
        <v>127</v>
      </c>
      <c r="E61" s="130" t="s">
        <v>114</v>
      </c>
      <c r="F61" s="13" t="s">
        <v>52</v>
      </c>
      <c r="G61" s="13" t="s">
        <v>52</v>
      </c>
      <c r="H61" s="14"/>
      <c r="I61" s="14"/>
      <c r="J61" s="14"/>
      <c r="K61" s="75" t="s">
        <v>53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89"/>
    </row>
    <row r="62" spans="1:22" s="8" customFormat="1" x14ac:dyDescent="0.35">
      <c r="A62" s="126" t="s">
        <v>127</v>
      </c>
      <c r="B62" s="72" t="s">
        <v>12</v>
      </c>
      <c r="C62" s="13" t="s">
        <v>52</v>
      </c>
      <c r="D62" s="15" t="s">
        <v>52</v>
      </c>
      <c r="E62" s="130" t="s">
        <v>114</v>
      </c>
      <c r="F62" s="13" t="s">
        <v>52</v>
      </c>
      <c r="G62" s="13" t="s">
        <v>52</v>
      </c>
      <c r="H62" s="89"/>
      <c r="I62" s="89"/>
      <c r="J62" s="89"/>
      <c r="K62" s="75" t="s">
        <v>53</v>
      </c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</row>
    <row r="63" spans="1:22" s="8" customFormat="1" x14ac:dyDescent="0.35">
      <c r="A63" s="126" t="s">
        <v>127</v>
      </c>
      <c r="B63" s="68" t="s">
        <v>13</v>
      </c>
      <c r="C63" s="13" t="s">
        <v>52</v>
      </c>
      <c r="D63" s="130" t="s">
        <v>127</v>
      </c>
      <c r="E63" s="130" t="s">
        <v>114</v>
      </c>
      <c r="F63" s="13" t="s">
        <v>52</v>
      </c>
      <c r="G63" s="13" t="s">
        <v>52</v>
      </c>
      <c r="H63" s="14"/>
      <c r="I63" s="14"/>
      <c r="J63" s="14"/>
      <c r="K63" s="75" t="s">
        <v>53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89"/>
    </row>
    <row r="64" spans="1:22" s="8" customFormat="1" x14ac:dyDescent="0.35">
      <c r="A64" s="127" t="s">
        <v>127</v>
      </c>
      <c r="B64" s="93" t="s">
        <v>14</v>
      </c>
      <c r="C64" s="110" t="s">
        <v>52</v>
      </c>
      <c r="D64" s="130" t="s">
        <v>127</v>
      </c>
      <c r="E64" s="130" t="s">
        <v>114</v>
      </c>
      <c r="F64" s="110" t="s">
        <v>52</v>
      </c>
      <c r="G64" s="110" t="s">
        <v>52</v>
      </c>
      <c r="H64" s="90"/>
      <c r="I64" s="90"/>
      <c r="J64" s="90"/>
      <c r="K64" s="111" t="s">
        <v>53</v>
      </c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89"/>
    </row>
    <row r="65" spans="1:22" s="8" customFormat="1" x14ac:dyDescent="0.35">
      <c r="A65" s="122" t="s">
        <v>119</v>
      </c>
      <c r="B65" s="91" t="s">
        <v>30</v>
      </c>
      <c r="C65" s="114" t="s">
        <v>116</v>
      </c>
      <c r="D65" s="114" t="s">
        <v>119</v>
      </c>
      <c r="E65" s="13" t="s">
        <v>52</v>
      </c>
      <c r="F65" s="114" t="s">
        <v>122</v>
      </c>
      <c r="G65" s="13" t="s">
        <v>52</v>
      </c>
      <c r="H65" s="88" t="s">
        <v>52</v>
      </c>
      <c r="I65" s="58"/>
      <c r="J65" s="88" t="s">
        <v>52</v>
      </c>
      <c r="K65" s="75" t="s">
        <v>53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spans="1:22" s="8" customFormat="1" x14ac:dyDescent="0.35">
      <c r="A66" s="122" t="s">
        <v>119</v>
      </c>
      <c r="B66" s="68" t="s">
        <v>32</v>
      </c>
      <c r="C66" s="114" t="s">
        <v>116</v>
      </c>
      <c r="D66" s="115" t="s">
        <v>119</v>
      </c>
      <c r="E66" s="13" t="s">
        <v>52</v>
      </c>
      <c r="F66" s="115" t="s">
        <v>122</v>
      </c>
      <c r="G66" s="13" t="s">
        <v>52</v>
      </c>
      <c r="H66" s="75" t="s">
        <v>52</v>
      </c>
      <c r="I66" s="14"/>
      <c r="J66" s="75" t="s">
        <v>52</v>
      </c>
      <c r="K66" s="75" t="s">
        <v>53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1:22" s="8" customFormat="1" x14ac:dyDescent="0.35">
      <c r="A67" s="122" t="s">
        <v>119</v>
      </c>
      <c r="B67" s="91" t="s">
        <v>33</v>
      </c>
      <c r="C67" s="114" t="s">
        <v>116</v>
      </c>
      <c r="D67" s="115" t="s">
        <v>119</v>
      </c>
      <c r="E67" s="13" t="s">
        <v>52</v>
      </c>
      <c r="F67" s="115" t="s">
        <v>122</v>
      </c>
      <c r="G67" s="13" t="s">
        <v>52</v>
      </c>
      <c r="H67" s="88" t="s">
        <v>52</v>
      </c>
      <c r="I67" s="58"/>
      <c r="J67" s="88" t="s">
        <v>52</v>
      </c>
      <c r="K67" s="75" t="s">
        <v>53</v>
      </c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</row>
    <row r="68" spans="1:22" s="8" customFormat="1" x14ac:dyDescent="0.35">
      <c r="A68" s="122" t="s">
        <v>119</v>
      </c>
      <c r="B68" s="68" t="s">
        <v>28</v>
      </c>
      <c r="C68" s="13" t="s">
        <v>52</v>
      </c>
      <c r="D68" s="75" t="s">
        <v>52</v>
      </c>
      <c r="E68" s="193" t="s">
        <v>132</v>
      </c>
      <c r="F68" s="13" t="s">
        <v>52</v>
      </c>
      <c r="G68" s="13" t="s">
        <v>52</v>
      </c>
      <c r="H68" s="75" t="s">
        <v>52</v>
      </c>
      <c r="I68" s="14"/>
      <c r="J68" s="75" t="s">
        <v>52</v>
      </c>
      <c r="K68" s="75" t="s">
        <v>53</v>
      </c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</row>
    <row r="69" spans="1:22" s="8" customFormat="1" x14ac:dyDescent="0.35">
      <c r="A69" s="122" t="s">
        <v>119</v>
      </c>
      <c r="B69" s="91" t="s">
        <v>25</v>
      </c>
      <c r="C69" s="13" t="s">
        <v>52</v>
      </c>
      <c r="D69" s="88" t="s">
        <v>52</v>
      </c>
      <c r="E69" s="193" t="s">
        <v>132</v>
      </c>
      <c r="F69" s="13" t="s">
        <v>52</v>
      </c>
      <c r="G69" s="13" t="s">
        <v>52</v>
      </c>
      <c r="H69" s="58"/>
      <c r="I69" s="88" t="s">
        <v>52</v>
      </c>
      <c r="J69" s="88" t="s">
        <v>52</v>
      </c>
      <c r="K69" s="75" t="s">
        <v>53</v>
      </c>
      <c r="L69" s="75" t="s">
        <v>52</v>
      </c>
      <c r="M69" s="75" t="s">
        <v>52</v>
      </c>
      <c r="N69" s="75" t="s">
        <v>52</v>
      </c>
      <c r="O69" s="75" t="s">
        <v>52</v>
      </c>
      <c r="P69" s="75" t="s">
        <v>52</v>
      </c>
      <c r="Q69" s="75" t="s">
        <v>52</v>
      </c>
      <c r="R69" s="75" t="s">
        <v>52</v>
      </c>
      <c r="S69" s="75" t="s">
        <v>52</v>
      </c>
      <c r="T69" s="75" t="s">
        <v>52</v>
      </c>
      <c r="U69" s="75" t="s">
        <v>52</v>
      </c>
      <c r="V69" s="14"/>
    </row>
    <row r="70" spans="1:22" s="8" customFormat="1" x14ac:dyDescent="0.35">
      <c r="A70" s="122" t="s">
        <v>119</v>
      </c>
      <c r="B70" s="68" t="s">
        <v>26</v>
      </c>
      <c r="C70" s="13" t="s">
        <v>52</v>
      </c>
      <c r="D70" s="75" t="s">
        <v>52</v>
      </c>
      <c r="E70" s="193" t="s">
        <v>132</v>
      </c>
      <c r="F70" s="13" t="s">
        <v>52</v>
      </c>
      <c r="G70" s="13" t="s">
        <v>52</v>
      </c>
      <c r="H70" s="14"/>
      <c r="I70" s="75" t="s">
        <v>52</v>
      </c>
      <c r="J70" s="75" t="s">
        <v>52</v>
      </c>
      <c r="K70" s="75" t="s">
        <v>53</v>
      </c>
      <c r="L70" s="73" t="s">
        <v>52</v>
      </c>
      <c r="M70" s="73" t="s">
        <v>52</v>
      </c>
      <c r="N70" s="73" t="s">
        <v>52</v>
      </c>
      <c r="O70" s="73" t="s">
        <v>52</v>
      </c>
      <c r="P70" s="73" t="s">
        <v>52</v>
      </c>
      <c r="Q70" s="73" t="s">
        <v>52</v>
      </c>
      <c r="R70" s="73" t="s">
        <v>52</v>
      </c>
      <c r="S70" s="73" t="s">
        <v>52</v>
      </c>
      <c r="T70" s="73" t="s">
        <v>52</v>
      </c>
      <c r="U70" s="73" t="s">
        <v>52</v>
      </c>
      <c r="V70" s="89"/>
    </row>
    <row r="71" spans="1:22" s="8" customFormat="1" x14ac:dyDescent="0.35">
      <c r="A71" s="122" t="s">
        <v>119</v>
      </c>
      <c r="B71" s="91" t="s">
        <v>23</v>
      </c>
      <c r="C71" s="13" t="s">
        <v>52</v>
      </c>
      <c r="D71" s="128" t="s">
        <v>119</v>
      </c>
      <c r="E71" s="193" t="s">
        <v>132</v>
      </c>
      <c r="F71" s="13" t="s">
        <v>52</v>
      </c>
      <c r="G71" s="13" t="s">
        <v>52</v>
      </c>
      <c r="H71" s="58"/>
      <c r="I71" s="88" t="s">
        <v>52</v>
      </c>
      <c r="J71" s="88" t="s">
        <v>52</v>
      </c>
      <c r="K71" s="75" t="s">
        <v>53</v>
      </c>
      <c r="L71" s="14"/>
      <c r="M71" s="14"/>
      <c r="N71" s="75" t="s">
        <v>52</v>
      </c>
      <c r="O71" s="14"/>
      <c r="P71" s="14"/>
      <c r="Q71" s="75" t="s">
        <v>52</v>
      </c>
      <c r="R71" s="14"/>
      <c r="S71" s="14"/>
      <c r="T71" s="14"/>
      <c r="U71" s="14"/>
      <c r="V71" s="14"/>
    </row>
    <row r="72" spans="1:22" s="8" customFormat="1" x14ac:dyDescent="0.35">
      <c r="A72" s="122" t="s">
        <v>119</v>
      </c>
      <c r="B72" s="91" t="s">
        <v>17</v>
      </c>
      <c r="C72" s="13" t="s">
        <v>52</v>
      </c>
      <c r="D72" s="128" t="s">
        <v>119</v>
      </c>
      <c r="E72" s="193" t="s">
        <v>132</v>
      </c>
      <c r="F72" s="13" t="s">
        <v>52</v>
      </c>
      <c r="G72" s="13" t="s">
        <v>52</v>
      </c>
      <c r="H72" s="58"/>
      <c r="I72" s="88" t="s">
        <v>52</v>
      </c>
      <c r="J72" s="88" t="s">
        <v>52</v>
      </c>
      <c r="K72" s="75" t="s">
        <v>53</v>
      </c>
      <c r="L72" s="14"/>
      <c r="M72" s="14"/>
      <c r="N72" s="75" t="s">
        <v>52</v>
      </c>
      <c r="O72" s="14"/>
      <c r="P72" s="14"/>
      <c r="Q72" s="75" t="s">
        <v>52</v>
      </c>
      <c r="R72" s="14"/>
      <c r="S72" s="14"/>
      <c r="T72" s="14"/>
      <c r="U72" s="14"/>
      <c r="V72" s="14"/>
    </row>
    <row r="73" spans="1:22" s="8" customFormat="1" x14ac:dyDescent="0.35">
      <c r="A73" s="122" t="s">
        <v>119</v>
      </c>
      <c r="B73" s="68" t="s">
        <v>18</v>
      </c>
      <c r="C73" s="13" t="s">
        <v>52</v>
      </c>
      <c r="D73" s="128" t="s">
        <v>119</v>
      </c>
      <c r="E73" s="193" t="s">
        <v>132</v>
      </c>
      <c r="F73" s="13" t="s">
        <v>52</v>
      </c>
      <c r="G73" s="13" t="s">
        <v>52</v>
      </c>
      <c r="H73" s="14"/>
      <c r="I73" s="75" t="s">
        <v>52</v>
      </c>
      <c r="J73" s="75" t="s">
        <v>52</v>
      </c>
      <c r="K73" s="75" t="s">
        <v>53</v>
      </c>
      <c r="L73" s="89"/>
      <c r="M73" s="89"/>
      <c r="N73" s="73" t="s">
        <v>52</v>
      </c>
      <c r="O73" s="89"/>
      <c r="P73" s="89"/>
      <c r="Q73" s="73" t="s">
        <v>52</v>
      </c>
      <c r="R73" s="89"/>
      <c r="S73" s="89"/>
      <c r="T73" s="89"/>
      <c r="U73" s="89"/>
      <c r="V73" s="89"/>
    </row>
    <row r="74" spans="1:22" s="8" customFormat="1" x14ac:dyDescent="0.35">
      <c r="A74" s="122" t="s">
        <v>119</v>
      </c>
      <c r="B74" s="91" t="s">
        <v>19</v>
      </c>
      <c r="C74" s="13" t="s">
        <v>52</v>
      </c>
      <c r="D74" s="128" t="s">
        <v>119</v>
      </c>
      <c r="E74" s="193" t="s">
        <v>132</v>
      </c>
      <c r="F74" s="13" t="s">
        <v>52</v>
      </c>
      <c r="G74" s="13" t="s">
        <v>52</v>
      </c>
      <c r="H74" s="58"/>
      <c r="I74" s="88" t="s">
        <v>52</v>
      </c>
      <c r="J74" s="88" t="s">
        <v>52</v>
      </c>
      <c r="K74" s="75" t="s">
        <v>53</v>
      </c>
      <c r="L74" s="14"/>
      <c r="M74" s="14"/>
      <c r="N74" s="75" t="s">
        <v>52</v>
      </c>
      <c r="O74" s="14"/>
      <c r="P74" s="14"/>
      <c r="Q74" s="75" t="s">
        <v>52</v>
      </c>
      <c r="R74" s="14"/>
      <c r="S74" s="14"/>
      <c r="T74" s="14"/>
      <c r="U74" s="14"/>
      <c r="V74" s="14"/>
    </row>
    <row r="75" spans="1:22" s="8" customFormat="1" x14ac:dyDescent="0.35">
      <c r="A75" s="122" t="s">
        <v>119</v>
      </c>
      <c r="B75" s="68" t="s">
        <v>20</v>
      </c>
      <c r="C75" s="13" t="s">
        <v>52</v>
      </c>
      <c r="D75" s="128" t="s">
        <v>119</v>
      </c>
      <c r="E75" s="193" t="s">
        <v>132</v>
      </c>
      <c r="F75" s="13" t="s">
        <v>52</v>
      </c>
      <c r="G75" s="13" t="s">
        <v>52</v>
      </c>
      <c r="H75" s="14"/>
      <c r="I75" s="75" t="s">
        <v>52</v>
      </c>
      <c r="J75" s="75" t="s">
        <v>52</v>
      </c>
      <c r="K75" s="75" t="s">
        <v>53</v>
      </c>
      <c r="L75" s="89"/>
      <c r="M75" s="89"/>
      <c r="N75" s="73" t="s">
        <v>52</v>
      </c>
      <c r="O75" s="89"/>
      <c r="P75" s="89"/>
      <c r="Q75" s="73" t="s">
        <v>52</v>
      </c>
      <c r="R75" s="89"/>
      <c r="S75" s="89"/>
      <c r="T75" s="89"/>
      <c r="U75" s="89"/>
      <c r="V75" s="89"/>
    </row>
    <row r="76" spans="1:22" s="8" customFormat="1" x14ac:dyDescent="0.35">
      <c r="A76" s="122" t="s">
        <v>119</v>
      </c>
      <c r="B76" s="91" t="s">
        <v>21</v>
      </c>
      <c r="C76" s="13" t="s">
        <v>52</v>
      </c>
      <c r="D76" s="128" t="s">
        <v>119</v>
      </c>
      <c r="E76" s="193" t="s">
        <v>132</v>
      </c>
      <c r="F76" s="13" t="s">
        <v>52</v>
      </c>
      <c r="G76" s="13" t="s">
        <v>52</v>
      </c>
      <c r="H76" s="58"/>
      <c r="I76" s="88" t="s">
        <v>52</v>
      </c>
      <c r="J76" s="88" t="s">
        <v>52</v>
      </c>
      <c r="K76" s="75" t="s">
        <v>53</v>
      </c>
      <c r="L76" s="14"/>
      <c r="M76" s="14"/>
      <c r="N76" s="75" t="s">
        <v>52</v>
      </c>
      <c r="O76" s="14"/>
      <c r="P76" s="14"/>
      <c r="Q76" s="75" t="s">
        <v>52</v>
      </c>
      <c r="R76" s="14"/>
      <c r="S76" s="14"/>
      <c r="T76" s="14"/>
      <c r="U76" s="14"/>
      <c r="V76" s="14"/>
    </row>
    <row r="77" spans="1:22" s="8" customFormat="1" x14ac:dyDescent="0.35">
      <c r="A77" s="122" t="s">
        <v>119</v>
      </c>
      <c r="B77" s="68" t="s">
        <v>22</v>
      </c>
      <c r="C77" s="13" t="s">
        <v>52</v>
      </c>
      <c r="D77" s="128" t="s">
        <v>119</v>
      </c>
      <c r="E77" s="193" t="s">
        <v>132</v>
      </c>
      <c r="F77" s="13" t="s">
        <v>52</v>
      </c>
      <c r="G77" s="13" t="s">
        <v>52</v>
      </c>
      <c r="H77" s="14"/>
      <c r="I77" s="75" t="s">
        <v>52</v>
      </c>
      <c r="J77" s="75" t="s">
        <v>52</v>
      </c>
      <c r="K77" s="75" t="s">
        <v>53</v>
      </c>
      <c r="L77" s="89"/>
      <c r="M77" s="89"/>
      <c r="N77" s="73" t="s">
        <v>52</v>
      </c>
      <c r="O77" s="89"/>
      <c r="P77" s="89"/>
      <c r="Q77" s="73" t="s">
        <v>52</v>
      </c>
      <c r="R77" s="89"/>
      <c r="S77" s="89"/>
      <c r="T77" s="89"/>
      <c r="U77" s="89"/>
      <c r="V77" s="89"/>
    </row>
    <row r="78" spans="1:22" s="8" customFormat="1" x14ac:dyDescent="0.35">
      <c r="A78" s="122" t="s">
        <v>119</v>
      </c>
      <c r="B78" s="91" t="s">
        <v>15</v>
      </c>
      <c r="C78" s="13" t="s">
        <v>52</v>
      </c>
      <c r="D78" s="128" t="s">
        <v>119</v>
      </c>
      <c r="E78" s="193" t="s">
        <v>132</v>
      </c>
      <c r="F78" s="13" t="s">
        <v>52</v>
      </c>
      <c r="G78" s="13" t="s">
        <v>52</v>
      </c>
      <c r="H78" s="58"/>
      <c r="I78" s="75" t="s">
        <v>52</v>
      </c>
      <c r="J78" s="75" t="s">
        <v>52</v>
      </c>
      <c r="K78" s="75" t="s">
        <v>53</v>
      </c>
      <c r="L78" s="75" t="s">
        <v>52</v>
      </c>
      <c r="M78" s="75" t="s">
        <v>52</v>
      </c>
      <c r="N78" s="75" t="s">
        <v>52</v>
      </c>
      <c r="O78" s="75" t="s">
        <v>52</v>
      </c>
      <c r="P78" s="75" t="s">
        <v>52</v>
      </c>
      <c r="Q78" s="75" t="s">
        <v>52</v>
      </c>
      <c r="R78" s="75" t="s">
        <v>52</v>
      </c>
      <c r="S78" s="75" t="s">
        <v>52</v>
      </c>
      <c r="T78" s="75" t="s">
        <v>52</v>
      </c>
      <c r="U78" s="75" t="s">
        <v>52</v>
      </c>
      <c r="V78" s="14"/>
    </row>
    <row r="79" spans="1:22" s="8" customFormat="1" x14ac:dyDescent="0.35">
      <c r="A79" s="122" t="s">
        <v>119</v>
      </c>
      <c r="B79" s="68" t="s">
        <v>10</v>
      </c>
      <c r="C79" s="13" t="s">
        <v>52</v>
      </c>
      <c r="D79" s="128" t="s">
        <v>119</v>
      </c>
      <c r="E79" s="193" t="s">
        <v>132</v>
      </c>
      <c r="F79" s="13" t="s">
        <v>52</v>
      </c>
      <c r="G79" s="13" t="s">
        <v>52</v>
      </c>
      <c r="H79" s="14"/>
      <c r="I79" s="14"/>
      <c r="J79" s="14"/>
      <c r="K79" s="75" t="s">
        <v>53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1:22" s="8" customFormat="1" x14ac:dyDescent="0.35">
      <c r="A80" s="122" t="s">
        <v>119</v>
      </c>
      <c r="B80" s="91" t="s">
        <v>11</v>
      </c>
      <c r="C80" s="13" t="s">
        <v>52</v>
      </c>
      <c r="D80" s="128" t="s">
        <v>119</v>
      </c>
      <c r="E80" s="193" t="s">
        <v>132</v>
      </c>
      <c r="F80" s="13" t="s">
        <v>52</v>
      </c>
      <c r="G80" s="13" t="s">
        <v>52</v>
      </c>
      <c r="H80" s="58"/>
      <c r="I80" s="58"/>
      <c r="J80" s="58"/>
      <c r="K80" s="75" t="s">
        <v>53</v>
      </c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</row>
    <row r="81" spans="1:22" s="8" customFormat="1" x14ac:dyDescent="0.35">
      <c r="A81" s="122" t="s">
        <v>119</v>
      </c>
      <c r="B81" s="68" t="s">
        <v>8</v>
      </c>
      <c r="C81" s="13" t="s">
        <v>52</v>
      </c>
      <c r="D81" s="128" t="s">
        <v>119</v>
      </c>
      <c r="E81" s="193" t="s">
        <v>132</v>
      </c>
      <c r="F81" s="13" t="s">
        <v>52</v>
      </c>
      <c r="G81" s="13" t="s">
        <v>52</v>
      </c>
      <c r="H81" s="14"/>
      <c r="I81" s="14"/>
      <c r="J81" s="14"/>
      <c r="K81" s="75" t="s">
        <v>53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1:22" s="8" customFormat="1" x14ac:dyDescent="0.35">
      <c r="A82" s="122" t="s">
        <v>119</v>
      </c>
      <c r="B82" s="91" t="s">
        <v>12</v>
      </c>
      <c r="C82" s="13" t="s">
        <v>52</v>
      </c>
      <c r="D82" s="13" t="s">
        <v>52</v>
      </c>
      <c r="E82" s="193" t="s">
        <v>132</v>
      </c>
      <c r="F82" s="13" t="s">
        <v>52</v>
      </c>
      <c r="G82" s="13" t="s">
        <v>52</v>
      </c>
      <c r="H82" s="58"/>
      <c r="I82" s="58"/>
      <c r="J82" s="58"/>
      <c r="K82" s="75" t="s">
        <v>53</v>
      </c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</row>
    <row r="83" spans="1:22" s="8" customFormat="1" x14ac:dyDescent="0.35">
      <c r="A83" s="122" t="s">
        <v>119</v>
      </c>
      <c r="B83" s="68" t="s">
        <v>13</v>
      </c>
      <c r="C83" s="13" t="s">
        <v>52</v>
      </c>
      <c r="D83" s="128" t="s">
        <v>119</v>
      </c>
      <c r="E83" s="193" t="s">
        <v>132</v>
      </c>
      <c r="F83" s="13" t="s">
        <v>52</v>
      </c>
      <c r="G83" s="13" t="s">
        <v>52</v>
      </c>
      <c r="H83" s="14"/>
      <c r="I83" s="14"/>
      <c r="J83" s="14"/>
      <c r="K83" s="75" t="s">
        <v>53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1:22" s="8" customFormat="1" x14ac:dyDescent="0.35">
      <c r="A84" s="123" t="s">
        <v>119</v>
      </c>
      <c r="B84" s="92" t="s">
        <v>14</v>
      </c>
      <c r="C84" s="110" t="s">
        <v>52</v>
      </c>
      <c r="D84" s="128" t="s">
        <v>119</v>
      </c>
      <c r="E84" s="193" t="s">
        <v>132</v>
      </c>
      <c r="F84" s="110" t="s">
        <v>52</v>
      </c>
      <c r="G84" s="110" t="s">
        <v>52</v>
      </c>
      <c r="H84" s="87"/>
      <c r="I84" s="87"/>
      <c r="J84" s="87"/>
      <c r="K84" s="111" t="s">
        <v>53</v>
      </c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</row>
    <row r="85" spans="1:22" s="8" customFormat="1" x14ac:dyDescent="0.35">
      <c r="A85" s="124" t="s">
        <v>120</v>
      </c>
      <c r="B85" s="91" t="s">
        <v>30</v>
      </c>
      <c r="C85" s="114" t="s">
        <v>116</v>
      </c>
      <c r="D85" s="117" t="s">
        <v>120</v>
      </c>
      <c r="E85" s="13" t="s">
        <v>52</v>
      </c>
      <c r="F85" s="117" t="s">
        <v>123</v>
      </c>
      <c r="G85" s="13" t="s">
        <v>52</v>
      </c>
      <c r="H85" s="88" t="s">
        <v>52</v>
      </c>
      <c r="I85" s="58"/>
      <c r="J85" s="88" t="s">
        <v>52</v>
      </c>
      <c r="K85" s="75" t="s">
        <v>53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spans="1:22" s="8" customFormat="1" x14ac:dyDescent="0.35">
      <c r="A86" s="124" t="s">
        <v>120</v>
      </c>
      <c r="B86" s="68" t="s">
        <v>32</v>
      </c>
      <c r="C86" s="114" t="s">
        <v>116</v>
      </c>
      <c r="D86" s="117" t="s">
        <v>120</v>
      </c>
      <c r="E86" s="13" t="s">
        <v>52</v>
      </c>
      <c r="F86" s="117" t="s">
        <v>123</v>
      </c>
      <c r="G86" s="13" t="s">
        <v>52</v>
      </c>
      <c r="H86" s="75" t="s">
        <v>52</v>
      </c>
      <c r="I86" s="14"/>
      <c r="J86" s="75" t="s">
        <v>52</v>
      </c>
      <c r="K86" s="75" t="s">
        <v>53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1:22" s="8" customFormat="1" x14ac:dyDescent="0.35">
      <c r="A87" s="124" t="s">
        <v>120</v>
      </c>
      <c r="B87" s="72" t="s">
        <v>33</v>
      </c>
      <c r="C87" s="114" t="s">
        <v>116</v>
      </c>
      <c r="D87" s="117" t="s">
        <v>120</v>
      </c>
      <c r="E87" s="13" t="s">
        <v>52</v>
      </c>
      <c r="F87" s="117" t="s">
        <v>123</v>
      </c>
      <c r="G87" s="13" t="s">
        <v>52</v>
      </c>
      <c r="H87" s="73" t="s">
        <v>52</v>
      </c>
      <c r="I87" s="89"/>
      <c r="J87" s="73" t="s">
        <v>52</v>
      </c>
      <c r="K87" s="75" t="s">
        <v>53</v>
      </c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</row>
    <row r="88" spans="1:22" s="8" customFormat="1" x14ac:dyDescent="0.35">
      <c r="A88" s="124" t="s">
        <v>120</v>
      </c>
      <c r="B88" s="72" t="s">
        <v>28</v>
      </c>
      <c r="C88" s="13" t="s">
        <v>52</v>
      </c>
      <c r="D88" s="73" t="s">
        <v>52</v>
      </c>
      <c r="E88" s="129" t="s">
        <v>133</v>
      </c>
      <c r="F88" s="13" t="s">
        <v>52</v>
      </c>
      <c r="G88" s="13" t="s">
        <v>52</v>
      </c>
      <c r="H88" s="73" t="s">
        <v>52</v>
      </c>
      <c r="I88" s="89"/>
      <c r="J88" s="73" t="s">
        <v>52</v>
      </c>
      <c r="K88" s="75" t="s">
        <v>53</v>
      </c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</row>
    <row r="89" spans="1:22" s="8" customFormat="1" x14ac:dyDescent="0.35">
      <c r="A89" s="124" t="s">
        <v>120</v>
      </c>
      <c r="B89" s="68" t="s">
        <v>25</v>
      </c>
      <c r="C89" s="13" t="s">
        <v>52</v>
      </c>
      <c r="D89" s="75" t="s">
        <v>52</v>
      </c>
      <c r="E89" s="129" t="s">
        <v>133</v>
      </c>
      <c r="F89" s="13" t="s">
        <v>52</v>
      </c>
      <c r="G89" s="13" t="s">
        <v>52</v>
      </c>
      <c r="H89" s="14"/>
      <c r="I89" s="75" t="s">
        <v>52</v>
      </c>
      <c r="J89" s="75" t="s">
        <v>52</v>
      </c>
      <c r="K89" s="75" t="s">
        <v>53</v>
      </c>
      <c r="L89" s="75" t="s">
        <v>52</v>
      </c>
      <c r="M89" s="75" t="s">
        <v>52</v>
      </c>
      <c r="N89" s="75" t="s">
        <v>52</v>
      </c>
      <c r="O89" s="75" t="s">
        <v>52</v>
      </c>
      <c r="P89" s="75" t="s">
        <v>52</v>
      </c>
      <c r="Q89" s="75" t="s">
        <v>52</v>
      </c>
      <c r="R89" s="75" t="s">
        <v>52</v>
      </c>
      <c r="S89" s="75" t="s">
        <v>52</v>
      </c>
      <c r="T89" s="75" t="s">
        <v>52</v>
      </c>
      <c r="U89" s="75" t="s">
        <v>52</v>
      </c>
      <c r="V89" s="14"/>
    </row>
    <row r="90" spans="1:22" s="8" customFormat="1" x14ac:dyDescent="0.35">
      <c r="A90" s="124" t="s">
        <v>120</v>
      </c>
      <c r="B90" s="72" t="s">
        <v>26</v>
      </c>
      <c r="C90" s="13" t="s">
        <v>52</v>
      </c>
      <c r="D90" s="73" t="s">
        <v>52</v>
      </c>
      <c r="E90" s="129" t="s">
        <v>133</v>
      </c>
      <c r="F90" s="13" t="s">
        <v>52</v>
      </c>
      <c r="G90" s="13" t="s">
        <v>52</v>
      </c>
      <c r="H90" s="89"/>
      <c r="I90" s="73" t="s">
        <v>52</v>
      </c>
      <c r="J90" s="73" t="s">
        <v>52</v>
      </c>
      <c r="K90" s="75" t="s">
        <v>53</v>
      </c>
      <c r="L90" s="73" t="s">
        <v>52</v>
      </c>
      <c r="M90" s="73" t="s">
        <v>52</v>
      </c>
      <c r="N90" s="73" t="s">
        <v>52</v>
      </c>
      <c r="O90" s="73" t="s">
        <v>52</v>
      </c>
      <c r="P90" s="73" t="s">
        <v>52</v>
      </c>
      <c r="Q90" s="73" t="s">
        <v>52</v>
      </c>
      <c r="R90" s="73" t="s">
        <v>52</v>
      </c>
      <c r="S90" s="73" t="s">
        <v>52</v>
      </c>
      <c r="T90" s="73" t="s">
        <v>52</v>
      </c>
      <c r="U90" s="73" t="s">
        <v>52</v>
      </c>
      <c r="V90" s="89"/>
    </row>
    <row r="91" spans="1:22" s="8" customFormat="1" x14ac:dyDescent="0.35">
      <c r="A91" s="124" t="s">
        <v>120</v>
      </c>
      <c r="B91" s="68" t="s">
        <v>23</v>
      </c>
      <c r="C91" s="13" t="s">
        <v>52</v>
      </c>
      <c r="D91" s="129" t="s">
        <v>120</v>
      </c>
      <c r="E91" s="129" t="s">
        <v>133</v>
      </c>
      <c r="F91" s="13" t="s">
        <v>52</v>
      </c>
      <c r="G91" s="13" t="s">
        <v>52</v>
      </c>
      <c r="H91" s="14"/>
      <c r="I91" s="75" t="s">
        <v>52</v>
      </c>
      <c r="J91" s="75" t="s">
        <v>52</v>
      </c>
      <c r="K91" s="75" t="s">
        <v>53</v>
      </c>
      <c r="L91" s="14"/>
      <c r="M91" s="14"/>
      <c r="N91" s="75" t="s">
        <v>52</v>
      </c>
      <c r="O91" s="14"/>
      <c r="P91" s="14"/>
      <c r="Q91" s="75" t="s">
        <v>52</v>
      </c>
      <c r="R91" s="14"/>
      <c r="S91" s="14"/>
      <c r="T91" s="14"/>
      <c r="U91" s="14"/>
      <c r="V91" s="14"/>
    </row>
    <row r="92" spans="1:22" s="8" customFormat="1" x14ac:dyDescent="0.35">
      <c r="A92" s="124" t="s">
        <v>120</v>
      </c>
      <c r="B92" s="68" t="s">
        <v>17</v>
      </c>
      <c r="C92" s="13" t="s">
        <v>52</v>
      </c>
      <c r="D92" s="129" t="s">
        <v>120</v>
      </c>
      <c r="E92" s="129" t="s">
        <v>133</v>
      </c>
      <c r="F92" s="13" t="s">
        <v>52</v>
      </c>
      <c r="G92" s="13" t="s">
        <v>52</v>
      </c>
      <c r="H92" s="14"/>
      <c r="I92" s="75" t="s">
        <v>52</v>
      </c>
      <c r="J92" s="75" t="s">
        <v>52</v>
      </c>
      <c r="K92" s="75" t="s">
        <v>53</v>
      </c>
      <c r="L92" s="14"/>
      <c r="M92" s="14"/>
      <c r="N92" s="75" t="s">
        <v>52</v>
      </c>
      <c r="O92" s="14"/>
      <c r="P92" s="14"/>
      <c r="Q92" s="75" t="s">
        <v>52</v>
      </c>
      <c r="R92" s="14"/>
      <c r="S92" s="14"/>
      <c r="T92" s="14"/>
      <c r="U92" s="14"/>
      <c r="V92" s="89"/>
    </row>
    <row r="93" spans="1:22" s="8" customFormat="1" x14ac:dyDescent="0.35">
      <c r="A93" s="124" t="s">
        <v>120</v>
      </c>
      <c r="B93" s="72" t="s">
        <v>18</v>
      </c>
      <c r="C93" s="13" t="s">
        <v>52</v>
      </c>
      <c r="D93" s="129" t="s">
        <v>120</v>
      </c>
      <c r="E93" s="129" t="s">
        <v>133</v>
      </c>
      <c r="F93" s="13" t="s">
        <v>52</v>
      </c>
      <c r="G93" s="13" t="s">
        <v>52</v>
      </c>
      <c r="H93" s="89"/>
      <c r="I93" s="73" t="s">
        <v>52</v>
      </c>
      <c r="J93" s="73" t="s">
        <v>52</v>
      </c>
      <c r="K93" s="75" t="s">
        <v>53</v>
      </c>
      <c r="L93" s="89"/>
      <c r="M93" s="89"/>
      <c r="N93" s="73" t="s">
        <v>52</v>
      </c>
      <c r="O93" s="89"/>
      <c r="P93" s="89"/>
      <c r="Q93" s="73" t="s">
        <v>52</v>
      </c>
      <c r="R93" s="89"/>
      <c r="S93" s="89"/>
      <c r="T93" s="89"/>
      <c r="U93" s="89"/>
      <c r="V93" s="89"/>
    </row>
    <row r="94" spans="1:22" s="8" customFormat="1" x14ac:dyDescent="0.35">
      <c r="A94" s="124" t="s">
        <v>120</v>
      </c>
      <c r="B94" s="68" t="s">
        <v>19</v>
      </c>
      <c r="C94" s="13" t="s">
        <v>52</v>
      </c>
      <c r="D94" s="129" t="s">
        <v>120</v>
      </c>
      <c r="E94" s="129" t="s">
        <v>133</v>
      </c>
      <c r="F94" s="13" t="s">
        <v>52</v>
      </c>
      <c r="G94" s="13" t="s">
        <v>52</v>
      </c>
      <c r="H94" s="14"/>
      <c r="I94" s="75" t="s">
        <v>52</v>
      </c>
      <c r="J94" s="75" t="s">
        <v>52</v>
      </c>
      <c r="K94" s="75" t="s">
        <v>53</v>
      </c>
      <c r="L94" s="14"/>
      <c r="M94" s="14"/>
      <c r="N94" s="75" t="s">
        <v>52</v>
      </c>
      <c r="O94" s="14"/>
      <c r="P94" s="14"/>
      <c r="Q94" s="75" t="s">
        <v>52</v>
      </c>
      <c r="R94" s="14"/>
      <c r="S94" s="14"/>
      <c r="T94" s="14"/>
      <c r="U94" s="14"/>
      <c r="V94" s="89"/>
    </row>
    <row r="95" spans="1:22" s="8" customFormat="1" x14ac:dyDescent="0.35">
      <c r="A95" s="124" t="s">
        <v>120</v>
      </c>
      <c r="B95" s="72" t="s">
        <v>20</v>
      </c>
      <c r="C95" s="13" t="s">
        <v>52</v>
      </c>
      <c r="D95" s="129" t="s">
        <v>120</v>
      </c>
      <c r="E95" s="129" t="s">
        <v>133</v>
      </c>
      <c r="F95" s="13" t="s">
        <v>52</v>
      </c>
      <c r="G95" s="13" t="s">
        <v>52</v>
      </c>
      <c r="H95" s="89"/>
      <c r="I95" s="73" t="s">
        <v>52</v>
      </c>
      <c r="J95" s="73" t="s">
        <v>52</v>
      </c>
      <c r="K95" s="75" t="s">
        <v>53</v>
      </c>
      <c r="L95" s="89"/>
      <c r="M95" s="89"/>
      <c r="N95" s="73" t="s">
        <v>52</v>
      </c>
      <c r="O95" s="89"/>
      <c r="P95" s="89"/>
      <c r="Q95" s="73" t="s">
        <v>52</v>
      </c>
      <c r="R95" s="89"/>
      <c r="S95" s="89"/>
      <c r="T95" s="89"/>
      <c r="U95" s="89"/>
      <c r="V95" s="89"/>
    </row>
    <row r="96" spans="1:22" s="8" customFormat="1" x14ac:dyDescent="0.35">
      <c r="A96" s="124" t="s">
        <v>120</v>
      </c>
      <c r="B96" s="68" t="s">
        <v>21</v>
      </c>
      <c r="C96" s="13" t="s">
        <v>52</v>
      </c>
      <c r="D96" s="129" t="s">
        <v>120</v>
      </c>
      <c r="E96" s="129" t="s">
        <v>133</v>
      </c>
      <c r="F96" s="13" t="s">
        <v>52</v>
      </c>
      <c r="G96" s="13" t="s">
        <v>52</v>
      </c>
      <c r="H96" s="14"/>
      <c r="I96" s="75" t="s">
        <v>52</v>
      </c>
      <c r="J96" s="75" t="s">
        <v>52</v>
      </c>
      <c r="K96" s="75" t="s">
        <v>53</v>
      </c>
      <c r="L96" s="14"/>
      <c r="M96" s="14"/>
      <c r="N96" s="75" t="s">
        <v>52</v>
      </c>
      <c r="O96" s="14"/>
      <c r="P96" s="14"/>
      <c r="Q96" s="75" t="s">
        <v>52</v>
      </c>
      <c r="R96" s="14"/>
      <c r="S96" s="14"/>
      <c r="T96" s="14"/>
      <c r="U96" s="14"/>
      <c r="V96" s="89"/>
    </row>
    <row r="97" spans="1:22" s="8" customFormat="1" x14ac:dyDescent="0.35">
      <c r="A97" s="124" t="s">
        <v>120</v>
      </c>
      <c r="B97" s="72" t="s">
        <v>22</v>
      </c>
      <c r="C97" s="13" t="s">
        <v>52</v>
      </c>
      <c r="D97" s="129" t="s">
        <v>120</v>
      </c>
      <c r="E97" s="129" t="s">
        <v>133</v>
      </c>
      <c r="F97" s="13" t="s">
        <v>52</v>
      </c>
      <c r="G97" s="13" t="s">
        <v>52</v>
      </c>
      <c r="H97" s="89"/>
      <c r="I97" s="73" t="s">
        <v>52</v>
      </c>
      <c r="J97" s="73" t="s">
        <v>52</v>
      </c>
      <c r="K97" s="75" t="s">
        <v>53</v>
      </c>
      <c r="L97" s="89"/>
      <c r="M97" s="89"/>
      <c r="N97" s="73" t="s">
        <v>52</v>
      </c>
      <c r="O97" s="89"/>
      <c r="P97" s="89"/>
      <c r="Q97" s="73" t="s">
        <v>52</v>
      </c>
      <c r="R97" s="89"/>
      <c r="S97" s="89"/>
      <c r="T97" s="89"/>
      <c r="U97" s="89"/>
      <c r="V97" s="89"/>
    </row>
    <row r="98" spans="1:22" s="8" customFormat="1" x14ac:dyDescent="0.35">
      <c r="A98" s="124" t="s">
        <v>120</v>
      </c>
      <c r="B98" s="68" t="s">
        <v>15</v>
      </c>
      <c r="C98" s="13" t="s">
        <v>52</v>
      </c>
      <c r="D98" s="129" t="s">
        <v>120</v>
      </c>
      <c r="E98" s="129" t="s">
        <v>133</v>
      </c>
      <c r="F98" s="13" t="s">
        <v>52</v>
      </c>
      <c r="G98" s="13" t="s">
        <v>52</v>
      </c>
      <c r="H98" s="14"/>
      <c r="I98" s="75" t="s">
        <v>52</v>
      </c>
      <c r="J98" s="75" t="s">
        <v>52</v>
      </c>
      <c r="K98" s="75" t="s">
        <v>53</v>
      </c>
      <c r="L98" s="75" t="s">
        <v>52</v>
      </c>
      <c r="M98" s="75" t="s">
        <v>52</v>
      </c>
      <c r="N98" s="75" t="s">
        <v>52</v>
      </c>
      <c r="O98" s="75" t="s">
        <v>52</v>
      </c>
      <c r="P98" s="75" t="s">
        <v>52</v>
      </c>
      <c r="Q98" s="75" t="s">
        <v>52</v>
      </c>
      <c r="R98" s="75" t="s">
        <v>52</v>
      </c>
      <c r="S98" s="75" t="s">
        <v>52</v>
      </c>
      <c r="T98" s="75" t="s">
        <v>52</v>
      </c>
      <c r="U98" s="75" t="s">
        <v>52</v>
      </c>
      <c r="V98" s="89"/>
    </row>
    <row r="99" spans="1:22" s="8" customFormat="1" x14ac:dyDescent="0.35">
      <c r="A99" s="124" t="s">
        <v>120</v>
      </c>
      <c r="B99" s="68" t="s">
        <v>10</v>
      </c>
      <c r="C99" s="13" t="s">
        <v>52</v>
      </c>
      <c r="D99" s="129" t="s">
        <v>120</v>
      </c>
      <c r="E99" s="129" t="s">
        <v>133</v>
      </c>
      <c r="F99" s="13" t="s">
        <v>52</v>
      </c>
      <c r="G99" s="13" t="s">
        <v>52</v>
      </c>
      <c r="H99" s="14"/>
      <c r="I99" s="14"/>
      <c r="J99" s="14"/>
      <c r="K99" s="75" t="s">
        <v>53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89"/>
    </row>
    <row r="100" spans="1:22" s="8" customFormat="1" x14ac:dyDescent="0.35">
      <c r="A100" s="124" t="s">
        <v>120</v>
      </c>
      <c r="B100" s="72" t="s">
        <v>11</v>
      </c>
      <c r="C100" s="13" t="s">
        <v>52</v>
      </c>
      <c r="D100" s="129" t="s">
        <v>120</v>
      </c>
      <c r="E100" s="129" t="s">
        <v>133</v>
      </c>
      <c r="F100" s="13" t="s">
        <v>52</v>
      </c>
      <c r="G100" s="13" t="s">
        <v>52</v>
      </c>
      <c r="H100" s="89"/>
      <c r="I100" s="89"/>
      <c r="J100" s="89"/>
      <c r="K100" s="75" t="s">
        <v>53</v>
      </c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</row>
    <row r="101" spans="1:22" s="8" customFormat="1" x14ac:dyDescent="0.35">
      <c r="A101" s="124" t="s">
        <v>120</v>
      </c>
      <c r="B101" s="68" t="s">
        <v>8</v>
      </c>
      <c r="C101" s="13" t="s">
        <v>52</v>
      </c>
      <c r="D101" s="129" t="s">
        <v>120</v>
      </c>
      <c r="E101" s="129" t="s">
        <v>133</v>
      </c>
      <c r="F101" s="13" t="s">
        <v>52</v>
      </c>
      <c r="G101" s="13" t="s">
        <v>52</v>
      </c>
      <c r="H101" s="14"/>
      <c r="I101" s="14"/>
      <c r="J101" s="14"/>
      <c r="K101" s="75" t="s">
        <v>53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89"/>
    </row>
    <row r="102" spans="1:22" s="8" customFormat="1" x14ac:dyDescent="0.35">
      <c r="A102" s="124" t="s">
        <v>120</v>
      </c>
      <c r="B102" s="72" t="s">
        <v>12</v>
      </c>
      <c r="C102" s="13" t="s">
        <v>52</v>
      </c>
      <c r="D102" s="15" t="s">
        <v>52</v>
      </c>
      <c r="E102" s="129" t="s">
        <v>133</v>
      </c>
      <c r="F102" s="13" t="s">
        <v>52</v>
      </c>
      <c r="G102" s="13" t="s">
        <v>52</v>
      </c>
      <c r="H102" s="89"/>
      <c r="I102" s="89"/>
      <c r="J102" s="89"/>
      <c r="K102" s="75" t="s">
        <v>53</v>
      </c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</row>
    <row r="103" spans="1:22" s="8" customFormat="1" x14ac:dyDescent="0.35">
      <c r="A103" s="124" t="s">
        <v>120</v>
      </c>
      <c r="B103" s="68" t="s">
        <v>13</v>
      </c>
      <c r="C103" s="13" t="s">
        <v>52</v>
      </c>
      <c r="D103" s="129" t="s">
        <v>120</v>
      </c>
      <c r="E103" s="129" t="s">
        <v>133</v>
      </c>
      <c r="F103" s="13" t="s">
        <v>52</v>
      </c>
      <c r="G103" s="13" t="s">
        <v>52</v>
      </c>
      <c r="H103" s="14"/>
      <c r="I103" s="14"/>
      <c r="J103" s="14"/>
      <c r="K103" s="75" t="s">
        <v>53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89"/>
    </row>
    <row r="104" spans="1:22" s="8" customFormat="1" x14ac:dyDescent="0.35">
      <c r="A104" s="125" t="s">
        <v>120</v>
      </c>
      <c r="B104" s="93" t="s">
        <v>14</v>
      </c>
      <c r="C104" s="110" t="s">
        <v>52</v>
      </c>
      <c r="D104" s="129" t="s">
        <v>120</v>
      </c>
      <c r="E104" s="129" t="s">
        <v>133</v>
      </c>
      <c r="F104" s="110" t="s">
        <v>52</v>
      </c>
      <c r="G104" s="110" t="s">
        <v>52</v>
      </c>
      <c r="H104" s="90"/>
      <c r="I104" s="90"/>
      <c r="J104" s="90"/>
      <c r="K104" s="111" t="s">
        <v>53</v>
      </c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89"/>
    </row>
    <row r="105" spans="1:22" s="8" customFormat="1" x14ac:dyDescent="0.35">
      <c r="A105" s="126" t="s">
        <v>121</v>
      </c>
      <c r="B105" s="91" t="s">
        <v>30</v>
      </c>
      <c r="C105" s="114" t="s">
        <v>116</v>
      </c>
      <c r="D105" s="157" t="s">
        <v>121</v>
      </c>
      <c r="E105" s="13" t="s">
        <v>52</v>
      </c>
      <c r="F105" s="116" t="s">
        <v>124</v>
      </c>
      <c r="G105" s="13" t="s">
        <v>52</v>
      </c>
      <c r="H105" s="88" t="s">
        <v>52</v>
      </c>
      <c r="I105" s="58"/>
      <c r="J105" s="88" t="s">
        <v>52</v>
      </c>
      <c r="K105" s="75" t="s">
        <v>53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89"/>
    </row>
    <row r="106" spans="1:22" s="8" customFormat="1" x14ac:dyDescent="0.35">
      <c r="A106" s="126" t="s">
        <v>121</v>
      </c>
      <c r="B106" s="68" t="s">
        <v>32</v>
      </c>
      <c r="C106" s="114" t="s">
        <v>116</v>
      </c>
      <c r="D106" s="157" t="s">
        <v>121</v>
      </c>
      <c r="E106" s="13" t="s">
        <v>52</v>
      </c>
      <c r="F106" s="116" t="s">
        <v>124</v>
      </c>
      <c r="G106" s="13" t="s">
        <v>52</v>
      </c>
      <c r="H106" s="75" t="s">
        <v>52</v>
      </c>
      <c r="I106" s="14"/>
      <c r="J106" s="75" t="s">
        <v>52</v>
      </c>
      <c r="K106" s="75" t="s">
        <v>53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89"/>
    </row>
    <row r="107" spans="1:22" s="8" customFormat="1" x14ac:dyDescent="0.35">
      <c r="A107" s="126" t="s">
        <v>121</v>
      </c>
      <c r="B107" s="72" t="s">
        <v>33</v>
      </c>
      <c r="C107" s="114" t="s">
        <v>116</v>
      </c>
      <c r="D107" s="157" t="s">
        <v>121</v>
      </c>
      <c r="E107" s="13" t="s">
        <v>52</v>
      </c>
      <c r="F107" s="116" t="s">
        <v>124</v>
      </c>
      <c r="G107" s="13" t="s">
        <v>52</v>
      </c>
      <c r="H107" s="73" t="s">
        <v>52</v>
      </c>
      <c r="I107" s="89"/>
      <c r="J107" s="73" t="s">
        <v>52</v>
      </c>
      <c r="K107" s="75" t="s">
        <v>53</v>
      </c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</row>
    <row r="108" spans="1:22" s="8" customFormat="1" x14ac:dyDescent="0.35">
      <c r="A108" s="126" t="s">
        <v>121</v>
      </c>
      <c r="B108" s="72" t="s">
        <v>28</v>
      </c>
      <c r="C108" s="13" t="s">
        <v>52</v>
      </c>
      <c r="D108" s="73" t="s">
        <v>52</v>
      </c>
      <c r="E108" s="130" t="s">
        <v>134</v>
      </c>
      <c r="F108" s="13" t="s">
        <v>52</v>
      </c>
      <c r="G108" s="13" t="s">
        <v>52</v>
      </c>
      <c r="H108" s="73" t="s">
        <v>52</v>
      </c>
      <c r="I108" s="89"/>
      <c r="J108" s="73" t="s">
        <v>52</v>
      </c>
      <c r="K108" s="75" t="s">
        <v>53</v>
      </c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</row>
    <row r="109" spans="1:22" s="8" customFormat="1" x14ac:dyDescent="0.35">
      <c r="A109" s="126" t="s">
        <v>121</v>
      </c>
      <c r="B109" s="68" t="s">
        <v>25</v>
      </c>
      <c r="C109" s="13" t="s">
        <v>52</v>
      </c>
      <c r="D109" s="75" t="s">
        <v>52</v>
      </c>
      <c r="E109" s="130" t="s">
        <v>134</v>
      </c>
      <c r="F109" s="13" t="s">
        <v>52</v>
      </c>
      <c r="G109" s="13" t="s">
        <v>52</v>
      </c>
      <c r="H109" s="14"/>
      <c r="I109" s="75" t="s">
        <v>52</v>
      </c>
      <c r="J109" s="75" t="s">
        <v>52</v>
      </c>
      <c r="K109" s="75" t="s">
        <v>53</v>
      </c>
      <c r="L109" s="75" t="s">
        <v>52</v>
      </c>
      <c r="M109" s="75" t="s">
        <v>52</v>
      </c>
      <c r="N109" s="75" t="s">
        <v>52</v>
      </c>
      <c r="O109" s="75" t="s">
        <v>52</v>
      </c>
      <c r="P109" s="75" t="s">
        <v>52</v>
      </c>
      <c r="Q109" s="75" t="s">
        <v>52</v>
      </c>
      <c r="R109" s="75" t="s">
        <v>52</v>
      </c>
      <c r="S109" s="75" t="s">
        <v>52</v>
      </c>
      <c r="T109" s="75" t="s">
        <v>52</v>
      </c>
      <c r="U109" s="75" t="s">
        <v>52</v>
      </c>
      <c r="V109" s="89"/>
    </row>
    <row r="110" spans="1:22" s="8" customFormat="1" x14ac:dyDescent="0.35">
      <c r="A110" s="126" t="s">
        <v>121</v>
      </c>
      <c r="B110" s="72" t="s">
        <v>26</v>
      </c>
      <c r="C110" s="13" t="s">
        <v>52</v>
      </c>
      <c r="D110" s="73" t="s">
        <v>52</v>
      </c>
      <c r="E110" s="130" t="s">
        <v>134</v>
      </c>
      <c r="F110" s="13" t="s">
        <v>52</v>
      </c>
      <c r="G110" s="13" t="s">
        <v>52</v>
      </c>
      <c r="H110" s="89"/>
      <c r="I110" s="73" t="s">
        <v>52</v>
      </c>
      <c r="J110" s="73" t="s">
        <v>52</v>
      </c>
      <c r="K110" s="75" t="s">
        <v>53</v>
      </c>
      <c r="L110" s="73" t="s">
        <v>52</v>
      </c>
      <c r="M110" s="73" t="s">
        <v>52</v>
      </c>
      <c r="N110" s="73" t="s">
        <v>52</v>
      </c>
      <c r="O110" s="73" t="s">
        <v>52</v>
      </c>
      <c r="P110" s="73" t="s">
        <v>52</v>
      </c>
      <c r="Q110" s="73" t="s">
        <v>52</v>
      </c>
      <c r="R110" s="73" t="s">
        <v>52</v>
      </c>
      <c r="S110" s="73" t="s">
        <v>52</v>
      </c>
      <c r="T110" s="73" t="s">
        <v>52</v>
      </c>
      <c r="U110" s="73" t="s">
        <v>52</v>
      </c>
      <c r="V110" s="89"/>
    </row>
    <row r="111" spans="1:22" s="8" customFormat="1" x14ac:dyDescent="0.35">
      <c r="A111" s="126" t="s">
        <v>121</v>
      </c>
      <c r="B111" s="68" t="s">
        <v>23</v>
      </c>
      <c r="C111" s="13" t="s">
        <v>52</v>
      </c>
      <c r="D111" s="75" t="s">
        <v>52</v>
      </c>
      <c r="E111" s="130" t="s">
        <v>134</v>
      </c>
      <c r="F111" s="13" t="s">
        <v>52</v>
      </c>
      <c r="G111" s="13" t="s">
        <v>52</v>
      </c>
      <c r="H111" s="14"/>
      <c r="I111" s="75" t="s">
        <v>52</v>
      </c>
      <c r="J111" s="75" t="s">
        <v>52</v>
      </c>
      <c r="K111" s="75" t="s">
        <v>53</v>
      </c>
      <c r="L111" s="14"/>
      <c r="M111" s="14"/>
      <c r="N111" s="75" t="s">
        <v>52</v>
      </c>
      <c r="O111" s="14"/>
      <c r="P111" s="14"/>
      <c r="Q111" s="75" t="s">
        <v>52</v>
      </c>
      <c r="R111" s="14"/>
      <c r="S111" s="14"/>
      <c r="T111" s="14"/>
      <c r="U111" s="14"/>
      <c r="V111" s="89"/>
    </row>
    <row r="112" spans="1:22" s="8" customFormat="1" x14ac:dyDescent="0.35">
      <c r="A112" s="126" t="s">
        <v>121</v>
      </c>
      <c r="B112" s="68" t="s">
        <v>17</v>
      </c>
      <c r="C112" s="13" t="s">
        <v>52</v>
      </c>
      <c r="D112" s="75" t="s">
        <v>52</v>
      </c>
      <c r="E112" s="130" t="s">
        <v>134</v>
      </c>
      <c r="F112" s="13" t="s">
        <v>52</v>
      </c>
      <c r="G112" s="13" t="s">
        <v>52</v>
      </c>
      <c r="H112" s="14"/>
      <c r="I112" s="75" t="s">
        <v>52</v>
      </c>
      <c r="J112" s="75" t="s">
        <v>52</v>
      </c>
      <c r="K112" s="75" t="s">
        <v>53</v>
      </c>
      <c r="L112" s="14"/>
      <c r="M112" s="14"/>
      <c r="N112" s="75" t="s">
        <v>52</v>
      </c>
      <c r="O112" s="14"/>
      <c r="P112" s="14"/>
      <c r="Q112" s="75" t="s">
        <v>52</v>
      </c>
      <c r="R112" s="14"/>
      <c r="S112" s="14"/>
      <c r="T112" s="14"/>
      <c r="U112" s="14"/>
      <c r="V112" s="89"/>
    </row>
    <row r="113" spans="1:22" s="8" customFormat="1" x14ac:dyDescent="0.35">
      <c r="A113" s="126" t="s">
        <v>121</v>
      </c>
      <c r="B113" s="72" t="s">
        <v>18</v>
      </c>
      <c r="C113" s="13" t="s">
        <v>52</v>
      </c>
      <c r="D113" s="73" t="s">
        <v>52</v>
      </c>
      <c r="E113" s="130" t="s">
        <v>134</v>
      </c>
      <c r="F113" s="13" t="s">
        <v>52</v>
      </c>
      <c r="G113" s="13" t="s">
        <v>52</v>
      </c>
      <c r="H113" s="89"/>
      <c r="I113" s="73" t="s">
        <v>52</v>
      </c>
      <c r="J113" s="73" t="s">
        <v>52</v>
      </c>
      <c r="K113" s="75" t="s">
        <v>53</v>
      </c>
      <c r="L113" s="89"/>
      <c r="M113" s="89"/>
      <c r="N113" s="73" t="s">
        <v>52</v>
      </c>
      <c r="O113" s="89"/>
      <c r="P113" s="89"/>
      <c r="Q113" s="73" t="s">
        <v>52</v>
      </c>
      <c r="R113" s="89"/>
      <c r="S113" s="89"/>
      <c r="T113" s="89"/>
      <c r="U113" s="89"/>
      <c r="V113" s="89"/>
    </row>
    <row r="114" spans="1:22" s="8" customFormat="1" x14ac:dyDescent="0.35">
      <c r="A114" s="126" t="s">
        <v>121</v>
      </c>
      <c r="B114" s="68" t="s">
        <v>19</v>
      </c>
      <c r="C114" s="13" t="s">
        <v>52</v>
      </c>
      <c r="D114" s="75" t="s">
        <v>52</v>
      </c>
      <c r="E114" s="130" t="s">
        <v>134</v>
      </c>
      <c r="F114" s="13" t="s">
        <v>52</v>
      </c>
      <c r="G114" s="13" t="s">
        <v>52</v>
      </c>
      <c r="H114" s="14"/>
      <c r="I114" s="75" t="s">
        <v>52</v>
      </c>
      <c r="J114" s="75" t="s">
        <v>52</v>
      </c>
      <c r="K114" s="75" t="s">
        <v>53</v>
      </c>
      <c r="L114" s="14"/>
      <c r="M114" s="14"/>
      <c r="N114" s="75" t="s">
        <v>52</v>
      </c>
      <c r="O114" s="14"/>
      <c r="P114" s="14"/>
      <c r="Q114" s="75" t="s">
        <v>52</v>
      </c>
      <c r="R114" s="14"/>
      <c r="S114" s="14"/>
      <c r="T114" s="14"/>
      <c r="U114" s="14"/>
      <c r="V114" s="89"/>
    </row>
    <row r="115" spans="1:22" s="8" customFormat="1" x14ac:dyDescent="0.35">
      <c r="A115" s="126" t="s">
        <v>121</v>
      </c>
      <c r="B115" s="72" t="s">
        <v>20</v>
      </c>
      <c r="C115" s="13" t="s">
        <v>52</v>
      </c>
      <c r="D115" s="73" t="s">
        <v>52</v>
      </c>
      <c r="E115" s="130" t="s">
        <v>134</v>
      </c>
      <c r="F115" s="13" t="s">
        <v>52</v>
      </c>
      <c r="G115" s="13" t="s">
        <v>52</v>
      </c>
      <c r="H115" s="89"/>
      <c r="I115" s="73" t="s">
        <v>52</v>
      </c>
      <c r="J115" s="73" t="s">
        <v>52</v>
      </c>
      <c r="K115" s="75" t="s">
        <v>53</v>
      </c>
      <c r="L115" s="89"/>
      <c r="M115" s="89"/>
      <c r="N115" s="73" t="s">
        <v>52</v>
      </c>
      <c r="O115" s="89"/>
      <c r="P115" s="89"/>
      <c r="Q115" s="73" t="s">
        <v>52</v>
      </c>
      <c r="R115" s="89"/>
      <c r="S115" s="89"/>
      <c r="T115" s="89"/>
      <c r="U115" s="89"/>
      <c r="V115" s="89"/>
    </row>
    <row r="116" spans="1:22" s="8" customFormat="1" x14ac:dyDescent="0.35">
      <c r="A116" s="126" t="s">
        <v>121</v>
      </c>
      <c r="B116" s="68" t="s">
        <v>21</v>
      </c>
      <c r="C116" s="13" t="s">
        <v>52</v>
      </c>
      <c r="D116" s="75" t="s">
        <v>52</v>
      </c>
      <c r="E116" s="130" t="s">
        <v>134</v>
      </c>
      <c r="F116" s="13" t="s">
        <v>52</v>
      </c>
      <c r="G116" s="13" t="s">
        <v>52</v>
      </c>
      <c r="H116" s="14"/>
      <c r="I116" s="75" t="s">
        <v>52</v>
      </c>
      <c r="J116" s="75" t="s">
        <v>52</v>
      </c>
      <c r="K116" s="75" t="s">
        <v>53</v>
      </c>
      <c r="L116" s="14"/>
      <c r="M116" s="14"/>
      <c r="N116" s="75" t="s">
        <v>52</v>
      </c>
      <c r="O116" s="14"/>
      <c r="P116" s="14"/>
      <c r="Q116" s="75" t="s">
        <v>52</v>
      </c>
      <c r="R116" s="14"/>
      <c r="S116" s="14"/>
      <c r="T116" s="14"/>
      <c r="U116" s="14"/>
      <c r="V116" s="89"/>
    </row>
    <row r="117" spans="1:22" s="8" customFormat="1" x14ac:dyDescent="0.35">
      <c r="A117" s="126" t="s">
        <v>121</v>
      </c>
      <c r="B117" s="72" t="s">
        <v>22</v>
      </c>
      <c r="C117" s="13" t="s">
        <v>52</v>
      </c>
      <c r="D117" s="73" t="s">
        <v>52</v>
      </c>
      <c r="E117" s="130" t="s">
        <v>134</v>
      </c>
      <c r="F117" s="13" t="s">
        <v>52</v>
      </c>
      <c r="G117" s="13" t="s">
        <v>52</v>
      </c>
      <c r="H117" s="89"/>
      <c r="I117" s="73" t="s">
        <v>52</v>
      </c>
      <c r="J117" s="73" t="s">
        <v>52</v>
      </c>
      <c r="K117" s="75" t="s">
        <v>53</v>
      </c>
      <c r="L117" s="89"/>
      <c r="M117" s="89"/>
      <c r="N117" s="73" t="s">
        <v>52</v>
      </c>
      <c r="O117" s="89"/>
      <c r="P117" s="89"/>
      <c r="Q117" s="73" t="s">
        <v>52</v>
      </c>
      <c r="R117" s="89"/>
      <c r="S117" s="89"/>
      <c r="T117" s="89"/>
      <c r="U117" s="89"/>
      <c r="V117" s="89"/>
    </row>
    <row r="118" spans="1:22" s="8" customFormat="1" x14ac:dyDescent="0.35">
      <c r="A118" s="126" t="s">
        <v>121</v>
      </c>
      <c r="B118" s="68" t="s">
        <v>15</v>
      </c>
      <c r="C118" s="13" t="s">
        <v>52</v>
      </c>
      <c r="D118" s="75" t="s">
        <v>52</v>
      </c>
      <c r="E118" s="130" t="s">
        <v>134</v>
      </c>
      <c r="F118" s="13" t="s">
        <v>52</v>
      </c>
      <c r="G118" s="13" t="s">
        <v>52</v>
      </c>
      <c r="H118" s="14"/>
      <c r="I118" s="73" t="s">
        <v>52</v>
      </c>
      <c r="J118" s="73" t="s">
        <v>52</v>
      </c>
      <c r="K118" s="75" t="s">
        <v>53</v>
      </c>
      <c r="L118" s="75" t="s">
        <v>52</v>
      </c>
      <c r="M118" s="75" t="s">
        <v>52</v>
      </c>
      <c r="N118" s="75" t="s">
        <v>52</v>
      </c>
      <c r="O118" s="75" t="s">
        <v>52</v>
      </c>
      <c r="P118" s="75" t="s">
        <v>52</v>
      </c>
      <c r="Q118" s="75" t="s">
        <v>52</v>
      </c>
      <c r="R118" s="75" t="s">
        <v>52</v>
      </c>
      <c r="S118" s="75" t="s">
        <v>52</v>
      </c>
      <c r="T118" s="75" t="s">
        <v>52</v>
      </c>
      <c r="U118" s="75" t="s">
        <v>52</v>
      </c>
      <c r="V118" s="89"/>
    </row>
    <row r="119" spans="1:22" s="8" customFormat="1" x14ac:dyDescent="0.35">
      <c r="A119" s="126" t="s">
        <v>121</v>
      </c>
      <c r="B119" s="68" t="s">
        <v>10</v>
      </c>
      <c r="C119" s="13" t="s">
        <v>52</v>
      </c>
      <c r="D119" s="130" t="s">
        <v>121</v>
      </c>
      <c r="E119" s="130" t="s">
        <v>134</v>
      </c>
      <c r="F119" s="13" t="s">
        <v>52</v>
      </c>
      <c r="G119" s="13" t="s">
        <v>52</v>
      </c>
      <c r="H119" s="14"/>
      <c r="I119" s="14"/>
      <c r="J119" s="14"/>
      <c r="K119" s="75" t="s">
        <v>53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89"/>
    </row>
    <row r="120" spans="1:22" s="8" customFormat="1" x14ac:dyDescent="0.35">
      <c r="A120" s="126" t="s">
        <v>121</v>
      </c>
      <c r="B120" s="72" t="s">
        <v>11</v>
      </c>
      <c r="C120" s="13" t="s">
        <v>52</v>
      </c>
      <c r="D120" s="130" t="s">
        <v>121</v>
      </c>
      <c r="E120" s="130" t="s">
        <v>134</v>
      </c>
      <c r="F120" s="13" t="s">
        <v>52</v>
      </c>
      <c r="G120" s="13" t="s">
        <v>52</v>
      </c>
      <c r="H120" s="89"/>
      <c r="I120" s="89"/>
      <c r="J120" s="89"/>
      <c r="K120" s="75" t="s">
        <v>53</v>
      </c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</row>
    <row r="121" spans="1:22" s="8" customFormat="1" x14ac:dyDescent="0.35">
      <c r="A121" s="126" t="s">
        <v>121</v>
      </c>
      <c r="B121" s="68" t="s">
        <v>8</v>
      </c>
      <c r="C121" s="13" t="s">
        <v>52</v>
      </c>
      <c r="D121" s="130" t="s">
        <v>121</v>
      </c>
      <c r="E121" s="130" t="s">
        <v>134</v>
      </c>
      <c r="F121" s="13" t="s">
        <v>52</v>
      </c>
      <c r="G121" s="13" t="s">
        <v>52</v>
      </c>
      <c r="H121" s="14"/>
      <c r="I121" s="14"/>
      <c r="J121" s="14"/>
      <c r="K121" s="75" t="s">
        <v>53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89"/>
    </row>
    <row r="122" spans="1:22" s="8" customFormat="1" x14ac:dyDescent="0.35">
      <c r="A122" s="126" t="s">
        <v>121</v>
      </c>
      <c r="B122" s="72" t="s">
        <v>12</v>
      </c>
      <c r="C122" s="13" t="s">
        <v>52</v>
      </c>
      <c r="D122" s="15" t="s">
        <v>52</v>
      </c>
      <c r="E122" s="130" t="s">
        <v>134</v>
      </c>
      <c r="F122" s="13" t="s">
        <v>52</v>
      </c>
      <c r="G122" s="13" t="s">
        <v>52</v>
      </c>
      <c r="H122" s="89"/>
      <c r="I122" s="89"/>
      <c r="J122" s="89"/>
      <c r="K122" s="75" t="s">
        <v>53</v>
      </c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</row>
    <row r="123" spans="1:22" s="8" customFormat="1" x14ac:dyDescent="0.35">
      <c r="A123" s="126" t="s">
        <v>121</v>
      </c>
      <c r="B123" s="68" t="s">
        <v>13</v>
      </c>
      <c r="C123" s="13" t="s">
        <v>52</v>
      </c>
      <c r="D123" s="130" t="s">
        <v>121</v>
      </c>
      <c r="E123" s="130" t="s">
        <v>134</v>
      </c>
      <c r="F123" s="13" t="s">
        <v>52</v>
      </c>
      <c r="G123" s="13" t="s">
        <v>52</v>
      </c>
      <c r="H123" s="14"/>
      <c r="I123" s="14"/>
      <c r="J123" s="14"/>
      <c r="K123" s="75" t="s">
        <v>53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89"/>
    </row>
    <row r="124" spans="1:22" s="8" customFormat="1" x14ac:dyDescent="0.35">
      <c r="A124" s="127" t="s">
        <v>121</v>
      </c>
      <c r="B124" s="93" t="s">
        <v>14</v>
      </c>
      <c r="C124" s="110" t="s">
        <v>52</v>
      </c>
      <c r="D124" s="130" t="s">
        <v>121</v>
      </c>
      <c r="E124" s="130" t="s">
        <v>134</v>
      </c>
      <c r="F124" s="110" t="s">
        <v>52</v>
      </c>
      <c r="G124" s="110" t="s">
        <v>52</v>
      </c>
      <c r="H124" s="90"/>
      <c r="I124" s="90"/>
      <c r="J124" s="90"/>
      <c r="K124" s="111" t="s">
        <v>53</v>
      </c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89"/>
    </row>
    <row r="125" spans="1:22" s="8" customFormat="1" x14ac:dyDescent="0.35">
      <c r="A125" s="122" t="s">
        <v>135</v>
      </c>
      <c r="B125" s="91" t="s">
        <v>30</v>
      </c>
      <c r="C125" s="114" t="s">
        <v>116</v>
      </c>
      <c r="D125" s="114" t="s">
        <v>119</v>
      </c>
      <c r="E125" s="13" t="s">
        <v>52</v>
      </c>
      <c r="F125" s="114" t="s">
        <v>122</v>
      </c>
      <c r="G125" s="13" t="s">
        <v>52</v>
      </c>
      <c r="H125" s="88" t="s">
        <v>52</v>
      </c>
      <c r="I125" s="58"/>
      <c r="J125" s="88" t="s">
        <v>52</v>
      </c>
      <c r="K125" s="75" t="s">
        <v>53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spans="1:22" s="8" customFormat="1" x14ac:dyDescent="0.35">
      <c r="A126" s="122" t="s">
        <v>135</v>
      </c>
      <c r="B126" s="68" t="s">
        <v>32</v>
      </c>
      <c r="C126" s="114" t="s">
        <v>116</v>
      </c>
      <c r="D126" s="115" t="s">
        <v>119</v>
      </c>
      <c r="E126" s="13" t="s">
        <v>52</v>
      </c>
      <c r="F126" s="115" t="s">
        <v>122</v>
      </c>
      <c r="G126" s="13" t="s">
        <v>52</v>
      </c>
      <c r="H126" s="75" t="s">
        <v>52</v>
      </c>
      <c r="I126" s="14"/>
      <c r="J126" s="75" t="s">
        <v>52</v>
      </c>
      <c r="K126" s="75" t="s">
        <v>53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spans="1:22" s="8" customFormat="1" x14ac:dyDescent="0.35">
      <c r="A127" s="122" t="s">
        <v>135</v>
      </c>
      <c r="B127" s="91" t="s">
        <v>33</v>
      </c>
      <c r="C127" s="114" t="s">
        <v>116</v>
      </c>
      <c r="D127" s="115" t="s">
        <v>119</v>
      </c>
      <c r="E127" s="13" t="s">
        <v>52</v>
      </c>
      <c r="F127" s="115" t="s">
        <v>122</v>
      </c>
      <c r="G127" s="13" t="s">
        <v>52</v>
      </c>
      <c r="H127" s="88" t="s">
        <v>52</v>
      </c>
      <c r="I127" s="58"/>
      <c r="J127" s="88" t="s">
        <v>52</v>
      </c>
      <c r="K127" s="75" t="s">
        <v>53</v>
      </c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</row>
    <row r="128" spans="1:22" s="8" customFormat="1" x14ac:dyDescent="0.35">
      <c r="A128" s="122" t="s">
        <v>135</v>
      </c>
      <c r="B128" s="68" t="s">
        <v>28</v>
      </c>
      <c r="C128" s="13" t="s">
        <v>52</v>
      </c>
      <c r="D128" s="75" t="s">
        <v>52</v>
      </c>
      <c r="E128" s="193" t="s">
        <v>132</v>
      </c>
      <c r="F128" s="13" t="s">
        <v>52</v>
      </c>
      <c r="G128" s="13" t="s">
        <v>52</v>
      </c>
      <c r="H128" s="75" t="s">
        <v>52</v>
      </c>
      <c r="I128" s="14"/>
      <c r="J128" s="75" t="s">
        <v>52</v>
      </c>
      <c r="K128" s="75" t="s">
        <v>53</v>
      </c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</row>
    <row r="129" spans="1:22" s="8" customFormat="1" x14ac:dyDescent="0.35">
      <c r="A129" s="122" t="s">
        <v>135</v>
      </c>
      <c r="B129" s="91" t="s">
        <v>25</v>
      </c>
      <c r="C129" s="13" t="s">
        <v>52</v>
      </c>
      <c r="D129" s="88" t="s">
        <v>52</v>
      </c>
      <c r="E129" s="193" t="s">
        <v>132</v>
      </c>
      <c r="F129" s="13" t="s">
        <v>52</v>
      </c>
      <c r="G129" s="13" t="s">
        <v>52</v>
      </c>
      <c r="H129" s="58"/>
      <c r="I129" s="88" t="s">
        <v>52</v>
      </c>
      <c r="J129" s="88" t="s">
        <v>52</v>
      </c>
      <c r="K129" s="75" t="s">
        <v>53</v>
      </c>
      <c r="L129" s="75" t="s">
        <v>52</v>
      </c>
      <c r="M129" s="75" t="s">
        <v>52</v>
      </c>
      <c r="N129" s="75" t="s">
        <v>52</v>
      </c>
      <c r="O129" s="75" t="s">
        <v>52</v>
      </c>
      <c r="P129" s="75" t="s">
        <v>52</v>
      </c>
      <c r="Q129" s="75" t="s">
        <v>52</v>
      </c>
      <c r="R129" s="75" t="s">
        <v>52</v>
      </c>
      <c r="S129" s="75" t="s">
        <v>52</v>
      </c>
      <c r="T129" s="75" t="s">
        <v>52</v>
      </c>
      <c r="U129" s="75" t="s">
        <v>52</v>
      </c>
      <c r="V129" s="14"/>
    </row>
    <row r="130" spans="1:22" s="8" customFormat="1" x14ac:dyDescent="0.35">
      <c r="A130" s="122" t="s">
        <v>135</v>
      </c>
      <c r="B130" s="68" t="s">
        <v>26</v>
      </c>
      <c r="C130" s="13" t="s">
        <v>52</v>
      </c>
      <c r="D130" s="75" t="s">
        <v>52</v>
      </c>
      <c r="E130" s="193" t="s">
        <v>132</v>
      </c>
      <c r="F130" s="13" t="s">
        <v>52</v>
      </c>
      <c r="G130" s="13" t="s">
        <v>52</v>
      </c>
      <c r="H130" s="14"/>
      <c r="I130" s="75" t="s">
        <v>52</v>
      </c>
      <c r="J130" s="75" t="s">
        <v>52</v>
      </c>
      <c r="K130" s="75" t="s">
        <v>53</v>
      </c>
      <c r="L130" s="73" t="s">
        <v>52</v>
      </c>
      <c r="M130" s="73" t="s">
        <v>52</v>
      </c>
      <c r="N130" s="73" t="s">
        <v>52</v>
      </c>
      <c r="O130" s="73" t="s">
        <v>52</v>
      </c>
      <c r="P130" s="73" t="s">
        <v>52</v>
      </c>
      <c r="Q130" s="73" t="s">
        <v>52</v>
      </c>
      <c r="R130" s="73" t="s">
        <v>52</v>
      </c>
      <c r="S130" s="73" t="s">
        <v>52</v>
      </c>
      <c r="T130" s="73" t="s">
        <v>52</v>
      </c>
      <c r="U130" s="73" t="s">
        <v>52</v>
      </c>
      <c r="V130" s="89"/>
    </row>
    <row r="131" spans="1:22" s="8" customFormat="1" x14ac:dyDescent="0.35">
      <c r="A131" s="122" t="s">
        <v>135</v>
      </c>
      <c r="B131" s="91" t="s">
        <v>23</v>
      </c>
      <c r="C131" s="13" t="s">
        <v>52</v>
      </c>
      <c r="D131" s="128" t="s">
        <v>119</v>
      </c>
      <c r="E131" s="193" t="s">
        <v>132</v>
      </c>
      <c r="F131" s="13" t="s">
        <v>52</v>
      </c>
      <c r="G131" s="13" t="s">
        <v>52</v>
      </c>
      <c r="H131" s="58"/>
      <c r="I131" s="88" t="s">
        <v>52</v>
      </c>
      <c r="J131" s="88" t="s">
        <v>52</v>
      </c>
      <c r="K131" s="75" t="s">
        <v>53</v>
      </c>
      <c r="L131" s="14"/>
      <c r="M131" s="14"/>
      <c r="N131" s="75" t="s">
        <v>52</v>
      </c>
      <c r="O131" s="14"/>
      <c r="P131" s="14"/>
      <c r="Q131" s="75" t="s">
        <v>52</v>
      </c>
      <c r="R131" s="14"/>
      <c r="S131" s="14"/>
      <c r="T131" s="14"/>
      <c r="U131" s="14"/>
      <c r="V131" s="14"/>
    </row>
    <row r="132" spans="1:22" s="8" customFormat="1" x14ac:dyDescent="0.35">
      <c r="A132" s="122" t="s">
        <v>135</v>
      </c>
      <c r="B132" s="91" t="s">
        <v>17</v>
      </c>
      <c r="C132" s="13" t="s">
        <v>52</v>
      </c>
      <c r="D132" s="128" t="s">
        <v>119</v>
      </c>
      <c r="E132" s="193" t="s">
        <v>132</v>
      </c>
      <c r="F132" s="13" t="s">
        <v>52</v>
      </c>
      <c r="G132" s="13" t="s">
        <v>52</v>
      </c>
      <c r="H132" s="58"/>
      <c r="I132" s="88" t="s">
        <v>52</v>
      </c>
      <c r="J132" s="88" t="s">
        <v>52</v>
      </c>
      <c r="K132" s="75" t="s">
        <v>53</v>
      </c>
      <c r="L132" s="14"/>
      <c r="M132" s="14"/>
      <c r="N132" s="75" t="s">
        <v>52</v>
      </c>
      <c r="O132" s="14"/>
      <c r="P132" s="14"/>
      <c r="Q132" s="75" t="s">
        <v>52</v>
      </c>
      <c r="R132" s="14"/>
      <c r="S132" s="14"/>
      <c r="T132" s="14"/>
      <c r="U132" s="14"/>
      <c r="V132" s="14"/>
    </row>
    <row r="133" spans="1:22" s="8" customFormat="1" x14ac:dyDescent="0.35">
      <c r="A133" s="122" t="s">
        <v>135</v>
      </c>
      <c r="B133" s="68" t="s">
        <v>18</v>
      </c>
      <c r="C133" s="13" t="s">
        <v>52</v>
      </c>
      <c r="D133" s="128" t="s">
        <v>119</v>
      </c>
      <c r="E133" s="193" t="s">
        <v>132</v>
      </c>
      <c r="F133" s="13" t="s">
        <v>52</v>
      </c>
      <c r="G133" s="13" t="s">
        <v>52</v>
      </c>
      <c r="H133" s="14"/>
      <c r="I133" s="75" t="s">
        <v>52</v>
      </c>
      <c r="J133" s="75" t="s">
        <v>52</v>
      </c>
      <c r="K133" s="75" t="s">
        <v>53</v>
      </c>
      <c r="L133" s="89"/>
      <c r="M133" s="89"/>
      <c r="N133" s="73" t="s">
        <v>52</v>
      </c>
      <c r="O133" s="89"/>
      <c r="P133" s="89"/>
      <c r="Q133" s="73" t="s">
        <v>52</v>
      </c>
      <c r="R133" s="89"/>
      <c r="S133" s="89"/>
      <c r="T133" s="89"/>
      <c r="U133" s="89"/>
      <c r="V133" s="89"/>
    </row>
    <row r="134" spans="1:22" s="8" customFormat="1" x14ac:dyDescent="0.35">
      <c r="A134" s="122" t="s">
        <v>135</v>
      </c>
      <c r="B134" s="91" t="s">
        <v>19</v>
      </c>
      <c r="C134" s="13" t="s">
        <v>52</v>
      </c>
      <c r="D134" s="128" t="s">
        <v>119</v>
      </c>
      <c r="E134" s="193" t="s">
        <v>132</v>
      </c>
      <c r="F134" s="13" t="s">
        <v>52</v>
      </c>
      <c r="G134" s="13" t="s">
        <v>52</v>
      </c>
      <c r="H134" s="58"/>
      <c r="I134" s="88" t="s">
        <v>52</v>
      </c>
      <c r="J134" s="88" t="s">
        <v>52</v>
      </c>
      <c r="K134" s="75" t="s">
        <v>53</v>
      </c>
      <c r="L134" s="14"/>
      <c r="M134" s="14"/>
      <c r="N134" s="75" t="s">
        <v>52</v>
      </c>
      <c r="O134" s="14"/>
      <c r="P134" s="14"/>
      <c r="Q134" s="75" t="s">
        <v>52</v>
      </c>
      <c r="R134" s="14"/>
      <c r="S134" s="14"/>
      <c r="T134" s="14"/>
      <c r="U134" s="14"/>
      <c r="V134" s="14"/>
    </row>
    <row r="135" spans="1:22" s="8" customFormat="1" x14ac:dyDescent="0.35">
      <c r="A135" s="122" t="s">
        <v>135</v>
      </c>
      <c r="B135" s="68" t="s">
        <v>20</v>
      </c>
      <c r="C135" s="13" t="s">
        <v>52</v>
      </c>
      <c r="D135" s="128" t="s">
        <v>119</v>
      </c>
      <c r="E135" s="193" t="s">
        <v>132</v>
      </c>
      <c r="F135" s="13" t="s">
        <v>52</v>
      </c>
      <c r="G135" s="13" t="s">
        <v>52</v>
      </c>
      <c r="H135" s="14"/>
      <c r="I135" s="75" t="s">
        <v>52</v>
      </c>
      <c r="J135" s="75" t="s">
        <v>52</v>
      </c>
      <c r="K135" s="75" t="s">
        <v>53</v>
      </c>
      <c r="L135" s="89"/>
      <c r="M135" s="89"/>
      <c r="N135" s="73" t="s">
        <v>52</v>
      </c>
      <c r="O135" s="89"/>
      <c r="P135" s="89"/>
      <c r="Q135" s="73" t="s">
        <v>52</v>
      </c>
      <c r="R135" s="89"/>
      <c r="S135" s="89"/>
      <c r="T135" s="89"/>
      <c r="U135" s="89"/>
      <c r="V135" s="89"/>
    </row>
    <row r="136" spans="1:22" s="8" customFormat="1" x14ac:dyDescent="0.35">
      <c r="A136" s="122" t="s">
        <v>135</v>
      </c>
      <c r="B136" s="91" t="s">
        <v>21</v>
      </c>
      <c r="C136" s="13" t="s">
        <v>52</v>
      </c>
      <c r="D136" s="128" t="s">
        <v>119</v>
      </c>
      <c r="E136" s="193" t="s">
        <v>132</v>
      </c>
      <c r="F136" s="13" t="s">
        <v>52</v>
      </c>
      <c r="G136" s="13" t="s">
        <v>52</v>
      </c>
      <c r="H136" s="58"/>
      <c r="I136" s="88" t="s">
        <v>52</v>
      </c>
      <c r="J136" s="88" t="s">
        <v>52</v>
      </c>
      <c r="K136" s="75" t="s">
        <v>53</v>
      </c>
      <c r="L136" s="14"/>
      <c r="M136" s="14"/>
      <c r="N136" s="75" t="s">
        <v>52</v>
      </c>
      <c r="O136" s="14"/>
      <c r="P136" s="14"/>
      <c r="Q136" s="75" t="s">
        <v>52</v>
      </c>
      <c r="R136" s="14"/>
      <c r="S136" s="14"/>
      <c r="T136" s="14"/>
      <c r="U136" s="14"/>
      <c r="V136" s="14"/>
    </row>
    <row r="137" spans="1:22" s="8" customFormat="1" x14ac:dyDescent="0.35">
      <c r="A137" s="122" t="s">
        <v>135</v>
      </c>
      <c r="B137" s="68" t="s">
        <v>22</v>
      </c>
      <c r="C137" s="13" t="s">
        <v>52</v>
      </c>
      <c r="D137" s="128" t="s">
        <v>119</v>
      </c>
      <c r="E137" s="193" t="s">
        <v>132</v>
      </c>
      <c r="F137" s="13" t="s">
        <v>52</v>
      </c>
      <c r="G137" s="13" t="s">
        <v>52</v>
      </c>
      <c r="H137" s="14"/>
      <c r="I137" s="75" t="s">
        <v>52</v>
      </c>
      <c r="J137" s="75" t="s">
        <v>52</v>
      </c>
      <c r="K137" s="75" t="s">
        <v>53</v>
      </c>
      <c r="L137" s="89"/>
      <c r="M137" s="89"/>
      <c r="N137" s="73" t="s">
        <v>52</v>
      </c>
      <c r="O137" s="89"/>
      <c r="P137" s="89"/>
      <c r="Q137" s="73" t="s">
        <v>52</v>
      </c>
      <c r="R137" s="89"/>
      <c r="S137" s="89"/>
      <c r="T137" s="89"/>
      <c r="U137" s="89"/>
      <c r="V137" s="89"/>
    </row>
    <row r="138" spans="1:22" s="8" customFormat="1" x14ac:dyDescent="0.35">
      <c r="A138" s="122" t="s">
        <v>135</v>
      </c>
      <c r="B138" s="91" t="s">
        <v>15</v>
      </c>
      <c r="C138" s="13" t="s">
        <v>52</v>
      </c>
      <c r="D138" s="128" t="s">
        <v>119</v>
      </c>
      <c r="E138" s="193" t="s">
        <v>132</v>
      </c>
      <c r="F138" s="13" t="s">
        <v>52</v>
      </c>
      <c r="G138" s="13" t="s">
        <v>52</v>
      </c>
      <c r="H138" s="58"/>
      <c r="I138" s="75" t="s">
        <v>52</v>
      </c>
      <c r="J138" s="75" t="s">
        <v>52</v>
      </c>
      <c r="K138" s="75" t="s">
        <v>53</v>
      </c>
      <c r="L138" s="75" t="s">
        <v>52</v>
      </c>
      <c r="M138" s="75" t="s">
        <v>52</v>
      </c>
      <c r="N138" s="75" t="s">
        <v>52</v>
      </c>
      <c r="O138" s="75" t="s">
        <v>52</v>
      </c>
      <c r="P138" s="75" t="s">
        <v>52</v>
      </c>
      <c r="Q138" s="75" t="s">
        <v>52</v>
      </c>
      <c r="R138" s="75" t="s">
        <v>52</v>
      </c>
      <c r="S138" s="75" t="s">
        <v>52</v>
      </c>
      <c r="T138" s="75" t="s">
        <v>52</v>
      </c>
      <c r="U138" s="75" t="s">
        <v>52</v>
      </c>
      <c r="V138" s="14"/>
    </row>
    <row r="139" spans="1:22" s="8" customFormat="1" x14ac:dyDescent="0.35">
      <c r="A139" s="122" t="s">
        <v>135</v>
      </c>
      <c r="B139" s="68" t="s">
        <v>10</v>
      </c>
      <c r="C139" s="13" t="s">
        <v>52</v>
      </c>
      <c r="D139" s="128" t="s">
        <v>119</v>
      </c>
      <c r="E139" s="193" t="s">
        <v>132</v>
      </c>
      <c r="F139" s="13" t="s">
        <v>52</v>
      </c>
      <c r="G139" s="13" t="s">
        <v>52</v>
      </c>
      <c r="H139" s="14"/>
      <c r="I139" s="14"/>
      <c r="J139" s="14"/>
      <c r="K139" s="75" t="s">
        <v>53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 spans="1:22" s="8" customFormat="1" x14ac:dyDescent="0.35">
      <c r="A140" s="122" t="s">
        <v>135</v>
      </c>
      <c r="B140" s="91" t="s">
        <v>11</v>
      </c>
      <c r="C140" s="13" t="s">
        <v>52</v>
      </c>
      <c r="D140" s="128" t="s">
        <v>119</v>
      </c>
      <c r="E140" s="193" t="s">
        <v>132</v>
      </c>
      <c r="F140" s="13" t="s">
        <v>52</v>
      </c>
      <c r="G140" s="13" t="s">
        <v>52</v>
      </c>
      <c r="H140" s="58"/>
      <c r="I140" s="58"/>
      <c r="J140" s="58"/>
      <c r="K140" s="75" t="s">
        <v>53</v>
      </c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</row>
    <row r="141" spans="1:22" s="8" customFormat="1" x14ac:dyDescent="0.35">
      <c r="A141" s="122" t="s">
        <v>135</v>
      </c>
      <c r="B141" s="68" t="s">
        <v>8</v>
      </c>
      <c r="C141" s="13" t="s">
        <v>52</v>
      </c>
      <c r="D141" s="128" t="s">
        <v>119</v>
      </c>
      <c r="E141" s="193" t="s">
        <v>132</v>
      </c>
      <c r="F141" s="13" t="s">
        <v>52</v>
      </c>
      <c r="G141" s="13" t="s">
        <v>52</v>
      </c>
      <c r="H141" s="14"/>
      <c r="I141" s="14"/>
      <c r="J141" s="14"/>
      <c r="K141" s="75" t="s">
        <v>53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 spans="1:22" s="8" customFormat="1" x14ac:dyDescent="0.35">
      <c r="A142" s="122" t="s">
        <v>135</v>
      </c>
      <c r="B142" s="91" t="s">
        <v>12</v>
      </c>
      <c r="C142" s="13" t="s">
        <v>52</v>
      </c>
      <c r="D142" s="13" t="s">
        <v>52</v>
      </c>
      <c r="E142" s="193" t="s">
        <v>132</v>
      </c>
      <c r="F142" s="13" t="s">
        <v>52</v>
      </c>
      <c r="G142" s="13" t="s">
        <v>52</v>
      </c>
      <c r="H142" s="58"/>
      <c r="I142" s="58"/>
      <c r="J142" s="58"/>
      <c r="K142" s="75" t="s">
        <v>53</v>
      </c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</row>
    <row r="143" spans="1:22" s="8" customFormat="1" x14ac:dyDescent="0.35">
      <c r="A143" s="122" t="s">
        <v>135</v>
      </c>
      <c r="B143" s="68" t="s">
        <v>13</v>
      </c>
      <c r="C143" s="13" t="s">
        <v>52</v>
      </c>
      <c r="D143" s="128" t="s">
        <v>119</v>
      </c>
      <c r="E143" s="193" t="s">
        <v>132</v>
      </c>
      <c r="F143" s="13" t="s">
        <v>52</v>
      </c>
      <c r="G143" s="13" t="s">
        <v>52</v>
      </c>
      <c r="H143" s="14"/>
      <c r="I143" s="14"/>
      <c r="J143" s="14"/>
      <c r="K143" s="75" t="s">
        <v>53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spans="1:22" s="8" customFormat="1" x14ac:dyDescent="0.35">
      <c r="A144" s="122" t="s">
        <v>135</v>
      </c>
      <c r="B144" s="92" t="s">
        <v>14</v>
      </c>
      <c r="C144" s="110" t="s">
        <v>52</v>
      </c>
      <c r="D144" s="128" t="s">
        <v>119</v>
      </c>
      <c r="E144" s="193" t="s">
        <v>132</v>
      </c>
      <c r="F144" s="110" t="s">
        <v>52</v>
      </c>
      <c r="G144" s="110" t="s">
        <v>52</v>
      </c>
      <c r="H144" s="87"/>
      <c r="I144" s="87"/>
      <c r="J144" s="87"/>
      <c r="K144" s="111" t="s">
        <v>53</v>
      </c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</row>
    <row r="145" spans="1:22" s="8" customFormat="1" x14ac:dyDescent="0.35">
      <c r="A145" s="126" t="s">
        <v>136</v>
      </c>
      <c r="B145" s="91" t="s">
        <v>30</v>
      </c>
      <c r="C145" s="114" t="s">
        <v>116</v>
      </c>
      <c r="D145" s="157" t="s">
        <v>121</v>
      </c>
      <c r="E145" s="13" t="s">
        <v>52</v>
      </c>
      <c r="F145" s="116" t="s">
        <v>124</v>
      </c>
      <c r="G145" s="13" t="s">
        <v>52</v>
      </c>
      <c r="H145" s="88" t="s">
        <v>52</v>
      </c>
      <c r="I145" s="58"/>
      <c r="J145" s="88" t="s">
        <v>52</v>
      </c>
      <c r="K145" s="75" t="s">
        <v>53</v>
      </c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89"/>
    </row>
    <row r="146" spans="1:22" s="8" customFormat="1" x14ac:dyDescent="0.35">
      <c r="A146" s="126" t="s">
        <v>136</v>
      </c>
      <c r="B146" s="68" t="s">
        <v>32</v>
      </c>
      <c r="C146" s="114" t="s">
        <v>116</v>
      </c>
      <c r="D146" s="157" t="s">
        <v>121</v>
      </c>
      <c r="E146" s="13" t="s">
        <v>52</v>
      </c>
      <c r="F146" s="116" t="s">
        <v>124</v>
      </c>
      <c r="G146" s="13" t="s">
        <v>52</v>
      </c>
      <c r="H146" s="75" t="s">
        <v>52</v>
      </c>
      <c r="I146" s="14"/>
      <c r="J146" s="75" t="s">
        <v>52</v>
      </c>
      <c r="K146" s="75" t="s">
        <v>53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89"/>
    </row>
    <row r="147" spans="1:22" s="8" customFormat="1" x14ac:dyDescent="0.35">
      <c r="A147" s="126" t="s">
        <v>136</v>
      </c>
      <c r="B147" s="72" t="s">
        <v>33</v>
      </c>
      <c r="C147" s="114" t="s">
        <v>116</v>
      </c>
      <c r="D147" s="157" t="s">
        <v>121</v>
      </c>
      <c r="E147" s="13" t="s">
        <v>52</v>
      </c>
      <c r="F147" s="116" t="s">
        <v>124</v>
      </c>
      <c r="G147" s="13" t="s">
        <v>52</v>
      </c>
      <c r="H147" s="73" t="s">
        <v>52</v>
      </c>
      <c r="I147" s="89"/>
      <c r="J147" s="73" t="s">
        <v>52</v>
      </c>
      <c r="K147" s="75" t="s">
        <v>53</v>
      </c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</row>
    <row r="148" spans="1:22" s="8" customFormat="1" x14ac:dyDescent="0.35">
      <c r="A148" s="126" t="s">
        <v>136</v>
      </c>
      <c r="B148" s="72" t="s">
        <v>28</v>
      </c>
      <c r="C148" s="13" t="s">
        <v>52</v>
      </c>
      <c r="D148" s="73" t="s">
        <v>52</v>
      </c>
      <c r="E148" s="129" t="s">
        <v>133</v>
      </c>
      <c r="F148" s="13" t="s">
        <v>52</v>
      </c>
      <c r="G148" s="13" t="s">
        <v>52</v>
      </c>
      <c r="H148" s="73" t="s">
        <v>52</v>
      </c>
      <c r="I148" s="89"/>
      <c r="J148" s="73" t="s">
        <v>52</v>
      </c>
      <c r="K148" s="75" t="s">
        <v>53</v>
      </c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</row>
    <row r="149" spans="1:22" s="8" customFormat="1" x14ac:dyDescent="0.35">
      <c r="A149" s="126" t="s">
        <v>136</v>
      </c>
      <c r="B149" s="68" t="s">
        <v>25</v>
      </c>
      <c r="C149" s="13" t="s">
        <v>52</v>
      </c>
      <c r="D149" s="75" t="s">
        <v>52</v>
      </c>
      <c r="E149" s="129" t="str">
        <f>E148</f>
        <v>WACC_0923</v>
      </c>
      <c r="F149" s="13" t="s">
        <v>52</v>
      </c>
      <c r="G149" s="13" t="s">
        <v>52</v>
      </c>
      <c r="H149" s="14"/>
      <c r="I149" s="75" t="s">
        <v>52</v>
      </c>
      <c r="J149" s="75" t="s">
        <v>52</v>
      </c>
      <c r="K149" s="75" t="s">
        <v>53</v>
      </c>
      <c r="L149" s="75" t="s">
        <v>52</v>
      </c>
      <c r="M149" s="75" t="s">
        <v>52</v>
      </c>
      <c r="N149" s="75" t="s">
        <v>52</v>
      </c>
      <c r="O149" s="75" t="s">
        <v>52</v>
      </c>
      <c r="P149" s="75" t="s">
        <v>52</v>
      </c>
      <c r="Q149" s="75" t="s">
        <v>52</v>
      </c>
      <c r="R149" s="75" t="s">
        <v>52</v>
      </c>
      <c r="S149" s="75" t="s">
        <v>52</v>
      </c>
      <c r="T149" s="75" t="s">
        <v>52</v>
      </c>
      <c r="U149" s="75" t="s">
        <v>52</v>
      </c>
      <c r="V149" s="89"/>
    </row>
    <row r="150" spans="1:22" s="8" customFormat="1" x14ac:dyDescent="0.35">
      <c r="A150" s="126" t="s">
        <v>136</v>
      </c>
      <c r="B150" s="72" t="s">
        <v>26</v>
      </c>
      <c r="C150" s="13" t="s">
        <v>52</v>
      </c>
      <c r="D150" s="73" t="s">
        <v>52</v>
      </c>
      <c r="E150" s="129" t="str">
        <f t="shared" ref="E150:E164" si="0">E149</f>
        <v>WACC_0923</v>
      </c>
      <c r="F150" s="13" t="s">
        <v>52</v>
      </c>
      <c r="G150" s="13" t="s">
        <v>52</v>
      </c>
      <c r="H150" s="89"/>
      <c r="I150" s="73" t="s">
        <v>52</v>
      </c>
      <c r="J150" s="73" t="s">
        <v>52</v>
      </c>
      <c r="K150" s="75" t="s">
        <v>53</v>
      </c>
      <c r="L150" s="73" t="s">
        <v>52</v>
      </c>
      <c r="M150" s="73" t="s">
        <v>52</v>
      </c>
      <c r="N150" s="73" t="s">
        <v>52</v>
      </c>
      <c r="O150" s="73" t="s">
        <v>52</v>
      </c>
      <c r="P150" s="73" t="s">
        <v>52</v>
      </c>
      <c r="Q150" s="73" t="s">
        <v>52</v>
      </c>
      <c r="R150" s="73" t="s">
        <v>52</v>
      </c>
      <c r="S150" s="73" t="s">
        <v>52</v>
      </c>
      <c r="T150" s="73" t="s">
        <v>52</v>
      </c>
      <c r="U150" s="73" t="s">
        <v>52</v>
      </c>
      <c r="V150" s="89"/>
    </row>
    <row r="151" spans="1:22" s="8" customFormat="1" x14ac:dyDescent="0.35">
      <c r="A151" s="126" t="s">
        <v>136</v>
      </c>
      <c r="B151" s="68" t="s">
        <v>23</v>
      </c>
      <c r="C151" s="13" t="s">
        <v>52</v>
      </c>
      <c r="D151" s="75" t="s">
        <v>52</v>
      </c>
      <c r="E151" s="129" t="str">
        <f t="shared" si="0"/>
        <v>WACC_0923</v>
      </c>
      <c r="F151" s="13" t="s">
        <v>52</v>
      </c>
      <c r="G151" s="13" t="s">
        <v>52</v>
      </c>
      <c r="H151" s="14"/>
      <c r="I151" s="75" t="s">
        <v>52</v>
      </c>
      <c r="J151" s="75" t="s">
        <v>52</v>
      </c>
      <c r="K151" s="75" t="s">
        <v>53</v>
      </c>
      <c r="L151" s="14"/>
      <c r="M151" s="14"/>
      <c r="N151" s="75" t="s">
        <v>52</v>
      </c>
      <c r="O151" s="14"/>
      <c r="P151" s="14"/>
      <c r="Q151" s="75" t="s">
        <v>52</v>
      </c>
      <c r="R151" s="14"/>
      <c r="S151" s="14"/>
      <c r="T151" s="14"/>
      <c r="U151" s="14"/>
      <c r="V151" s="89"/>
    </row>
    <row r="152" spans="1:22" s="8" customFormat="1" x14ac:dyDescent="0.35">
      <c r="A152" s="126" t="s">
        <v>136</v>
      </c>
      <c r="B152" s="68" t="s">
        <v>17</v>
      </c>
      <c r="C152" s="13" t="s">
        <v>52</v>
      </c>
      <c r="D152" s="75" t="s">
        <v>52</v>
      </c>
      <c r="E152" s="129" t="str">
        <f t="shared" si="0"/>
        <v>WACC_0923</v>
      </c>
      <c r="F152" s="13" t="s">
        <v>52</v>
      </c>
      <c r="G152" s="13" t="s">
        <v>52</v>
      </c>
      <c r="H152" s="14"/>
      <c r="I152" s="75" t="s">
        <v>52</v>
      </c>
      <c r="J152" s="75" t="s">
        <v>52</v>
      </c>
      <c r="K152" s="75" t="s">
        <v>53</v>
      </c>
      <c r="L152" s="14"/>
      <c r="M152" s="14"/>
      <c r="N152" s="75" t="s">
        <v>52</v>
      </c>
      <c r="O152" s="14"/>
      <c r="P152" s="14"/>
      <c r="Q152" s="75" t="s">
        <v>52</v>
      </c>
      <c r="R152" s="14"/>
      <c r="S152" s="14"/>
      <c r="T152" s="14"/>
      <c r="U152" s="14"/>
      <c r="V152" s="89"/>
    </row>
    <row r="153" spans="1:22" s="8" customFormat="1" x14ac:dyDescent="0.35">
      <c r="A153" s="126" t="s">
        <v>136</v>
      </c>
      <c r="B153" s="72" t="s">
        <v>18</v>
      </c>
      <c r="C153" s="13" t="s">
        <v>52</v>
      </c>
      <c r="D153" s="73" t="s">
        <v>52</v>
      </c>
      <c r="E153" s="129" t="str">
        <f t="shared" si="0"/>
        <v>WACC_0923</v>
      </c>
      <c r="F153" s="13" t="s">
        <v>52</v>
      </c>
      <c r="G153" s="13" t="s">
        <v>52</v>
      </c>
      <c r="H153" s="89"/>
      <c r="I153" s="73" t="s">
        <v>52</v>
      </c>
      <c r="J153" s="73" t="s">
        <v>52</v>
      </c>
      <c r="K153" s="75" t="s">
        <v>53</v>
      </c>
      <c r="L153" s="89"/>
      <c r="M153" s="89"/>
      <c r="N153" s="73" t="s">
        <v>52</v>
      </c>
      <c r="O153" s="89"/>
      <c r="P153" s="89"/>
      <c r="Q153" s="73" t="s">
        <v>52</v>
      </c>
      <c r="R153" s="89"/>
      <c r="S153" s="89"/>
      <c r="T153" s="89"/>
      <c r="U153" s="89"/>
      <c r="V153" s="89"/>
    </row>
    <row r="154" spans="1:22" s="8" customFormat="1" x14ac:dyDescent="0.35">
      <c r="A154" s="126" t="s">
        <v>136</v>
      </c>
      <c r="B154" s="68" t="s">
        <v>19</v>
      </c>
      <c r="C154" s="13" t="s">
        <v>52</v>
      </c>
      <c r="D154" s="75" t="s">
        <v>52</v>
      </c>
      <c r="E154" s="129" t="str">
        <f t="shared" si="0"/>
        <v>WACC_0923</v>
      </c>
      <c r="F154" s="13" t="s">
        <v>52</v>
      </c>
      <c r="G154" s="13" t="s">
        <v>52</v>
      </c>
      <c r="H154" s="14"/>
      <c r="I154" s="75" t="s">
        <v>52</v>
      </c>
      <c r="J154" s="75" t="s">
        <v>52</v>
      </c>
      <c r="K154" s="75" t="s">
        <v>53</v>
      </c>
      <c r="L154" s="14"/>
      <c r="M154" s="14"/>
      <c r="N154" s="75" t="s">
        <v>52</v>
      </c>
      <c r="O154" s="14"/>
      <c r="P154" s="14"/>
      <c r="Q154" s="75" t="s">
        <v>52</v>
      </c>
      <c r="R154" s="14"/>
      <c r="S154" s="14"/>
      <c r="T154" s="14"/>
      <c r="U154" s="14"/>
      <c r="V154" s="89"/>
    </row>
    <row r="155" spans="1:22" s="8" customFormat="1" x14ac:dyDescent="0.35">
      <c r="A155" s="126" t="s">
        <v>136</v>
      </c>
      <c r="B155" s="72" t="s">
        <v>20</v>
      </c>
      <c r="C155" s="13" t="s">
        <v>52</v>
      </c>
      <c r="D155" s="73" t="s">
        <v>52</v>
      </c>
      <c r="E155" s="129" t="str">
        <f t="shared" si="0"/>
        <v>WACC_0923</v>
      </c>
      <c r="F155" s="13" t="s">
        <v>52</v>
      </c>
      <c r="G155" s="13" t="s">
        <v>52</v>
      </c>
      <c r="H155" s="89"/>
      <c r="I155" s="73" t="s">
        <v>52</v>
      </c>
      <c r="J155" s="73" t="s">
        <v>52</v>
      </c>
      <c r="K155" s="75" t="s">
        <v>53</v>
      </c>
      <c r="L155" s="89"/>
      <c r="M155" s="89"/>
      <c r="N155" s="73" t="s">
        <v>52</v>
      </c>
      <c r="O155" s="89"/>
      <c r="P155" s="89"/>
      <c r="Q155" s="73" t="s">
        <v>52</v>
      </c>
      <c r="R155" s="89"/>
      <c r="S155" s="89"/>
      <c r="T155" s="89"/>
      <c r="U155" s="89"/>
      <c r="V155" s="89"/>
    </row>
    <row r="156" spans="1:22" s="8" customFormat="1" x14ac:dyDescent="0.35">
      <c r="A156" s="126" t="s">
        <v>136</v>
      </c>
      <c r="B156" s="68" t="s">
        <v>21</v>
      </c>
      <c r="C156" s="13" t="s">
        <v>52</v>
      </c>
      <c r="D156" s="75" t="s">
        <v>52</v>
      </c>
      <c r="E156" s="129" t="str">
        <f t="shared" si="0"/>
        <v>WACC_0923</v>
      </c>
      <c r="F156" s="13" t="s">
        <v>52</v>
      </c>
      <c r="G156" s="13" t="s">
        <v>52</v>
      </c>
      <c r="H156" s="14"/>
      <c r="I156" s="75" t="s">
        <v>52</v>
      </c>
      <c r="J156" s="75" t="s">
        <v>52</v>
      </c>
      <c r="K156" s="75" t="s">
        <v>53</v>
      </c>
      <c r="L156" s="14"/>
      <c r="M156" s="14"/>
      <c r="N156" s="75" t="s">
        <v>52</v>
      </c>
      <c r="O156" s="14"/>
      <c r="P156" s="14"/>
      <c r="Q156" s="75" t="s">
        <v>52</v>
      </c>
      <c r="R156" s="14"/>
      <c r="S156" s="14"/>
      <c r="T156" s="14"/>
      <c r="U156" s="14"/>
      <c r="V156" s="89"/>
    </row>
    <row r="157" spans="1:22" s="8" customFormat="1" x14ac:dyDescent="0.35">
      <c r="A157" s="126" t="s">
        <v>136</v>
      </c>
      <c r="B157" s="72" t="s">
        <v>22</v>
      </c>
      <c r="C157" s="13" t="s">
        <v>52</v>
      </c>
      <c r="D157" s="73" t="s">
        <v>52</v>
      </c>
      <c r="E157" s="129" t="str">
        <f t="shared" si="0"/>
        <v>WACC_0923</v>
      </c>
      <c r="F157" s="13" t="s">
        <v>52</v>
      </c>
      <c r="G157" s="13" t="s">
        <v>52</v>
      </c>
      <c r="H157" s="89"/>
      <c r="I157" s="73" t="s">
        <v>52</v>
      </c>
      <c r="J157" s="73" t="s">
        <v>52</v>
      </c>
      <c r="K157" s="75" t="s">
        <v>53</v>
      </c>
      <c r="L157" s="89"/>
      <c r="M157" s="89"/>
      <c r="N157" s="73" t="s">
        <v>52</v>
      </c>
      <c r="O157" s="89"/>
      <c r="P157" s="89"/>
      <c r="Q157" s="73" t="s">
        <v>52</v>
      </c>
      <c r="R157" s="89"/>
      <c r="S157" s="89"/>
      <c r="T157" s="89"/>
      <c r="U157" s="89"/>
      <c r="V157" s="89"/>
    </row>
    <row r="158" spans="1:22" s="8" customFormat="1" x14ac:dyDescent="0.35">
      <c r="A158" s="126" t="s">
        <v>136</v>
      </c>
      <c r="B158" s="68" t="s">
        <v>15</v>
      </c>
      <c r="C158" s="13" t="s">
        <v>52</v>
      </c>
      <c r="D158" s="75" t="s">
        <v>52</v>
      </c>
      <c r="E158" s="129" t="str">
        <f t="shared" si="0"/>
        <v>WACC_0923</v>
      </c>
      <c r="F158" s="13" t="s">
        <v>52</v>
      </c>
      <c r="G158" s="13" t="s">
        <v>52</v>
      </c>
      <c r="H158" s="14"/>
      <c r="I158" s="73" t="s">
        <v>52</v>
      </c>
      <c r="J158" s="73" t="s">
        <v>52</v>
      </c>
      <c r="K158" s="75" t="s">
        <v>53</v>
      </c>
      <c r="L158" s="75" t="s">
        <v>52</v>
      </c>
      <c r="M158" s="75" t="s">
        <v>52</v>
      </c>
      <c r="N158" s="75" t="s">
        <v>52</v>
      </c>
      <c r="O158" s="75" t="s">
        <v>52</v>
      </c>
      <c r="P158" s="75" t="s">
        <v>52</v>
      </c>
      <c r="Q158" s="75" t="s">
        <v>52</v>
      </c>
      <c r="R158" s="75" t="s">
        <v>52</v>
      </c>
      <c r="S158" s="75" t="s">
        <v>52</v>
      </c>
      <c r="T158" s="75" t="s">
        <v>52</v>
      </c>
      <c r="U158" s="75" t="s">
        <v>52</v>
      </c>
      <c r="V158" s="89"/>
    </row>
    <row r="159" spans="1:22" s="8" customFormat="1" x14ac:dyDescent="0.35">
      <c r="A159" s="126" t="s">
        <v>136</v>
      </c>
      <c r="B159" s="68" t="s">
        <v>10</v>
      </c>
      <c r="C159" s="13" t="s">
        <v>52</v>
      </c>
      <c r="D159" s="130" t="s">
        <v>121</v>
      </c>
      <c r="E159" s="129" t="str">
        <f t="shared" si="0"/>
        <v>WACC_0923</v>
      </c>
      <c r="F159" s="13" t="s">
        <v>52</v>
      </c>
      <c r="G159" s="13" t="s">
        <v>52</v>
      </c>
      <c r="H159" s="14"/>
      <c r="I159" s="14"/>
      <c r="J159" s="14"/>
      <c r="K159" s="75" t="s">
        <v>53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89"/>
    </row>
    <row r="160" spans="1:22" s="8" customFormat="1" x14ac:dyDescent="0.35">
      <c r="A160" s="126" t="s">
        <v>136</v>
      </c>
      <c r="B160" s="72" t="s">
        <v>11</v>
      </c>
      <c r="C160" s="13" t="s">
        <v>52</v>
      </c>
      <c r="D160" s="130" t="s">
        <v>121</v>
      </c>
      <c r="E160" s="129" t="str">
        <f t="shared" si="0"/>
        <v>WACC_0923</v>
      </c>
      <c r="F160" s="13" t="s">
        <v>52</v>
      </c>
      <c r="G160" s="13" t="s">
        <v>52</v>
      </c>
      <c r="H160" s="89"/>
      <c r="I160" s="89"/>
      <c r="J160" s="89"/>
      <c r="K160" s="75" t="s">
        <v>53</v>
      </c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</row>
    <row r="161" spans="1:22" s="8" customFormat="1" x14ac:dyDescent="0.35">
      <c r="A161" s="126" t="s">
        <v>136</v>
      </c>
      <c r="B161" s="68" t="s">
        <v>8</v>
      </c>
      <c r="C161" s="13" t="s">
        <v>52</v>
      </c>
      <c r="D161" s="130" t="s">
        <v>121</v>
      </c>
      <c r="E161" s="129" t="str">
        <f t="shared" si="0"/>
        <v>WACC_0923</v>
      </c>
      <c r="F161" s="13" t="s">
        <v>52</v>
      </c>
      <c r="G161" s="13" t="s">
        <v>52</v>
      </c>
      <c r="H161" s="14"/>
      <c r="I161" s="14"/>
      <c r="J161" s="14"/>
      <c r="K161" s="75" t="s">
        <v>53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89"/>
    </row>
    <row r="162" spans="1:22" s="8" customFormat="1" x14ac:dyDescent="0.35">
      <c r="A162" s="126" t="s">
        <v>136</v>
      </c>
      <c r="B162" s="72" t="s">
        <v>12</v>
      </c>
      <c r="C162" s="13" t="s">
        <v>52</v>
      </c>
      <c r="D162" s="15" t="s">
        <v>52</v>
      </c>
      <c r="E162" s="129" t="str">
        <f t="shared" si="0"/>
        <v>WACC_0923</v>
      </c>
      <c r="F162" s="13" t="s">
        <v>52</v>
      </c>
      <c r="G162" s="13" t="s">
        <v>52</v>
      </c>
      <c r="H162" s="89"/>
      <c r="I162" s="89"/>
      <c r="J162" s="89"/>
      <c r="K162" s="75" t="s">
        <v>53</v>
      </c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</row>
    <row r="163" spans="1:22" s="8" customFormat="1" x14ac:dyDescent="0.35">
      <c r="A163" s="126" t="s">
        <v>136</v>
      </c>
      <c r="B163" s="68" t="s">
        <v>13</v>
      </c>
      <c r="C163" s="13" t="s">
        <v>52</v>
      </c>
      <c r="D163" s="130" t="s">
        <v>121</v>
      </c>
      <c r="E163" s="129" t="str">
        <f t="shared" si="0"/>
        <v>WACC_0923</v>
      </c>
      <c r="F163" s="13" t="s">
        <v>52</v>
      </c>
      <c r="G163" s="13" t="s">
        <v>52</v>
      </c>
      <c r="H163" s="14"/>
      <c r="I163" s="14"/>
      <c r="J163" s="14"/>
      <c r="K163" s="75" t="s">
        <v>53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89"/>
    </row>
    <row r="164" spans="1:22" s="8" customFormat="1" x14ac:dyDescent="0.35">
      <c r="A164" s="126" t="s">
        <v>136</v>
      </c>
      <c r="B164" s="93" t="s">
        <v>14</v>
      </c>
      <c r="C164" s="110" t="s">
        <v>52</v>
      </c>
      <c r="D164" s="130" t="s">
        <v>121</v>
      </c>
      <c r="E164" s="129" t="str">
        <f t="shared" si="0"/>
        <v>WACC_0923</v>
      </c>
      <c r="F164" s="110" t="s">
        <v>52</v>
      </c>
      <c r="G164" s="110" t="s">
        <v>52</v>
      </c>
      <c r="H164" s="90"/>
      <c r="I164" s="90"/>
      <c r="J164" s="90"/>
      <c r="K164" s="111" t="s">
        <v>53</v>
      </c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89"/>
    </row>
  </sheetData>
  <autoFilter ref="A1:V1" xr:uid="{00000000-0009-0000-0000-000001000000}"/>
  <phoneticPr fontId="12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518"/>
  <sheetViews>
    <sheetView zoomScaleNormal="100" workbookViewId="0">
      <pane ySplit="1" topLeftCell="A114" activePane="bottomLeft" state="frozen"/>
      <selection pane="bottomLeft" activeCell="C149" sqref="C149"/>
    </sheetView>
  </sheetViews>
  <sheetFormatPr defaultColWidth="8.6328125" defaultRowHeight="14.5" x14ac:dyDescent="0.35"/>
  <cols>
    <col min="1" max="1" width="24.6328125" customWidth="1"/>
    <col min="2" max="2" width="19.6328125" style="1" customWidth="1"/>
    <col min="3" max="3" width="29.453125" style="8" bestFit="1" customWidth="1"/>
    <col min="4" max="4" width="12.453125" style="8" customWidth="1"/>
    <col min="5" max="5" width="12" style="8" hidden="1" customWidth="1"/>
    <col min="6" max="41" width="12" style="8" customWidth="1"/>
  </cols>
  <sheetData>
    <row r="1" spans="1:42" x14ac:dyDescent="0.35">
      <c r="A1" s="2" t="s">
        <v>34</v>
      </c>
      <c r="B1" s="2" t="s">
        <v>1</v>
      </c>
      <c r="C1" s="3" t="s">
        <v>58</v>
      </c>
      <c r="D1" s="3" t="s">
        <v>59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  <c r="AF1" s="17">
        <f t="shared" ref="AF1:AO1" si="0">AE1+1</f>
        <v>2051</v>
      </c>
      <c r="AG1" s="17">
        <f t="shared" si="0"/>
        <v>2052</v>
      </c>
      <c r="AH1" s="17">
        <f t="shared" si="0"/>
        <v>2053</v>
      </c>
      <c r="AI1" s="17">
        <f t="shared" si="0"/>
        <v>2054</v>
      </c>
      <c r="AJ1" s="17">
        <f t="shared" si="0"/>
        <v>2055</v>
      </c>
      <c r="AK1" s="17">
        <f t="shared" si="0"/>
        <v>2056</v>
      </c>
      <c r="AL1" s="17">
        <f t="shared" si="0"/>
        <v>2057</v>
      </c>
      <c r="AM1" s="17">
        <f t="shared" si="0"/>
        <v>2058</v>
      </c>
      <c r="AN1" s="17">
        <f t="shared" si="0"/>
        <v>2059</v>
      </c>
      <c r="AO1" s="17">
        <f t="shared" si="0"/>
        <v>2060</v>
      </c>
      <c r="AP1" s="17" t="s">
        <v>128</v>
      </c>
    </row>
    <row r="2" spans="1:42" x14ac:dyDescent="0.35">
      <c r="A2" s="67" t="s">
        <v>52</v>
      </c>
      <c r="B2" s="68" t="s">
        <v>25</v>
      </c>
      <c r="C2" s="69" t="s">
        <v>60</v>
      </c>
      <c r="D2" s="69" t="s">
        <v>61</v>
      </c>
      <c r="E2" s="70">
        <v>0.34599999999999997</v>
      </c>
      <c r="F2" s="70">
        <f t="shared" ref="F2:AO2" si="1">E2</f>
        <v>0.34599999999999997</v>
      </c>
      <c r="G2" s="70">
        <f t="shared" si="1"/>
        <v>0.34599999999999997</v>
      </c>
      <c r="H2" s="70">
        <f t="shared" si="1"/>
        <v>0.34599999999999997</v>
      </c>
      <c r="I2" s="70">
        <f t="shared" si="1"/>
        <v>0.34599999999999997</v>
      </c>
      <c r="J2" s="70">
        <f t="shared" si="1"/>
        <v>0.34599999999999997</v>
      </c>
      <c r="K2" s="70">
        <f t="shared" si="1"/>
        <v>0.34599999999999997</v>
      </c>
      <c r="L2" s="70">
        <f t="shared" si="1"/>
        <v>0.34599999999999997</v>
      </c>
      <c r="M2" s="70">
        <f t="shared" si="1"/>
        <v>0.34599999999999997</v>
      </c>
      <c r="N2" s="70">
        <f t="shared" si="1"/>
        <v>0.34599999999999997</v>
      </c>
      <c r="O2" s="70">
        <f t="shared" si="1"/>
        <v>0.34599999999999997</v>
      </c>
      <c r="P2" s="70">
        <f t="shared" si="1"/>
        <v>0.34599999999999997</v>
      </c>
      <c r="Q2" s="70">
        <f t="shared" si="1"/>
        <v>0.34599999999999997</v>
      </c>
      <c r="R2" s="70">
        <f t="shared" si="1"/>
        <v>0.34599999999999997</v>
      </c>
      <c r="S2" s="70">
        <f t="shared" si="1"/>
        <v>0.34599999999999997</v>
      </c>
      <c r="T2" s="70">
        <f t="shared" si="1"/>
        <v>0.34599999999999997</v>
      </c>
      <c r="U2" s="70">
        <f t="shared" si="1"/>
        <v>0.34599999999999997</v>
      </c>
      <c r="V2" s="70">
        <f t="shared" si="1"/>
        <v>0.34599999999999997</v>
      </c>
      <c r="W2" s="70">
        <f t="shared" si="1"/>
        <v>0.34599999999999997</v>
      </c>
      <c r="X2" s="70">
        <f t="shared" si="1"/>
        <v>0.34599999999999997</v>
      </c>
      <c r="Y2" s="70">
        <f t="shared" si="1"/>
        <v>0.34599999999999997</v>
      </c>
      <c r="Z2" s="70">
        <f t="shared" si="1"/>
        <v>0.34599999999999997</v>
      </c>
      <c r="AA2" s="70">
        <f t="shared" si="1"/>
        <v>0.34599999999999997</v>
      </c>
      <c r="AB2" s="70">
        <f t="shared" si="1"/>
        <v>0.34599999999999997</v>
      </c>
      <c r="AC2" s="70">
        <f t="shared" si="1"/>
        <v>0.34599999999999997</v>
      </c>
      <c r="AD2" s="70">
        <f t="shared" si="1"/>
        <v>0.34599999999999997</v>
      </c>
      <c r="AE2" s="70">
        <f t="shared" si="1"/>
        <v>0.34599999999999997</v>
      </c>
      <c r="AF2" s="70">
        <f t="shared" si="1"/>
        <v>0.34599999999999997</v>
      </c>
      <c r="AG2" s="70">
        <f t="shared" si="1"/>
        <v>0.34599999999999997</v>
      </c>
      <c r="AH2" s="70">
        <f t="shared" si="1"/>
        <v>0.34599999999999997</v>
      </c>
      <c r="AI2" s="70">
        <f t="shared" si="1"/>
        <v>0.34599999999999997</v>
      </c>
      <c r="AJ2" s="70">
        <f t="shared" si="1"/>
        <v>0.34599999999999997</v>
      </c>
      <c r="AK2" s="70">
        <f t="shared" si="1"/>
        <v>0.34599999999999997</v>
      </c>
      <c r="AL2" s="70">
        <f t="shared" si="1"/>
        <v>0.34599999999999997</v>
      </c>
      <c r="AM2" s="70">
        <f t="shared" si="1"/>
        <v>0.34599999999999997</v>
      </c>
      <c r="AN2" s="70">
        <f t="shared" si="1"/>
        <v>0.34599999999999997</v>
      </c>
      <c r="AO2" s="70">
        <f t="shared" si="1"/>
        <v>0.34599999999999997</v>
      </c>
    </row>
    <row r="3" spans="1:42" x14ac:dyDescent="0.35">
      <c r="A3" s="67" t="s">
        <v>52</v>
      </c>
      <c r="B3" s="72" t="s">
        <v>62</v>
      </c>
      <c r="C3" s="73" t="s">
        <v>60</v>
      </c>
      <c r="D3" s="73" t="s">
        <v>61</v>
      </c>
      <c r="E3" s="73">
        <v>0.34599999999999997</v>
      </c>
      <c r="F3" s="74">
        <f t="shared" ref="F3:AE3" si="2">F2</f>
        <v>0.34599999999999997</v>
      </c>
      <c r="G3" s="74">
        <f t="shared" si="2"/>
        <v>0.34599999999999997</v>
      </c>
      <c r="H3" s="74">
        <f t="shared" si="2"/>
        <v>0.34599999999999997</v>
      </c>
      <c r="I3" s="74">
        <f t="shared" si="2"/>
        <v>0.34599999999999997</v>
      </c>
      <c r="J3" s="74">
        <f t="shared" si="2"/>
        <v>0.34599999999999997</v>
      </c>
      <c r="K3" s="74">
        <f t="shared" si="2"/>
        <v>0.34599999999999997</v>
      </c>
      <c r="L3" s="74">
        <f t="shared" si="2"/>
        <v>0.34599999999999997</v>
      </c>
      <c r="M3" s="74">
        <f t="shared" si="2"/>
        <v>0.34599999999999997</v>
      </c>
      <c r="N3" s="74">
        <f t="shared" si="2"/>
        <v>0.34599999999999997</v>
      </c>
      <c r="O3" s="74">
        <f t="shared" si="2"/>
        <v>0.34599999999999997</v>
      </c>
      <c r="P3" s="74">
        <f t="shared" si="2"/>
        <v>0.34599999999999997</v>
      </c>
      <c r="Q3" s="74">
        <f t="shared" si="2"/>
        <v>0.34599999999999997</v>
      </c>
      <c r="R3" s="74">
        <f t="shared" si="2"/>
        <v>0.34599999999999997</v>
      </c>
      <c r="S3" s="74">
        <f t="shared" si="2"/>
        <v>0.34599999999999997</v>
      </c>
      <c r="T3" s="74">
        <f t="shared" si="2"/>
        <v>0.34599999999999997</v>
      </c>
      <c r="U3" s="74">
        <f t="shared" si="2"/>
        <v>0.34599999999999997</v>
      </c>
      <c r="V3" s="74">
        <f t="shared" si="2"/>
        <v>0.34599999999999997</v>
      </c>
      <c r="W3" s="74">
        <f t="shared" si="2"/>
        <v>0.34599999999999997</v>
      </c>
      <c r="X3" s="74">
        <f t="shared" si="2"/>
        <v>0.34599999999999997</v>
      </c>
      <c r="Y3" s="74">
        <f t="shared" si="2"/>
        <v>0.34599999999999997</v>
      </c>
      <c r="Z3" s="74">
        <f t="shared" si="2"/>
        <v>0.34599999999999997</v>
      </c>
      <c r="AA3" s="74">
        <f t="shared" si="2"/>
        <v>0.34599999999999997</v>
      </c>
      <c r="AB3" s="74">
        <f t="shared" si="2"/>
        <v>0.34599999999999997</v>
      </c>
      <c r="AC3" s="74">
        <f t="shared" si="2"/>
        <v>0.34599999999999997</v>
      </c>
      <c r="AD3" s="74">
        <f t="shared" si="2"/>
        <v>0.34599999999999997</v>
      </c>
      <c r="AE3" s="74">
        <f t="shared" si="2"/>
        <v>0.34599999999999997</v>
      </c>
      <c r="AF3" s="70">
        <f t="shared" ref="AF3:AO3" si="3">AE3</f>
        <v>0.34599999999999997</v>
      </c>
      <c r="AG3" s="70">
        <f t="shared" si="3"/>
        <v>0.34599999999999997</v>
      </c>
      <c r="AH3" s="70">
        <f t="shared" si="3"/>
        <v>0.34599999999999997</v>
      </c>
      <c r="AI3" s="70">
        <f t="shared" si="3"/>
        <v>0.34599999999999997</v>
      </c>
      <c r="AJ3" s="70">
        <f t="shared" si="3"/>
        <v>0.34599999999999997</v>
      </c>
      <c r="AK3" s="70">
        <f t="shared" si="3"/>
        <v>0.34599999999999997</v>
      </c>
      <c r="AL3" s="70">
        <f t="shared" si="3"/>
        <v>0.34599999999999997</v>
      </c>
      <c r="AM3" s="70">
        <f t="shared" si="3"/>
        <v>0.34599999999999997</v>
      </c>
      <c r="AN3" s="70">
        <f t="shared" si="3"/>
        <v>0.34599999999999997</v>
      </c>
      <c r="AO3" s="70">
        <f t="shared" si="3"/>
        <v>0.34599999999999997</v>
      </c>
    </row>
    <row r="4" spans="1:42" x14ac:dyDescent="0.35">
      <c r="A4" s="67" t="s">
        <v>52</v>
      </c>
      <c r="B4" s="68" t="s">
        <v>23</v>
      </c>
      <c r="C4" s="75" t="s">
        <v>60</v>
      </c>
      <c r="D4" s="75" t="s">
        <v>61</v>
      </c>
      <c r="E4" s="75">
        <v>0.26700000000000002</v>
      </c>
      <c r="F4" s="75">
        <v>0.26700000000000002</v>
      </c>
      <c r="G4" s="75">
        <v>0.26700000000000002</v>
      </c>
      <c r="H4" s="75">
        <v>0.26700000000000002</v>
      </c>
      <c r="I4" s="75">
        <v>0.26700000000000002</v>
      </c>
      <c r="J4" s="75">
        <v>0.26700000000000002</v>
      </c>
      <c r="K4" s="75">
        <v>0.26700000000000002</v>
      </c>
      <c r="L4" s="75">
        <v>0.26700000000000002</v>
      </c>
      <c r="M4" s="75">
        <v>0.26700000000000002</v>
      </c>
      <c r="N4" s="75">
        <v>0.26700000000000002</v>
      </c>
      <c r="O4" s="75">
        <v>0.26700000000000002</v>
      </c>
      <c r="P4" s="75">
        <v>0.26700000000000002</v>
      </c>
      <c r="Q4" s="75">
        <v>0.26700000000000002</v>
      </c>
      <c r="R4" s="75">
        <v>0.26700000000000002</v>
      </c>
      <c r="S4" s="75">
        <v>0.26700000000000002</v>
      </c>
      <c r="T4" s="75">
        <v>0.26700000000000002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>
        <v>0</v>
      </c>
      <c r="AA4" s="75">
        <v>0</v>
      </c>
      <c r="AB4" s="75">
        <v>0</v>
      </c>
      <c r="AC4" s="75">
        <v>0</v>
      </c>
      <c r="AD4" s="75">
        <v>0</v>
      </c>
      <c r="AE4" s="75">
        <v>0</v>
      </c>
      <c r="AF4" s="70">
        <f t="shared" ref="AF4:AO4" si="4">AE4</f>
        <v>0</v>
      </c>
      <c r="AG4" s="70">
        <f t="shared" si="4"/>
        <v>0</v>
      </c>
      <c r="AH4" s="70">
        <f t="shared" si="4"/>
        <v>0</v>
      </c>
      <c r="AI4" s="70">
        <f t="shared" si="4"/>
        <v>0</v>
      </c>
      <c r="AJ4" s="70">
        <f t="shared" si="4"/>
        <v>0</v>
      </c>
      <c r="AK4" s="70">
        <f t="shared" si="4"/>
        <v>0</v>
      </c>
      <c r="AL4" s="70">
        <f t="shared" si="4"/>
        <v>0</v>
      </c>
      <c r="AM4" s="70">
        <f t="shared" si="4"/>
        <v>0</v>
      </c>
      <c r="AN4" s="70">
        <f t="shared" si="4"/>
        <v>0</v>
      </c>
      <c r="AO4" s="70">
        <f t="shared" si="4"/>
        <v>0</v>
      </c>
    </row>
    <row r="5" spans="1:42" x14ac:dyDescent="0.35">
      <c r="A5" s="67" t="s">
        <v>52</v>
      </c>
      <c r="B5" s="72" t="s">
        <v>24</v>
      </c>
      <c r="C5" s="73" t="s">
        <v>60</v>
      </c>
      <c r="D5" s="73" t="s">
        <v>61</v>
      </c>
      <c r="E5" s="73">
        <v>0.26700000000000002</v>
      </c>
      <c r="F5" s="73">
        <v>0.26700000000000002</v>
      </c>
      <c r="G5" s="73">
        <v>0.26700000000000002</v>
      </c>
      <c r="H5" s="73">
        <v>0.26700000000000002</v>
      </c>
      <c r="I5" s="73">
        <v>0.26700000000000002</v>
      </c>
      <c r="J5" s="73">
        <v>0.26700000000000002</v>
      </c>
      <c r="K5" s="73">
        <v>0.26700000000000002</v>
      </c>
      <c r="L5" s="73">
        <v>0.26700000000000002</v>
      </c>
      <c r="M5" s="73">
        <v>0.26700000000000002</v>
      </c>
      <c r="N5" s="73">
        <v>0.26700000000000002</v>
      </c>
      <c r="O5" s="73">
        <v>0.26700000000000002</v>
      </c>
      <c r="P5" s="73">
        <v>0.26700000000000002</v>
      </c>
      <c r="Q5" s="73">
        <v>0.26700000000000002</v>
      </c>
      <c r="R5" s="73">
        <v>0.26700000000000002</v>
      </c>
      <c r="S5" s="73">
        <v>0.26700000000000002</v>
      </c>
      <c r="T5" s="73">
        <v>0.26700000000000002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Z5" s="73">
        <v>0</v>
      </c>
      <c r="AA5" s="73">
        <v>0</v>
      </c>
      <c r="AB5" s="73">
        <v>0</v>
      </c>
      <c r="AC5" s="73">
        <v>0</v>
      </c>
      <c r="AD5" s="73">
        <v>0</v>
      </c>
      <c r="AE5" s="73">
        <v>0</v>
      </c>
      <c r="AF5" s="70">
        <f t="shared" ref="AF5:AO5" si="5">AE5</f>
        <v>0</v>
      </c>
      <c r="AG5" s="70">
        <f t="shared" si="5"/>
        <v>0</v>
      </c>
      <c r="AH5" s="70">
        <f t="shared" si="5"/>
        <v>0</v>
      </c>
      <c r="AI5" s="70">
        <f t="shared" si="5"/>
        <v>0</v>
      </c>
      <c r="AJ5" s="70">
        <f t="shared" si="5"/>
        <v>0</v>
      </c>
      <c r="AK5" s="70">
        <f t="shared" si="5"/>
        <v>0</v>
      </c>
      <c r="AL5" s="70">
        <f t="shared" si="5"/>
        <v>0</v>
      </c>
      <c r="AM5" s="70">
        <f t="shared" si="5"/>
        <v>0</v>
      </c>
      <c r="AN5" s="70">
        <f t="shared" si="5"/>
        <v>0</v>
      </c>
      <c r="AO5" s="70">
        <f t="shared" si="5"/>
        <v>0</v>
      </c>
    </row>
    <row r="6" spans="1:42" x14ac:dyDescent="0.35">
      <c r="A6" s="67" t="s">
        <v>52</v>
      </c>
      <c r="B6" s="68" t="s">
        <v>63</v>
      </c>
      <c r="C6" s="75" t="s">
        <v>60</v>
      </c>
      <c r="D6" s="75" t="s">
        <v>61</v>
      </c>
      <c r="E6" s="75">
        <v>0.26700000000000002</v>
      </c>
      <c r="F6" s="75">
        <v>0.26700000000000002</v>
      </c>
      <c r="G6" s="75">
        <v>0.26700000000000002</v>
      </c>
      <c r="H6" s="75">
        <v>0.26700000000000002</v>
      </c>
      <c r="I6" s="75">
        <v>0.26700000000000002</v>
      </c>
      <c r="J6" s="75">
        <v>0.26700000000000002</v>
      </c>
      <c r="K6" s="75">
        <v>0.26700000000000002</v>
      </c>
      <c r="L6" s="75">
        <v>0.26700000000000002</v>
      </c>
      <c r="M6" s="75">
        <v>0.26700000000000002</v>
      </c>
      <c r="N6" s="75">
        <v>0.26700000000000002</v>
      </c>
      <c r="O6" s="75">
        <v>0.26700000000000002</v>
      </c>
      <c r="P6" s="75">
        <v>0.26700000000000002</v>
      </c>
      <c r="Q6" s="75">
        <v>0.26700000000000002</v>
      </c>
      <c r="R6" s="75">
        <v>0.26700000000000002</v>
      </c>
      <c r="S6" s="75">
        <v>0.26700000000000002</v>
      </c>
      <c r="T6" s="75">
        <v>0.26700000000000002</v>
      </c>
      <c r="U6" s="75">
        <f t="shared" ref="U6:AE6" si="6">T6</f>
        <v>0.26700000000000002</v>
      </c>
      <c r="V6" s="75">
        <f t="shared" si="6"/>
        <v>0.26700000000000002</v>
      </c>
      <c r="W6" s="75">
        <f t="shared" si="6"/>
        <v>0.26700000000000002</v>
      </c>
      <c r="X6" s="75">
        <f t="shared" si="6"/>
        <v>0.26700000000000002</v>
      </c>
      <c r="Y6" s="75">
        <f t="shared" si="6"/>
        <v>0.26700000000000002</v>
      </c>
      <c r="Z6" s="75">
        <f t="shared" si="6"/>
        <v>0.26700000000000002</v>
      </c>
      <c r="AA6" s="75">
        <f t="shared" si="6"/>
        <v>0.26700000000000002</v>
      </c>
      <c r="AB6" s="75">
        <f t="shared" si="6"/>
        <v>0.26700000000000002</v>
      </c>
      <c r="AC6" s="75">
        <f t="shared" si="6"/>
        <v>0.26700000000000002</v>
      </c>
      <c r="AD6" s="75">
        <f t="shared" si="6"/>
        <v>0.26700000000000002</v>
      </c>
      <c r="AE6" s="75">
        <f t="shared" si="6"/>
        <v>0.26700000000000002</v>
      </c>
      <c r="AF6" s="70">
        <f t="shared" ref="AF6:AO6" si="7">AE6</f>
        <v>0.26700000000000002</v>
      </c>
      <c r="AG6" s="70">
        <f t="shared" si="7"/>
        <v>0.26700000000000002</v>
      </c>
      <c r="AH6" s="70">
        <f t="shared" si="7"/>
        <v>0.26700000000000002</v>
      </c>
      <c r="AI6" s="70">
        <f t="shared" si="7"/>
        <v>0.26700000000000002</v>
      </c>
      <c r="AJ6" s="70">
        <f t="shared" si="7"/>
        <v>0.26700000000000002</v>
      </c>
      <c r="AK6" s="70">
        <f t="shared" si="7"/>
        <v>0.26700000000000002</v>
      </c>
      <c r="AL6" s="70">
        <f t="shared" si="7"/>
        <v>0.26700000000000002</v>
      </c>
      <c r="AM6" s="70">
        <f t="shared" si="7"/>
        <v>0.26700000000000002</v>
      </c>
      <c r="AN6" s="70">
        <f t="shared" si="7"/>
        <v>0.26700000000000002</v>
      </c>
      <c r="AO6" s="70">
        <f t="shared" si="7"/>
        <v>0.26700000000000002</v>
      </c>
    </row>
    <row r="7" spans="1:42" x14ac:dyDescent="0.35">
      <c r="A7" s="67" t="s">
        <v>52</v>
      </c>
      <c r="B7" s="72" t="s">
        <v>17</v>
      </c>
      <c r="C7" s="73" t="s">
        <v>60</v>
      </c>
      <c r="D7" s="73" t="s">
        <v>61</v>
      </c>
      <c r="E7" s="73">
        <v>0.249</v>
      </c>
      <c r="F7" s="73">
        <v>0.249</v>
      </c>
      <c r="G7" s="73">
        <v>0.249</v>
      </c>
      <c r="H7" s="73">
        <v>0.249</v>
      </c>
      <c r="I7" s="73">
        <v>0.249</v>
      </c>
      <c r="J7" s="73">
        <v>0.249</v>
      </c>
      <c r="K7" s="73">
        <v>0.249</v>
      </c>
      <c r="L7" s="73">
        <v>0.249</v>
      </c>
      <c r="M7" s="73">
        <v>0.249</v>
      </c>
      <c r="N7" s="73">
        <v>0.249</v>
      </c>
      <c r="O7" s="73">
        <v>0.249</v>
      </c>
      <c r="P7" s="73">
        <v>0.249</v>
      </c>
      <c r="Q7" s="73">
        <v>0.249</v>
      </c>
      <c r="R7" s="73">
        <v>0.249</v>
      </c>
      <c r="S7" s="73">
        <v>0.249</v>
      </c>
      <c r="T7" s="73">
        <v>0.249</v>
      </c>
      <c r="U7" s="73">
        <v>0.249</v>
      </c>
      <c r="V7" s="73">
        <v>0.249</v>
      </c>
      <c r="W7" s="73">
        <v>0.249</v>
      </c>
      <c r="X7" s="73">
        <v>0.249</v>
      </c>
      <c r="Y7" s="73">
        <v>0.249</v>
      </c>
      <c r="Z7" s="73">
        <v>0.249</v>
      </c>
      <c r="AA7" s="73">
        <v>0.249</v>
      </c>
      <c r="AB7" s="73">
        <v>0.249</v>
      </c>
      <c r="AC7" s="73">
        <v>0.249</v>
      </c>
      <c r="AD7" s="73">
        <v>0.249</v>
      </c>
      <c r="AE7" s="73">
        <v>0.249</v>
      </c>
      <c r="AF7" s="70">
        <f t="shared" ref="AF7:AO7" si="8">AE7</f>
        <v>0.249</v>
      </c>
      <c r="AG7" s="70">
        <f t="shared" si="8"/>
        <v>0.249</v>
      </c>
      <c r="AH7" s="70">
        <f t="shared" si="8"/>
        <v>0.249</v>
      </c>
      <c r="AI7" s="70">
        <f t="shared" si="8"/>
        <v>0.249</v>
      </c>
      <c r="AJ7" s="70">
        <f t="shared" si="8"/>
        <v>0.249</v>
      </c>
      <c r="AK7" s="70">
        <f t="shared" si="8"/>
        <v>0.249</v>
      </c>
      <c r="AL7" s="70">
        <f t="shared" si="8"/>
        <v>0.249</v>
      </c>
      <c r="AM7" s="70">
        <f t="shared" si="8"/>
        <v>0.249</v>
      </c>
      <c r="AN7" s="70">
        <f t="shared" si="8"/>
        <v>0.249</v>
      </c>
      <c r="AO7" s="70">
        <f t="shared" si="8"/>
        <v>0.249</v>
      </c>
    </row>
    <row r="8" spans="1:42" x14ac:dyDescent="0.35">
      <c r="A8" s="67" t="s">
        <v>52</v>
      </c>
      <c r="B8" s="68" t="s">
        <v>18</v>
      </c>
      <c r="C8" s="75" t="s">
        <v>60</v>
      </c>
      <c r="D8" s="75" t="s">
        <v>61</v>
      </c>
      <c r="E8" s="75">
        <v>0.249</v>
      </c>
      <c r="F8" s="75">
        <v>0.249</v>
      </c>
      <c r="G8" s="75">
        <v>0.249</v>
      </c>
      <c r="H8" s="75">
        <v>0.249</v>
      </c>
      <c r="I8" s="75">
        <v>0.249</v>
      </c>
      <c r="J8" s="75">
        <v>0.249</v>
      </c>
      <c r="K8" s="75">
        <v>0.249</v>
      </c>
      <c r="L8" s="75">
        <v>0.249</v>
      </c>
      <c r="M8" s="75">
        <v>0.249</v>
      </c>
      <c r="N8" s="75">
        <v>0.249</v>
      </c>
      <c r="O8" s="75">
        <v>0.249</v>
      </c>
      <c r="P8" s="75">
        <v>0.249</v>
      </c>
      <c r="Q8" s="75">
        <v>0.249</v>
      </c>
      <c r="R8" s="75">
        <v>0.249</v>
      </c>
      <c r="S8" s="75">
        <v>0.249</v>
      </c>
      <c r="T8" s="75">
        <v>0.249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0">
        <f t="shared" ref="AF8:AO8" si="9">AE8</f>
        <v>0</v>
      </c>
      <c r="AG8" s="70">
        <f t="shared" si="9"/>
        <v>0</v>
      </c>
      <c r="AH8" s="70">
        <f t="shared" si="9"/>
        <v>0</v>
      </c>
      <c r="AI8" s="70">
        <f t="shared" si="9"/>
        <v>0</v>
      </c>
      <c r="AJ8" s="70">
        <f t="shared" si="9"/>
        <v>0</v>
      </c>
      <c r="AK8" s="70">
        <f t="shared" si="9"/>
        <v>0</v>
      </c>
      <c r="AL8" s="70">
        <f t="shared" si="9"/>
        <v>0</v>
      </c>
      <c r="AM8" s="70">
        <f t="shared" si="9"/>
        <v>0</v>
      </c>
      <c r="AN8" s="70">
        <f t="shared" si="9"/>
        <v>0</v>
      </c>
      <c r="AO8" s="70">
        <f t="shared" si="9"/>
        <v>0</v>
      </c>
    </row>
    <row r="9" spans="1:42" x14ac:dyDescent="0.35">
      <c r="A9" s="67" t="s">
        <v>52</v>
      </c>
      <c r="B9" s="72" t="s">
        <v>19</v>
      </c>
      <c r="C9" s="73" t="s">
        <v>60</v>
      </c>
      <c r="D9" s="73" t="s">
        <v>61</v>
      </c>
      <c r="E9" s="73">
        <v>0.249</v>
      </c>
      <c r="F9" s="73">
        <v>0.249</v>
      </c>
      <c r="G9" s="73">
        <v>0.249</v>
      </c>
      <c r="H9" s="73">
        <v>0.249</v>
      </c>
      <c r="I9" s="73">
        <v>0.249</v>
      </c>
      <c r="J9" s="73">
        <v>0.249</v>
      </c>
      <c r="K9" s="73">
        <v>0.249</v>
      </c>
      <c r="L9" s="73">
        <v>0.249</v>
      </c>
      <c r="M9" s="73">
        <v>0.249</v>
      </c>
      <c r="N9" s="73">
        <v>0.249</v>
      </c>
      <c r="O9" s="73">
        <v>0.249</v>
      </c>
      <c r="P9" s="73">
        <v>0.249</v>
      </c>
      <c r="Q9" s="73">
        <v>0.249</v>
      </c>
      <c r="R9" s="73">
        <v>0.249</v>
      </c>
      <c r="S9" s="73">
        <v>0.249</v>
      </c>
      <c r="T9" s="73">
        <v>0.249</v>
      </c>
      <c r="U9" s="73">
        <v>0.249</v>
      </c>
      <c r="V9" s="73">
        <v>0.249</v>
      </c>
      <c r="W9" s="73">
        <v>0.249</v>
      </c>
      <c r="X9" s="73">
        <v>0.249</v>
      </c>
      <c r="Y9" s="73">
        <v>0.249</v>
      </c>
      <c r="Z9" s="73">
        <v>0</v>
      </c>
      <c r="AA9" s="73">
        <v>0</v>
      </c>
      <c r="AB9" s="73">
        <v>0</v>
      </c>
      <c r="AC9" s="73">
        <v>0</v>
      </c>
      <c r="AD9" s="73">
        <v>0</v>
      </c>
      <c r="AE9" s="73">
        <v>0</v>
      </c>
      <c r="AF9" s="70">
        <f t="shared" ref="AF9:AO9" si="10">AE9</f>
        <v>0</v>
      </c>
      <c r="AG9" s="70">
        <f t="shared" si="10"/>
        <v>0</v>
      </c>
      <c r="AH9" s="70">
        <f t="shared" si="10"/>
        <v>0</v>
      </c>
      <c r="AI9" s="70">
        <f t="shared" si="10"/>
        <v>0</v>
      </c>
      <c r="AJ9" s="70">
        <f t="shared" si="10"/>
        <v>0</v>
      </c>
      <c r="AK9" s="70">
        <f t="shared" si="10"/>
        <v>0</v>
      </c>
      <c r="AL9" s="70">
        <f t="shared" si="10"/>
        <v>0</v>
      </c>
      <c r="AM9" s="70">
        <f t="shared" si="10"/>
        <v>0</v>
      </c>
      <c r="AN9" s="70">
        <f t="shared" si="10"/>
        <v>0</v>
      </c>
      <c r="AO9" s="70">
        <f t="shared" si="10"/>
        <v>0</v>
      </c>
    </row>
    <row r="10" spans="1:42" x14ac:dyDescent="0.35">
      <c r="A10" s="67" t="s">
        <v>52</v>
      </c>
      <c r="B10" s="68" t="s">
        <v>20</v>
      </c>
      <c r="C10" s="75" t="s">
        <v>60</v>
      </c>
      <c r="D10" s="75" t="s">
        <v>61</v>
      </c>
      <c r="E10" s="75">
        <v>0.249</v>
      </c>
      <c r="F10" s="75">
        <v>0.249</v>
      </c>
      <c r="G10" s="75">
        <v>0.249</v>
      </c>
      <c r="H10" s="75">
        <v>0.249</v>
      </c>
      <c r="I10" s="75">
        <v>0.249</v>
      </c>
      <c r="J10" s="75">
        <v>0.249</v>
      </c>
      <c r="K10" s="75">
        <v>0.249</v>
      </c>
      <c r="L10" s="75">
        <v>0.249</v>
      </c>
      <c r="M10" s="75">
        <v>0.249</v>
      </c>
      <c r="N10" s="75">
        <v>0.249</v>
      </c>
      <c r="O10" s="75">
        <v>0.249</v>
      </c>
      <c r="P10" s="75">
        <v>0.249</v>
      </c>
      <c r="Q10" s="75">
        <v>0.249</v>
      </c>
      <c r="R10" s="75">
        <v>0.249</v>
      </c>
      <c r="S10" s="75">
        <v>0.249</v>
      </c>
      <c r="T10" s="75">
        <v>0.249</v>
      </c>
      <c r="U10" s="75">
        <v>0.249</v>
      </c>
      <c r="V10" s="75">
        <v>0.249</v>
      </c>
      <c r="W10" s="75">
        <v>0.249</v>
      </c>
      <c r="X10" s="75">
        <v>0.249</v>
      </c>
      <c r="Y10" s="75">
        <v>0.249</v>
      </c>
      <c r="Z10" s="75">
        <v>0.249</v>
      </c>
      <c r="AA10" s="75">
        <v>0.249</v>
      </c>
      <c r="AB10" s="75">
        <v>0.249</v>
      </c>
      <c r="AC10" s="75">
        <v>0.249</v>
      </c>
      <c r="AD10" s="75">
        <v>0.249</v>
      </c>
      <c r="AE10" s="75">
        <v>0</v>
      </c>
      <c r="AF10" s="70">
        <f t="shared" ref="AF10:AO10" si="11">AE10</f>
        <v>0</v>
      </c>
      <c r="AG10" s="70">
        <f t="shared" si="11"/>
        <v>0</v>
      </c>
      <c r="AH10" s="70">
        <f t="shared" si="11"/>
        <v>0</v>
      </c>
      <c r="AI10" s="70">
        <f t="shared" si="11"/>
        <v>0</v>
      </c>
      <c r="AJ10" s="70">
        <f t="shared" si="11"/>
        <v>0</v>
      </c>
      <c r="AK10" s="70">
        <f t="shared" si="11"/>
        <v>0</v>
      </c>
      <c r="AL10" s="70">
        <f t="shared" si="11"/>
        <v>0</v>
      </c>
      <c r="AM10" s="70">
        <f t="shared" si="11"/>
        <v>0</v>
      </c>
      <c r="AN10" s="70">
        <f t="shared" si="11"/>
        <v>0</v>
      </c>
      <c r="AO10" s="70">
        <f t="shared" si="11"/>
        <v>0</v>
      </c>
    </row>
    <row r="11" spans="1:42" x14ac:dyDescent="0.35">
      <c r="A11" s="67" t="s">
        <v>52</v>
      </c>
      <c r="B11" s="72" t="s">
        <v>21</v>
      </c>
      <c r="C11" s="73" t="s">
        <v>60</v>
      </c>
      <c r="D11" s="73" t="s">
        <v>61</v>
      </c>
      <c r="E11" s="73">
        <v>0.249</v>
      </c>
      <c r="F11" s="73">
        <v>0.249</v>
      </c>
      <c r="G11" s="73">
        <v>0.249</v>
      </c>
      <c r="H11" s="73">
        <v>0.249</v>
      </c>
      <c r="I11" s="73">
        <v>0.249</v>
      </c>
      <c r="J11" s="73">
        <v>0.249</v>
      </c>
      <c r="K11" s="73">
        <v>0.249</v>
      </c>
      <c r="L11" s="73">
        <v>0.249</v>
      </c>
      <c r="M11" s="73">
        <v>0.249</v>
      </c>
      <c r="N11" s="73">
        <v>0.249</v>
      </c>
      <c r="O11" s="73">
        <v>0.249</v>
      </c>
      <c r="P11" s="73">
        <v>0.249</v>
      </c>
      <c r="Q11" s="73">
        <v>0.249</v>
      </c>
      <c r="R11" s="73">
        <v>0.249</v>
      </c>
      <c r="S11" s="73">
        <v>0.249</v>
      </c>
      <c r="T11" s="73">
        <v>0.249</v>
      </c>
      <c r="U11" s="73">
        <v>0.249</v>
      </c>
      <c r="V11" s="73">
        <v>0.249</v>
      </c>
      <c r="W11" s="73">
        <v>0.249</v>
      </c>
      <c r="X11" s="73">
        <v>0.249</v>
      </c>
      <c r="Y11" s="73">
        <v>0.249</v>
      </c>
      <c r="Z11" s="75">
        <v>0.249</v>
      </c>
      <c r="AA11" s="75">
        <v>0.249</v>
      </c>
      <c r="AB11" s="75">
        <v>0.249</v>
      </c>
      <c r="AC11" s="75">
        <v>0.249</v>
      </c>
      <c r="AD11" s="75">
        <v>0.249</v>
      </c>
      <c r="AE11" s="75">
        <v>0.249</v>
      </c>
      <c r="AF11" s="75">
        <v>0.249</v>
      </c>
      <c r="AG11" s="75">
        <v>0.249</v>
      </c>
      <c r="AH11" s="75">
        <v>0.249</v>
      </c>
      <c r="AI11" s="75">
        <v>0.249</v>
      </c>
      <c r="AJ11" s="75">
        <v>0</v>
      </c>
      <c r="AK11" s="73">
        <v>0</v>
      </c>
      <c r="AL11" s="73">
        <v>0</v>
      </c>
      <c r="AM11" s="73">
        <v>0</v>
      </c>
      <c r="AN11" s="73">
        <v>0</v>
      </c>
      <c r="AO11" s="73">
        <v>0</v>
      </c>
    </row>
    <row r="12" spans="1:42" x14ac:dyDescent="0.35">
      <c r="A12" s="67" t="s">
        <v>52</v>
      </c>
      <c r="B12" s="68" t="s">
        <v>22</v>
      </c>
      <c r="C12" s="75" t="s">
        <v>60</v>
      </c>
      <c r="D12" s="75" t="s">
        <v>61</v>
      </c>
      <c r="E12" s="75">
        <v>0.249</v>
      </c>
      <c r="F12" s="75">
        <v>0.249</v>
      </c>
      <c r="G12" s="75">
        <v>0.249</v>
      </c>
      <c r="H12" s="75">
        <v>0.249</v>
      </c>
      <c r="I12" s="75">
        <v>0.249</v>
      </c>
      <c r="J12" s="75">
        <v>0.249</v>
      </c>
      <c r="K12" s="75">
        <v>0.249</v>
      </c>
      <c r="L12" s="75">
        <v>0.249</v>
      </c>
      <c r="M12" s="75">
        <v>0.249</v>
      </c>
      <c r="N12" s="75">
        <v>0.249</v>
      </c>
      <c r="O12" s="75">
        <v>0.249</v>
      </c>
      <c r="P12" s="75">
        <v>0.249</v>
      </c>
      <c r="Q12" s="75">
        <v>0.249</v>
      </c>
      <c r="R12" s="75">
        <v>0.249</v>
      </c>
      <c r="S12" s="75">
        <v>0.249</v>
      </c>
      <c r="T12" s="75">
        <v>0.249</v>
      </c>
      <c r="U12" s="75">
        <v>0.249</v>
      </c>
      <c r="V12" s="75">
        <v>0.249</v>
      </c>
      <c r="W12" s="75">
        <v>0.249</v>
      </c>
      <c r="X12" s="75">
        <v>0.249</v>
      </c>
      <c r="Y12" s="75">
        <v>0.249</v>
      </c>
      <c r="Z12" s="75">
        <v>0.249</v>
      </c>
      <c r="AA12" s="75">
        <v>0.249</v>
      </c>
      <c r="AB12" s="75">
        <v>0.249</v>
      </c>
      <c r="AC12" s="75">
        <v>0.249</v>
      </c>
      <c r="AD12" s="75">
        <v>0.249</v>
      </c>
      <c r="AE12" s="75">
        <v>0.249</v>
      </c>
      <c r="AF12" s="75">
        <v>0.249</v>
      </c>
      <c r="AG12" s="75">
        <v>0.249</v>
      </c>
      <c r="AH12" s="75">
        <v>0.249</v>
      </c>
      <c r="AI12" s="75">
        <v>0.249</v>
      </c>
      <c r="AJ12" s="75">
        <v>0.249</v>
      </c>
      <c r="AK12" s="75">
        <v>0.249</v>
      </c>
      <c r="AL12" s="75">
        <v>0.249</v>
      </c>
      <c r="AM12" s="75">
        <v>0.249</v>
      </c>
      <c r="AN12" s="75">
        <v>0.249</v>
      </c>
      <c r="AO12" s="75">
        <v>0</v>
      </c>
    </row>
    <row r="13" spans="1:42" x14ac:dyDescent="0.35">
      <c r="A13" s="67" t="s">
        <v>52</v>
      </c>
      <c r="B13" s="72" t="s">
        <v>64</v>
      </c>
      <c r="C13" s="73" t="s">
        <v>60</v>
      </c>
      <c r="D13" s="73" t="s">
        <v>61</v>
      </c>
      <c r="E13" s="73">
        <v>0.249</v>
      </c>
      <c r="F13" s="73">
        <v>0.249</v>
      </c>
      <c r="G13" s="73">
        <v>0.249</v>
      </c>
      <c r="H13" s="73">
        <v>0.249</v>
      </c>
      <c r="I13" s="73">
        <v>0.249</v>
      </c>
      <c r="J13" s="73">
        <v>0.249</v>
      </c>
      <c r="K13" s="73">
        <v>0.249</v>
      </c>
      <c r="L13" s="73">
        <v>0.249</v>
      </c>
      <c r="M13" s="73">
        <v>0.249</v>
      </c>
      <c r="N13" s="73">
        <v>0.249</v>
      </c>
      <c r="O13" s="73">
        <v>0.249</v>
      </c>
      <c r="P13" s="73">
        <v>0.249</v>
      </c>
      <c r="Q13" s="73">
        <v>0.249</v>
      </c>
      <c r="R13" s="73">
        <v>0.249</v>
      </c>
      <c r="S13" s="73">
        <v>0.249</v>
      </c>
      <c r="T13" s="73">
        <v>0.249</v>
      </c>
      <c r="U13" s="73">
        <f t="shared" ref="U13:AN13" si="12">T13</f>
        <v>0.249</v>
      </c>
      <c r="V13" s="73">
        <f t="shared" si="12"/>
        <v>0.249</v>
      </c>
      <c r="W13" s="73">
        <f t="shared" si="12"/>
        <v>0.249</v>
      </c>
      <c r="X13" s="73">
        <f t="shared" si="12"/>
        <v>0.249</v>
      </c>
      <c r="Y13" s="73">
        <f t="shared" si="12"/>
        <v>0.249</v>
      </c>
      <c r="Z13" s="73">
        <f t="shared" si="12"/>
        <v>0.249</v>
      </c>
      <c r="AA13" s="73">
        <f t="shared" si="12"/>
        <v>0.249</v>
      </c>
      <c r="AB13" s="73">
        <f t="shared" si="12"/>
        <v>0.249</v>
      </c>
      <c r="AC13" s="73">
        <f t="shared" si="12"/>
        <v>0.249</v>
      </c>
      <c r="AD13" s="73">
        <f t="shared" si="12"/>
        <v>0.249</v>
      </c>
      <c r="AE13" s="73">
        <f t="shared" si="12"/>
        <v>0.249</v>
      </c>
      <c r="AF13" s="73">
        <f t="shared" si="12"/>
        <v>0.249</v>
      </c>
      <c r="AG13" s="73">
        <f t="shared" si="12"/>
        <v>0.249</v>
      </c>
      <c r="AH13" s="73">
        <f t="shared" si="12"/>
        <v>0.249</v>
      </c>
      <c r="AI13" s="73">
        <f t="shared" si="12"/>
        <v>0.249</v>
      </c>
      <c r="AJ13" s="73">
        <f t="shared" si="12"/>
        <v>0.249</v>
      </c>
      <c r="AK13" s="73">
        <f t="shared" si="12"/>
        <v>0.249</v>
      </c>
      <c r="AL13" s="73">
        <f t="shared" si="12"/>
        <v>0.249</v>
      </c>
      <c r="AM13" s="73">
        <f t="shared" si="12"/>
        <v>0.249</v>
      </c>
      <c r="AN13" s="73">
        <f t="shared" si="12"/>
        <v>0.249</v>
      </c>
      <c r="AO13" s="75">
        <v>0.249</v>
      </c>
    </row>
    <row r="14" spans="1:42" x14ac:dyDescent="0.35">
      <c r="A14" s="67" t="s">
        <v>52</v>
      </c>
      <c r="B14" s="68" t="s">
        <v>25</v>
      </c>
      <c r="C14" s="75" t="s">
        <v>65</v>
      </c>
      <c r="D14" s="75" t="s">
        <v>66</v>
      </c>
      <c r="E14" s="76">
        <v>0.93958222222222099</v>
      </c>
      <c r="F14" s="76">
        <f t="shared" ref="F14:AE14" si="13">F2/F55</f>
        <v>0.93958222222222132</v>
      </c>
      <c r="G14" s="76">
        <f t="shared" si="13"/>
        <v>0.93958222222222132</v>
      </c>
      <c r="H14" s="76">
        <f t="shared" si="13"/>
        <v>0.93958222222222132</v>
      </c>
      <c r="I14" s="76">
        <f t="shared" si="13"/>
        <v>0.93958222222222132</v>
      </c>
      <c r="J14" s="76">
        <f t="shared" si="13"/>
        <v>0.93958222222222132</v>
      </c>
      <c r="K14" s="76">
        <f t="shared" si="13"/>
        <v>0.93958222222222132</v>
      </c>
      <c r="L14" s="76">
        <f t="shared" si="13"/>
        <v>0.93958222222222132</v>
      </c>
      <c r="M14" s="76">
        <f t="shared" si="13"/>
        <v>0.93958222222222132</v>
      </c>
      <c r="N14" s="76">
        <f t="shared" si="13"/>
        <v>0.93958222222222132</v>
      </c>
      <c r="O14" s="76">
        <f t="shared" si="13"/>
        <v>0.93958222222222132</v>
      </c>
      <c r="P14" s="76">
        <f t="shared" si="13"/>
        <v>0.93958222222222132</v>
      </c>
      <c r="Q14" s="76">
        <f t="shared" si="13"/>
        <v>0.93958222222222132</v>
      </c>
      <c r="R14" s="76">
        <f t="shared" si="13"/>
        <v>0.93958222222222132</v>
      </c>
      <c r="S14" s="76">
        <f t="shared" si="13"/>
        <v>0.93958222222222132</v>
      </c>
      <c r="T14" s="76">
        <f t="shared" si="13"/>
        <v>0.93958222222222132</v>
      </c>
      <c r="U14" s="76">
        <f t="shared" si="13"/>
        <v>0.93958222222222132</v>
      </c>
      <c r="V14" s="76">
        <f t="shared" si="13"/>
        <v>0.93958222222222132</v>
      </c>
      <c r="W14" s="76">
        <f t="shared" si="13"/>
        <v>0.93958222222222132</v>
      </c>
      <c r="X14" s="76">
        <f t="shared" si="13"/>
        <v>0.93958222222222132</v>
      </c>
      <c r="Y14" s="76">
        <f t="shared" si="13"/>
        <v>0.93958222222222132</v>
      </c>
      <c r="Z14" s="76">
        <f t="shared" si="13"/>
        <v>0.93958222222222132</v>
      </c>
      <c r="AA14" s="76">
        <f t="shared" si="13"/>
        <v>0.93958222222222132</v>
      </c>
      <c r="AB14" s="76">
        <f t="shared" si="13"/>
        <v>0.93958222222222132</v>
      </c>
      <c r="AC14" s="76">
        <f t="shared" si="13"/>
        <v>0.93958222222222132</v>
      </c>
      <c r="AD14" s="76">
        <f t="shared" si="13"/>
        <v>0.93958222222222132</v>
      </c>
      <c r="AE14" s="76">
        <f t="shared" si="13"/>
        <v>0.93958222222222132</v>
      </c>
      <c r="AF14" s="76">
        <f t="shared" ref="AF14:AO14" si="14">AE14</f>
        <v>0.93958222222222132</v>
      </c>
      <c r="AG14" s="76">
        <f t="shared" si="14"/>
        <v>0.93958222222222132</v>
      </c>
      <c r="AH14" s="76">
        <f t="shared" si="14"/>
        <v>0.93958222222222132</v>
      </c>
      <c r="AI14" s="76">
        <f t="shared" si="14"/>
        <v>0.93958222222222132</v>
      </c>
      <c r="AJ14" s="76">
        <f t="shared" si="14"/>
        <v>0.93958222222222132</v>
      </c>
      <c r="AK14" s="76">
        <f t="shared" si="14"/>
        <v>0.93958222222222132</v>
      </c>
      <c r="AL14" s="76">
        <f t="shared" si="14"/>
        <v>0.93958222222222132</v>
      </c>
      <c r="AM14" s="76">
        <f t="shared" si="14"/>
        <v>0.93958222222222132</v>
      </c>
      <c r="AN14" s="76">
        <f t="shared" si="14"/>
        <v>0.93958222222222132</v>
      </c>
      <c r="AO14" s="76">
        <f t="shared" si="14"/>
        <v>0.93958222222222132</v>
      </c>
    </row>
    <row r="15" spans="1:42" x14ac:dyDescent="0.35">
      <c r="A15" s="67" t="s">
        <v>52</v>
      </c>
      <c r="B15" s="72" t="s">
        <v>62</v>
      </c>
      <c r="C15" s="73" t="s">
        <v>65</v>
      </c>
      <c r="D15" s="73" t="s">
        <v>66</v>
      </c>
      <c r="E15" s="76">
        <v>0.93958222222222099</v>
      </c>
      <c r="F15" s="76">
        <f t="shared" ref="F15:AE15" si="15">F14</f>
        <v>0.93958222222222132</v>
      </c>
      <c r="G15" s="76">
        <f t="shared" si="15"/>
        <v>0.93958222222222132</v>
      </c>
      <c r="H15" s="76">
        <f t="shared" si="15"/>
        <v>0.93958222222222132</v>
      </c>
      <c r="I15" s="76">
        <f t="shared" si="15"/>
        <v>0.93958222222222132</v>
      </c>
      <c r="J15" s="76">
        <f t="shared" si="15"/>
        <v>0.93958222222222132</v>
      </c>
      <c r="K15" s="76">
        <f t="shared" si="15"/>
        <v>0.93958222222222132</v>
      </c>
      <c r="L15" s="76">
        <f t="shared" si="15"/>
        <v>0.93958222222222132</v>
      </c>
      <c r="M15" s="76">
        <f t="shared" si="15"/>
        <v>0.93958222222222132</v>
      </c>
      <c r="N15" s="76">
        <f t="shared" si="15"/>
        <v>0.93958222222222132</v>
      </c>
      <c r="O15" s="76">
        <f t="shared" si="15"/>
        <v>0.93958222222222132</v>
      </c>
      <c r="P15" s="76">
        <f t="shared" si="15"/>
        <v>0.93958222222222132</v>
      </c>
      <c r="Q15" s="76">
        <f t="shared" si="15"/>
        <v>0.93958222222222132</v>
      </c>
      <c r="R15" s="76">
        <f t="shared" si="15"/>
        <v>0.93958222222222132</v>
      </c>
      <c r="S15" s="76">
        <f t="shared" si="15"/>
        <v>0.93958222222222132</v>
      </c>
      <c r="T15" s="76">
        <f t="shared" si="15"/>
        <v>0.93958222222222132</v>
      </c>
      <c r="U15" s="76">
        <f t="shared" si="15"/>
        <v>0.93958222222222132</v>
      </c>
      <c r="V15" s="76">
        <f t="shared" si="15"/>
        <v>0.93958222222222132</v>
      </c>
      <c r="W15" s="76">
        <f t="shared" si="15"/>
        <v>0.93958222222222132</v>
      </c>
      <c r="X15" s="76">
        <f t="shared" si="15"/>
        <v>0.93958222222222132</v>
      </c>
      <c r="Y15" s="76">
        <f t="shared" si="15"/>
        <v>0.93958222222222132</v>
      </c>
      <c r="Z15" s="76">
        <f t="shared" si="15"/>
        <v>0.93958222222222132</v>
      </c>
      <c r="AA15" s="76">
        <f t="shared" si="15"/>
        <v>0.93958222222222132</v>
      </c>
      <c r="AB15" s="76">
        <f t="shared" si="15"/>
        <v>0.93958222222222132</v>
      </c>
      <c r="AC15" s="76">
        <f t="shared" si="15"/>
        <v>0.93958222222222132</v>
      </c>
      <c r="AD15" s="76">
        <f t="shared" si="15"/>
        <v>0.93958222222222132</v>
      </c>
      <c r="AE15" s="76">
        <f t="shared" si="15"/>
        <v>0.93958222222222132</v>
      </c>
      <c r="AF15" s="76">
        <f t="shared" ref="AF15:AO15" si="16">AE15</f>
        <v>0.93958222222222132</v>
      </c>
      <c r="AG15" s="76">
        <f t="shared" si="16"/>
        <v>0.93958222222222132</v>
      </c>
      <c r="AH15" s="76">
        <f t="shared" si="16"/>
        <v>0.93958222222222132</v>
      </c>
      <c r="AI15" s="76">
        <f t="shared" si="16"/>
        <v>0.93958222222222132</v>
      </c>
      <c r="AJ15" s="76">
        <f t="shared" si="16"/>
        <v>0.93958222222222132</v>
      </c>
      <c r="AK15" s="76">
        <f t="shared" si="16"/>
        <v>0.93958222222222132</v>
      </c>
      <c r="AL15" s="76">
        <f t="shared" si="16"/>
        <v>0.93958222222222132</v>
      </c>
      <c r="AM15" s="76">
        <f t="shared" si="16"/>
        <v>0.93958222222222132</v>
      </c>
      <c r="AN15" s="76">
        <f t="shared" si="16"/>
        <v>0.93958222222222132</v>
      </c>
      <c r="AO15" s="76">
        <f t="shared" si="16"/>
        <v>0.93958222222222132</v>
      </c>
    </row>
    <row r="16" spans="1:42" x14ac:dyDescent="0.35">
      <c r="A16" s="67" t="s">
        <v>52</v>
      </c>
      <c r="B16" s="68" t="s">
        <v>23</v>
      </c>
      <c r="C16" s="75" t="s">
        <v>65</v>
      </c>
      <c r="D16" s="75" t="s">
        <v>66</v>
      </c>
      <c r="E16" s="76">
        <f t="shared" ref="E16:AO16" si="17">E4/E57</f>
        <v>0.70109750000000082</v>
      </c>
      <c r="F16" s="76">
        <f t="shared" si="17"/>
        <v>0.70109750000000082</v>
      </c>
      <c r="G16" s="76">
        <f t="shared" si="17"/>
        <v>0.70109750000000082</v>
      </c>
      <c r="H16" s="76">
        <f t="shared" si="17"/>
        <v>0.70109750000000082</v>
      </c>
      <c r="I16" s="76">
        <f t="shared" si="17"/>
        <v>0.70109750000000082</v>
      </c>
      <c r="J16" s="76">
        <f t="shared" si="17"/>
        <v>0.70109750000000082</v>
      </c>
      <c r="K16" s="76">
        <f t="shared" si="17"/>
        <v>0.70109750000000082</v>
      </c>
      <c r="L16" s="76">
        <f t="shared" si="17"/>
        <v>0.70109750000000082</v>
      </c>
      <c r="M16" s="76">
        <f t="shared" si="17"/>
        <v>0.70109750000000082</v>
      </c>
      <c r="N16" s="76">
        <f t="shared" si="17"/>
        <v>0.70109750000000082</v>
      </c>
      <c r="O16" s="76">
        <f t="shared" si="17"/>
        <v>0.70109750000000082</v>
      </c>
      <c r="P16" s="76">
        <f t="shared" si="17"/>
        <v>0.70109750000000082</v>
      </c>
      <c r="Q16" s="76">
        <f t="shared" si="17"/>
        <v>0.70109750000000082</v>
      </c>
      <c r="R16" s="76">
        <f t="shared" si="17"/>
        <v>0.70109750000000082</v>
      </c>
      <c r="S16" s="76">
        <f t="shared" si="17"/>
        <v>0.70109750000000082</v>
      </c>
      <c r="T16" s="76">
        <f t="shared" si="17"/>
        <v>0.70109750000000082</v>
      </c>
      <c r="U16" s="76">
        <f t="shared" si="17"/>
        <v>0</v>
      </c>
      <c r="V16" s="76">
        <f t="shared" si="17"/>
        <v>0</v>
      </c>
      <c r="W16" s="76">
        <f t="shared" si="17"/>
        <v>0</v>
      </c>
      <c r="X16" s="76">
        <f t="shared" si="17"/>
        <v>0</v>
      </c>
      <c r="Y16" s="76">
        <f t="shared" si="17"/>
        <v>0</v>
      </c>
      <c r="Z16" s="76">
        <f t="shared" si="17"/>
        <v>0</v>
      </c>
      <c r="AA16" s="76">
        <f t="shared" si="17"/>
        <v>0</v>
      </c>
      <c r="AB16" s="76">
        <f t="shared" si="17"/>
        <v>0</v>
      </c>
      <c r="AC16" s="76">
        <f t="shared" si="17"/>
        <v>0</v>
      </c>
      <c r="AD16" s="76">
        <f t="shared" si="17"/>
        <v>0</v>
      </c>
      <c r="AE16" s="76">
        <f t="shared" si="17"/>
        <v>0</v>
      </c>
      <c r="AF16" s="76">
        <f t="shared" si="17"/>
        <v>0</v>
      </c>
      <c r="AG16" s="76">
        <f t="shared" si="17"/>
        <v>0</v>
      </c>
      <c r="AH16" s="76">
        <f t="shared" si="17"/>
        <v>0</v>
      </c>
      <c r="AI16" s="76">
        <f t="shared" si="17"/>
        <v>0</v>
      </c>
      <c r="AJ16" s="76">
        <f t="shared" si="17"/>
        <v>0</v>
      </c>
      <c r="AK16" s="76">
        <f t="shared" si="17"/>
        <v>0</v>
      </c>
      <c r="AL16" s="76">
        <f t="shared" si="17"/>
        <v>0</v>
      </c>
      <c r="AM16" s="76">
        <f t="shared" si="17"/>
        <v>0</v>
      </c>
      <c r="AN16" s="76">
        <f t="shared" si="17"/>
        <v>0</v>
      </c>
      <c r="AO16" s="76">
        <f t="shared" si="17"/>
        <v>0</v>
      </c>
    </row>
    <row r="17" spans="1:41" x14ac:dyDescent="0.35">
      <c r="A17" s="67" t="s">
        <v>52</v>
      </c>
      <c r="B17" s="72" t="s">
        <v>24</v>
      </c>
      <c r="C17" s="73" t="s">
        <v>65</v>
      </c>
      <c r="D17" s="73" t="s">
        <v>66</v>
      </c>
      <c r="E17" s="76">
        <f t="shared" ref="E17:AO17" si="18">E5/E58</f>
        <v>0.70109750000000082</v>
      </c>
      <c r="F17" s="76">
        <f t="shared" si="18"/>
        <v>0.70109750000000082</v>
      </c>
      <c r="G17" s="76">
        <f t="shared" si="18"/>
        <v>0.70109750000000082</v>
      </c>
      <c r="H17" s="76">
        <f t="shared" si="18"/>
        <v>0.70109750000000082</v>
      </c>
      <c r="I17" s="76">
        <f t="shared" si="18"/>
        <v>0.70109750000000082</v>
      </c>
      <c r="J17" s="76">
        <f t="shared" si="18"/>
        <v>0.70109750000000082</v>
      </c>
      <c r="K17" s="76">
        <f t="shared" si="18"/>
        <v>0.70109750000000082</v>
      </c>
      <c r="L17" s="76">
        <f t="shared" si="18"/>
        <v>0.70109750000000082</v>
      </c>
      <c r="M17" s="76">
        <f t="shared" si="18"/>
        <v>0.70109750000000082</v>
      </c>
      <c r="N17" s="76">
        <f t="shared" si="18"/>
        <v>0.70109750000000082</v>
      </c>
      <c r="O17" s="76">
        <f t="shared" si="18"/>
        <v>0.70109750000000082</v>
      </c>
      <c r="P17" s="76">
        <f t="shared" si="18"/>
        <v>0.70109750000000082</v>
      </c>
      <c r="Q17" s="76">
        <f t="shared" si="18"/>
        <v>0.70109750000000082</v>
      </c>
      <c r="R17" s="76">
        <f t="shared" si="18"/>
        <v>0.70109750000000082</v>
      </c>
      <c r="S17" s="76">
        <f t="shared" si="18"/>
        <v>0.70109750000000082</v>
      </c>
      <c r="T17" s="76">
        <f t="shared" si="18"/>
        <v>0.70109750000000082</v>
      </c>
      <c r="U17" s="76">
        <f t="shared" si="18"/>
        <v>0</v>
      </c>
      <c r="V17" s="76">
        <f t="shared" si="18"/>
        <v>0</v>
      </c>
      <c r="W17" s="76">
        <f t="shared" si="18"/>
        <v>0</v>
      </c>
      <c r="X17" s="76">
        <f t="shared" si="18"/>
        <v>0</v>
      </c>
      <c r="Y17" s="76">
        <f t="shared" si="18"/>
        <v>0</v>
      </c>
      <c r="Z17" s="76">
        <f t="shared" si="18"/>
        <v>0</v>
      </c>
      <c r="AA17" s="76">
        <f t="shared" si="18"/>
        <v>0</v>
      </c>
      <c r="AB17" s="76">
        <f t="shared" si="18"/>
        <v>0</v>
      </c>
      <c r="AC17" s="76">
        <f t="shared" si="18"/>
        <v>0</v>
      </c>
      <c r="AD17" s="76">
        <f t="shared" si="18"/>
        <v>0</v>
      </c>
      <c r="AE17" s="76">
        <f t="shared" si="18"/>
        <v>0</v>
      </c>
      <c r="AF17" s="76">
        <f t="shared" si="18"/>
        <v>0</v>
      </c>
      <c r="AG17" s="76">
        <f t="shared" si="18"/>
        <v>0</v>
      </c>
      <c r="AH17" s="76">
        <f t="shared" si="18"/>
        <v>0</v>
      </c>
      <c r="AI17" s="76">
        <f t="shared" si="18"/>
        <v>0</v>
      </c>
      <c r="AJ17" s="76">
        <f t="shared" si="18"/>
        <v>0</v>
      </c>
      <c r="AK17" s="76">
        <f t="shared" si="18"/>
        <v>0</v>
      </c>
      <c r="AL17" s="76">
        <f t="shared" si="18"/>
        <v>0</v>
      </c>
      <c r="AM17" s="76">
        <f t="shared" si="18"/>
        <v>0</v>
      </c>
      <c r="AN17" s="76">
        <f t="shared" si="18"/>
        <v>0</v>
      </c>
      <c r="AO17" s="76">
        <f t="shared" si="18"/>
        <v>0</v>
      </c>
    </row>
    <row r="18" spans="1:41" x14ac:dyDescent="0.35">
      <c r="A18" s="67" t="s">
        <v>52</v>
      </c>
      <c r="B18" s="68" t="s">
        <v>63</v>
      </c>
      <c r="C18" s="75" t="s">
        <v>65</v>
      </c>
      <c r="D18" s="75" t="s">
        <v>66</v>
      </c>
      <c r="E18" s="76">
        <f t="shared" ref="E18:AO18" si="19">E6/E59</f>
        <v>0.70109750000000082</v>
      </c>
      <c r="F18" s="76">
        <f t="shared" si="19"/>
        <v>0.70109750000000082</v>
      </c>
      <c r="G18" s="76">
        <f t="shared" si="19"/>
        <v>0.70109750000000082</v>
      </c>
      <c r="H18" s="76">
        <f t="shared" si="19"/>
        <v>0.70109750000000082</v>
      </c>
      <c r="I18" s="76">
        <f t="shared" si="19"/>
        <v>0.70109750000000082</v>
      </c>
      <c r="J18" s="76">
        <f t="shared" si="19"/>
        <v>0.70109750000000082</v>
      </c>
      <c r="K18" s="76">
        <f t="shared" si="19"/>
        <v>0.70109750000000082</v>
      </c>
      <c r="L18" s="76">
        <f t="shared" si="19"/>
        <v>0.70109750000000082</v>
      </c>
      <c r="M18" s="76">
        <f t="shared" si="19"/>
        <v>0.70109750000000082</v>
      </c>
      <c r="N18" s="76">
        <f t="shared" si="19"/>
        <v>0.70109750000000082</v>
      </c>
      <c r="O18" s="76">
        <f t="shared" si="19"/>
        <v>0.70109750000000082</v>
      </c>
      <c r="P18" s="76">
        <f t="shared" si="19"/>
        <v>0.70109750000000082</v>
      </c>
      <c r="Q18" s="76">
        <f t="shared" si="19"/>
        <v>0.70109750000000082</v>
      </c>
      <c r="R18" s="76">
        <f t="shared" si="19"/>
        <v>0.70109750000000082</v>
      </c>
      <c r="S18" s="76">
        <f t="shared" si="19"/>
        <v>0.70109750000000082</v>
      </c>
      <c r="T18" s="76">
        <f t="shared" si="19"/>
        <v>0.70109750000000082</v>
      </c>
      <c r="U18" s="76">
        <f t="shared" si="19"/>
        <v>0.70109750000000082</v>
      </c>
      <c r="V18" s="76">
        <f t="shared" si="19"/>
        <v>0.70109750000000082</v>
      </c>
      <c r="W18" s="76">
        <f t="shared" si="19"/>
        <v>0.70109750000000082</v>
      </c>
      <c r="X18" s="76">
        <f t="shared" si="19"/>
        <v>0.70109750000000082</v>
      </c>
      <c r="Y18" s="76">
        <f t="shared" si="19"/>
        <v>0.70109750000000082</v>
      </c>
      <c r="Z18" s="76">
        <f t="shared" si="19"/>
        <v>0.70109750000000082</v>
      </c>
      <c r="AA18" s="76">
        <f t="shared" si="19"/>
        <v>0.70109750000000082</v>
      </c>
      <c r="AB18" s="76">
        <f t="shared" si="19"/>
        <v>0.70109750000000082</v>
      </c>
      <c r="AC18" s="76">
        <f t="shared" si="19"/>
        <v>0.70109750000000082</v>
      </c>
      <c r="AD18" s="76">
        <f t="shared" si="19"/>
        <v>0.70109750000000082</v>
      </c>
      <c r="AE18" s="76">
        <f t="shared" si="19"/>
        <v>0.70109750000000082</v>
      </c>
      <c r="AF18" s="76">
        <f t="shared" si="19"/>
        <v>0.70109750000000082</v>
      </c>
      <c r="AG18" s="76">
        <f t="shared" si="19"/>
        <v>0.70109750000000082</v>
      </c>
      <c r="AH18" s="76">
        <f t="shared" si="19"/>
        <v>0.70109750000000082</v>
      </c>
      <c r="AI18" s="76">
        <f t="shared" si="19"/>
        <v>0.70109750000000082</v>
      </c>
      <c r="AJ18" s="76">
        <f t="shared" si="19"/>
        <v>0.70109750000000082</v>
      </c>
      <c r="AK18" s="76">
        <f t="shared" si="19"/>
        <v>0.70109750000000082</v>
      </c>
      <c r="AL18" s="76">
        <f t="shared" si="19"/>
        <v>0.70109750000000082</v>
      </c>
      <c r="AM18" s="76">
        <f t="shared" si="19"/>
        <v>0.70109750000000082</v>
      </c>
      <c r="AN18" s="76">
        <f t="shared" si="19"/>
        <v>0.70109750000000082</v>
      </c>
      <c r="AO18" s="76">
        <f t="shared" si="19"/>
        <v>0.70109750000000082</v>
      </c>
    </row>
    <row r="19" spans="1:41" x14ac:dyDescent="0.35">
      <c r="A19" s="67" t="s">
        <v>52</v>
      </c>
      <c r="B19" s="72" t="s">
        <v>17</v>
      </c>
      <c r="C19" s="73" t="s">
        <v>65</v>
      </c>
      <c r="D19" s="73" t="s">
        <v>66</v>
      </c>
      <c r="E19" s="76">
        <f t="shared" ref="E19:AO19" si="20">E7/E60</f>
        <v>0.6538325000000007</v>
      </c>
      <c r="F19" s="76">
        <f t="shared" si="20"/>
        <v>0.6538325000000007</v>
      </c>
      <c r="G19" s="76">
        <f t="shared" si="20"/>
        <v>0.6538325000000007</v>
      </c>
      <c r="H19" s="76">
        <f t="shared" si="20"/>
        <v>0.6538325000000007</v>
      </c>
      <c r="I19" s="76">
        <f t="shared" si="20"/>
        <v>0.6538325000000007</v>
      </c>
      <c r="J19" s="76">
        <f t="shared" si="20"/>
        <v>0.6538325000000007</v>
      </c>
      <c r="K19" s="76">
        <f t="shared" si="20"/>
        <v>0.6538325000000007</v>
      </c>
      <c r="L19" s="76">
        <f t="shared" si="20"/>
        <v>0.6538325000000007</v>
      </c>
      <c r="M19" s="76">
        <f t="shared" si="20"/>
        <v>0.6538325000000007</v>
      </c>
      <c r="N19" s="76">
        <f t="shared" si="20"/>
        <v>0.6538325000000007</v>
      </c>
      <c r="O19" s="76">
        <f t="shared" si="20"/>
        <v>0.6538325000000007</v>
      </c>
      <c r="P19" s="76">
        <f t="shared" si="20"/>
        <v>0.6538325000000007</v>
      </c>
      <c r="Q19" s="76">
        <f t="shared" si="20"/>
        <v>0.6538325000000007</v>
      </c>
      <c r="R19" s="76">
        <f t="shared" si="20"/>
        <v>0.6538325000000007</v>
      </c>
      <c r="S19" s="76">
        <f t="shared" si="20"/>
        <v>0.6538325000000007</v>
      </c>
      <c r="T19" s="76">
        <f t="shared" si="20"/>
        <v>0.6538325000000007</v>
      </c>
      <c r="U19" s="76">
        <f t="shared" si="20"/>
        <v>0.6538325000000007</v>
      </c>
      <c r="V19" s="76">
        <f t="shared" si="20"/>
        <v>0.6538325000000007</v>
      </c>
      <c r="W19" s="76">
        <f t="shared" si="20"/>
        <v>0.6538325000000007</v>
      </c>
      <c r="X19" s="76">
        <f t="shared" si="20"/>
        <v>0.6538325000000007</v>
      </c>
      <c r="Y19" s="76">
        <f t="shared" si="20"/>
        <v>0.6538325000000007</v>
      </c>
      <c r="Z19" s="76">
        <f t="shared" si="20"/>
        <v>0.6538325000000007</v>
      </c>
      <c r="AA19" s="76">
        <f t="shared" si="20"/>
        <v>0.6538325000000007</v>
      </c>
      <c r="AB19" s="76">
        <f t="shared" si="20"/>
        <v>0.6538325000000007</v>
      </c>
      <c r="AC19" s="76">
        <f t="shared" si="20"/>
        <v>0.6538325000000007</v>
      </c>
      <c r="AD19" s="76">
        <f t="shared" si="20"/>
        <v>0.6538325000000007</v>
      </c>
      <c r="AE19" s="76">
        <f t="shared" si="20"/>
        <v>0.6538325000000007</v>
      </c>
      <c r="AF19" s="76">
        <f t="shared" si="20"/>
        <v>0.6538325000000007</v>
      </c>
      <c r="AG19" s="76">
        <f t="shared" si="20"/>
        <v>0.6538325000000007</v>
      </c>
      <c r="AH19" s="76">
        <f t="shared" si="20"/>
        <v>0.6538325000000007</v>
      </c>
      <c r="AI19" s="76">
        <f t="shared" si="20"/>
        <v>0.6538325000000007</v>
      </c>
      <c r="AJ19" s="76">
        <f t="shared" si="20"/>
        <v>0.6538325000000007</v>
      </c>
      <c r="AK19" s="76">
        <f t="shared" si="20"/>
        <v>0.6538325000000007</v>
      </c>
      <c r="AL19" s="76">
        <f t="shared" si="20"/>
        <v>0.6538325000000007</v>
      </c>
      <c r="AM19" s="76">
        <f t="shared" si="20"/>
        <v>0.6538325000000007</v>
      </c>
      <c r="AN19" s="76">
        <f t="shared" si="20"/>
        <v>0.6538325000000007</v>
      </c>
      <c r="AO19" s="76">
        <f t="shared" si="20"/>
        <v>0.6538325000000007</v>
      </c>
    </row>
    <row r="20" spans="1:41" x14ac:dyDescent="0.35">
      <c r="A20" s="67" t="s">
        <v>52</v>
      </c>
      <c r="B20" s="68" t="s">
        <v>18</v>
      </c>
      <c r="C20" s="75" t="s">
        <v>65</v>
      </c>
      <c r="D20" s="75" t="s">
        <v>66</v>
      </c>
      <c r="E20" s="76">
        <f t="shared" ref="E20:AO20" si="21">E8/E61</f>
        <v>0.6538325000000007</v>
      </c>
      <c r="F20" s="76">
        <f t="shared" si="21"/>
        <v>0.6538325000000007</v>
      </c>
      <c r="G20" s="76">
        <f t="shared" si="21"/>
        <v>0.6538325000000007</v>
      </c>
      <c r="H20" s="76">
        <f t="shared" si="21"/>
        <v>0.6538325000000007</v>
      </c>
      <c r="I20" s="76">
        <f t="shared" si="21"/>
        <v>0.6538325000000007</v>
      </c>
      <c r="J20" s="76">
        <f t="shared" si="21"/>
        <v>0.6538325000000007</v>
      </c>
      <c r="K20" s="76">
        <f t="shared" si="21"/>
        <v>0.6538325000000007</v>
      </c>
      <c r="L20" s="76">
        <f t="shared" si="21"/>
        <v>0.6538325000000007</v>
      </c>
      <c r="M20" s="76">
        <f t="shared" si="21"/>
        <v>0.6538325000000007</v>
      </c>
      <c r="N20" s="76">
        <f t="shared" si="21"/>
        <v>0.6538325000000007</v>
      </c>
      <c r="O20" s="76">
        <f t="shared" si="21"/>
        <v>0.6538325000000007</v>
      </c>
      <c r="P20" s="76">
        <f t="shared" si="21"/>
        <v>0.6538325000000007</v>
      </c>
      <c r="Q20" s="76">
        <f t="shared" si="21"/>
        <v>0.6538325000000007</v>
      </c>
      <c r="R20" s="76">
        <f t="shared" si="21"/>
        <v>0.6538325000000007</v>
      </c>
      <c r="S20" s="76">
        <f t="shared" si="21"/>
        <v>0.6538325000000007</v>
      </c>
      <c r="T20" s="76">
        <f t="shared" si="21"/>
        <v>0.6538325000000007</v>
      </c>
      <c r="U20" s="76">
        <f t="shared" si="21"/>
        <v>0</v>
      </c>
      <c r="V20" s="76">
        <f t="shared" si="21"/>
        <v>0</v>
      </c>
      <c r="W20" s="76">
        <f t="shared" si="21"/>
        <v>0</v>
      </c>
      <c r="X20" s="76">
        <f t="shared" si="21"/>
        <v>0</v>
      </c>
      <c r="Y20" s="76">
        <f t="shared" si="21"/>
        <v>0</v>
      </c>
      <c r="Z20" s="76">
        <f t="shared" si="21"/>
        <v>0</v>
      </c>
      <c r="AA20" s="76">
        <f t="shared" si="21"/>
        <v>0</v>
      </c>
      <c r="AB20" s="76">
        <f t="shared" si="21"/>
        <v>0</v>
      </c>
      <c r="AC20" s="76">
        <f t="shared" si="21"/>
        <v>0</v>
      </c>
      <c r="AD20" s="76">
        <f t="shared" si="21"/>
        <v>0</v>
      </c>
      <c r="AE20" s="76">
        <f t="shared" si="21"/>
        <v>0</v>
      </c>
      <c r="AF20" s="76">
        <f t="shared" si="21"/>
        <v>0</v>
      </c>
      <c r="AG20" s="76">
        <f t="shared" si="21"/>
        <v>0</v>
      </c>
      <c r="AH20" s="76">
        <f t="shared" si="21"/>
        <v>0</v>
      </c>
      <c r="AI20" s="76">
        <f t="shared" si="21"/>
        <v>0</v>
      </c>
      <c r="AJ20" s="76">
        <f t="shared" si="21"/>
        <v>0</v>
      </c>
      <c r="AK20" s="76">
        <f t="shared" si="21"/>
        <v>0</v>
      </c>
      <c r="AL20" s="76">
        <f t="shared" si="21"/>
        <v>0</v>
      </c>
      <c r="AM20" s="76">
        <f t="shared" si="21"/>
        <v>0</v>
      </c>
      <c r="AN20" s="76">
        <f t="shared" si="21"/>
        <v>0</v>
      </c>
      <c r="AO20" s="76">
        <f t="shared" si="21"/>
        <v>0</v>
      </c>
    </row>
    <row r="21" spans="1:41" x14ac:dyDescent="0.35">
      <c r="A21" s="67" t="s">
        <v>52</v>
      </c>
      <c r="B21" s="72" t="s">
        <v>19</v>
      </c>
      <c r="C21" s="73" t="s">
        <v>65</v>
      </c>
      <c r="D21" s="73" t="s">
        <v>66</v>
      </c>
      <c r="E21" s="76">
        <f t="shared" ref="E21:AO21" si="22">E9/E62</f>
        <v>0.6538325000000007</v>
      </c>
      <c r="F21" s="76">
        <f t="shared" si="22"/>
        <v>0.6538325000000007</v>
      </c>
      <c r="G21" s="76">
        <f t="shared" si="22"/>
        <v>0.6538325000000007</v>
      </c>
      <c r="H21" s="76">
        <f t="shared" si="22"/>
        <v>0.6538325000000007</v>
      </c>
      <c r="I21" s="76">
        <f t="shared" si="22"/>
        <v>0.6538325000000007</v>
      </c>
      <c r="J21" s="76">
        <f t="shared" si="22"/>
        <v>0.6538325000000007</v>
      </c>
      <c r="K21" s="76">
        <f t="shared" si="22"/>
        <v>0.6538325000000007</v>
      </c>
      <c r="L21" s="76">
        <f t="shared" si="22"/>
        <v>0.6538325000000007</v>
      </c>
      <c r="M21" s="76">
        <f t="shared" si="22"/>
        <v>0.6538325000000007</v>
      </c>
      <c r="N21" s="76">
        <f t="shared" si="22"/>
        <v>0.6538325000000007</v>
      </c>
      <c r="O21" s="76">
        <f t="shared" si="22"/>
        <v>0.6538325000000007</v>
      </c>
      <c r="P21" s="76">
        <f t="shared" si="22"/>
        <v>0.6538325000000007</v>
      </c>
      <c r="Q21" s="76">
        <f t="shared" si="22"/>
        <v>0.6538325000000007</v>
      </c>
      <c r="R21" s="76">
        <f t="shared" si="22"/>
        <v>0.6538325000000007</v>
      </c>
      <c r="S21" s="76">
        <f t="shared" si="22"/>
        <v>0.6538325000000007</v>
      </c>
      <c r="T21" s="76">
        <f t="shared" si="22"/>
        <v>0.6538325000000007</v>
      </c>
      <c r="U21" s="76">
        <f t="shared" si="22"/>
        <v>0.6538325000000007</v>
      </c>
      <c r="V21" s="76">
        <f t="shared" si="22"/>
        <v>0.6538325000000007</v>
      </c>
      <c r="W21" s="76">
        <f t="shared" si="22"/>
        <v>0.6538325000000007</v>
      </c>
      <c r="X21" s="76">
        <f t="shared" si="22"/>
        <v>0.6538325000000007</v>
      </c>
      <c r="Y21" s="76">
        <f t="shared" si="22"/>
        <v>0.6538325000000007</v>
      </c>
      <c r="Z21" s="76">
        <f t="shared" si="22"/>
        <v>0</v>
      </c>
      <c r="AA21" s="76">
        <f t="shared" si="22"/>
        <v>0</v>
      </c>
      <c r="AB21" s="76">
        <f t="shared" si="22"/>
        <v>0</v>
      </c>
      <c r="AC21" s="76">
        <f t="shared" si="22"/>
        <v>0</v>
      </c>
      <c r="AD21" s="76">
        <f t="shared" si="22"/>
        <v>0</v>
      </c>
      <c r="AE21" s="76">
        <f t="shared" si="22"/>
        <v>0</v>
      </c>
      <c r="AF21" s="76">
        <f t="shared" si="22"/>
        <v>0</v>
      </c>
      <c r="AG21" s="76">
        <f t="shared" si="22"/>
        <v>0</v>
      </c>
      <c r="AH21" s="76">
        <f t="shared" si="22"/>
        <v>0</v>
      </c>
      <c r="AI21" s="76">
        <f t="shared" si="22"/>
        <v>0</v>
      </c>
      <c r="AJ21" s="76">
        <f t="shared" si="22"/>
        <v>0</v>
      </c>
      <c r="AK21" s="76">
        <f t="shared" si="22"/>
        <v>0</v>
      </c>
      <c r="AL21" s="76">
        <f t="shared" si="22"/>
        <v>0</v>
      </c>
      <c r="AM21" s="76">
        <f t="shared" si="22"/>
        <v>0</v>
      </c>
      <c r="AN21" s="76">
        <f t="shared" si="22"/>
        <v>0</v>
      </c>
      <c r="AO21" s="76">
        <f t="shared" si="22"/>
        <v>0</v>
      </c>
    </row>
    <row r="22" spans="1:41" x14ac:dyDescent="0.35">
      <c r="A22" s="67" t="s">
        <v>52</v>
      </c>
      <c r="B22" s="68" t="s">
        <v>20</v>
      </c>
      <c r="C22" s="75" t="s">
        <v>65</v>
      </c>
      <c r="D22" s="75" t="s">
        <v>66</v>
      </c>
      <c r="E22" s="76">
        <f t="shared" ref="E22:AO22" si="23">E10/E63</f>
        <v>0.6538325000000007</v>
      </c>
      <c r="F22" s="76">
        <f t="shared" si="23"/>
        <v>0.6538325000000007</v>
      </c>
      <c r="G22" s="76">
        <f t="shared" si="23"/>
        <v>0.6538325000000007</v>
      </c>
      <c r="H22" s="76">
        <f t="shared" si="23"/>
        <v>0.6538325000000007</v>
      </c>
      <c r="I22" s="76">
        <f t="shared" si="23"/>
        <v>0.6538325000000007</v>
      </c>
      <c r="J22" s="76">
        <f t="shared" si="23"/>
        <v>0.6538325000000007</v>
      </c>
      <c r="K22" s="76">
        <f t="shared" si="23"/>
        <v>0.6538325000000007</v>
      </c>
      <c r="L22" s="76">
        <f t="shared" si="23"/>
        <v>0.6538325000000007</v>
      </c>
      <c r="M22" s="76">
        <f t="shared" si="23"/>
        <v>0.6538325000000007</v>
      </c>
      <c r="N22" s="76">
        <f t="shared" si="23"/>
        <v>0.6538325000000007</v>
      </c>
      <c r="O22" s="76">
        <f t="shared" si="23"/>
        <v>0.6538325000000007</v>
      </c>
      <c r="P22" s="76">
        <f t="shared" si="23"/>
        <v>0.6538325000000007</v>
      </c>
      <c r="Q22" s="76">
        <f t="shared" si="23"/>
        <v>0.6538325000000007</v>
      </c>
      <c r="R22" s="76">
        <f t="shared" si="23"/>
        <v>0.6538325000000007</v>
      </c>
      <c r="S22" s="76">
        <f t="shared" si="23"/>
        <v>0.6538325000000007</v>
      </c>
      <c r="T22" s="76">
        <f t="shared" si="23"/>
        <v>0.6538325000000007</v>
      </c>
      <c r="U22" s="76">
        <f t="shared" si="23"/>
        <v>0.6538325000000007</v>
      </c>
      <c r="V22" s="76">
        <f t="shared" si="23"/>
        <v>0.6538325000000007</v>
      </c>
      <c r="W22" s="76">
        <f t="shared" si="23"/>
        <v>0.6538325000000007</v>
      </c>
      <c r="X22" s="76">
        <f t="shared" si="23"/>
        <v>0.6538325000000007</v>
      </c>
      <c r="Y22" s="76">
        <f t="shared" si="23"/>
        <v>0.6538325000000007</v>
      </c>
      <c r="Z22" s="76">
        <f t="shared" si="23"/>
        <v>0.6538325000000007</v>
      </c>
      <c r="AA22" s="76">
        <f t="shared" si="23"/>
        <v>0.6538325000000007</v>
      </c>
      <c r="AB22" s="76">
        <f t="shared" si="23"/>
        <v>0.6538325000000007</v>
      </c>
      <c r="AC22" s="76">
        <f t="shared" si="23"/>
        <v>0.6538325000000007</v>
      </c>
      <c r="AD22" s="76">
        <f t="shared" si="23"/>
        <v>0.6538325000000007</v>
      </c>
      <c r="AE22" s="76">
        <f t="shared" si="23"/>
        <v>0</v>
      </c>
      <c r="AF22" s="76">
        <f t="shared" si="23"/>
        <v>0</v>
      </c>
      <c r="AG22" s="76">
        <f t="shared" si="23"/>
        <v>0</v>
      </c>
      <c r="AH22" s="76">
        <f t="shared" si="23"/>
        <v>0</v>
      </c>
      <c r="AI22" s="76">
        <f t="shared" si="23"/>
        <v>0</v>
      </c>
      <c r="AJ22" s="76">
        <f t="shared" si="23"/>
        <v>0</v>
      </c>
      <c r="AK22" s="76">
        <f t="shared" si="23"/>
        <v>0</v>
      </c>
      <c r="AL22" s="76">
        <f t="shared" si="23"/>
        <v>0</v>
      </c>
      <c r="AM22" s="76">
        <f t="shared" si="23"/>
        <v>0</v>
      </c>
      <c r="AN22" s="76">
        <f t="shared" si="23"/>
        <v>0</v>
      </c>
      <c r="AO22" s="76">
        <f t="shared" si="23"/>
        <v>0</v>
      </c>
    </row>
    <row r="23" spans="1:41" x14ac:dyDescent="0.35">
      <c r="A23" s="67" t="s">
        <v>52</v>
      </c>
      <c r="B23" s="72" t="s">
        <v>21</v>
      </c>
      <c r="C23" s="73" t="s">
        <v>65</v>
      </c>
      <c r="D23" s="73" t="s">
        <v>66</v>
      </c>
      <c r="E23" s="76">
        <f t="shared" ref="E23:AO23" si="24">E11/E64</f>
        <v>0.6538325000000007</v>
      </c>
      <c r="F23" s="76">
        <f t="shared" si="24"/>
        <v>0.6538325000000007</v>
      </c>
      <c r="G23" s="76">
        <f t="shared" si="24"/>
        <v>0.6538325000000007</v>
      </c>
      <c r="H23" s="76">
        <f t="shared" si="24"/>
        <v>0.6538325000000007</v>
      </c>
      <c r="I23" s="76">
        <f t="shared" si="24"/>
        <v>0.6538325000000007</v>
      </c>
      <c r="J23" s="76">
        <f t="shared" si="24"/>
        <v>0.6538325000000007</v>
      </c>
      <c r="K23" s="76">
        <f t="shared" si="24"/>
        <v>0.6538325000000007</v>
      </c>
      <c r="L23" s="76">
        <f t="shared" si="24"/>
        <v>0.6538325000000007</v>
      </c>
      <c r="M23" s="76">
        <f t="shared" si="24"/>
        <v>0.6538325000000007</v>
      </c>
      <c r="N23" s="76">
        <f t="shared" si="24"/>
        <v>0.6538325000000007</v>
      </c>
      <c r="O23" s="76">
        <f t="shared" si="24"/>
        <v>0.6538325000000007</v>
      </c>
      <c r="P23" s="76">
        <f t="shared" si="24"/>
        <v>0.6538325000000007</v>
      </c>
      <c r="Q23" s="76">
        <f t="shared" si="24"/>
        <v>0.6538325000000007</v>
      </c>
      <c r="R23" s="76">
        <f t="shared" si="24"/>
        <v>0.6538325000000007</v>
      </c>
      <c r="S23" s="76">
        <f t="shared" si="24"/>
        <v>0.6538325000000007</v>
      </c>
      <c r="T23" s="76">
        <f t="shared" si="24"/>
        <v>0.6538325000000007</v>
      </c>
      <c r="U23" s="76">
        <f t="shared" si="24"/>
        <v>0.6538325000000007</v>
      </c>
      <c r="V23" s="76">
        <f t="shared" si="24"/>
        <v>0.6538325000000007</v>
      </c>
      <c r="W23" s="76">
        <f t="shared" si="24"/>
        <v>0.6538325000000007</v>
      </c>
      <c r="X23" s="76">
        <f t="shared" si="24"/>
        <v>0.6538325000000007</v>
      </c>
      <c r="Y23" s="76">
        <f t="shared" si="24"/>
        <v>0.6538325000000007</v>
      </c>
      <c r="Z23" s="76">
        <f t="shared" si="24"/>
        <v>0.6538325000000007</v>
      </c>
      <c r="AA23" s="76">
        <f t="shared" si="24"/>
        <v>0.6538325000000007</v>
      </c>
      <c r="AB23" s="76">
        <f t="shared" si="24"/>
        <v>0.6538325000000007</v>
      </c>
      <c r="AC23" s="76">
        <f t="shared" si="24"/>
        <v>0.6538325000000007</v>
      </c>
      <c r="AD23" s="76">
        <f t="shared" si="24"/>
        <v>0.6538325000000007</v>
      </c>
      <c r="AE23" s="76">
        <f t="shared" si="24"/>
        <v>0.6538325000000007</v>
      </c>
      <c r="AF23" s="76">
        <f t="shared" si="24"/>
        <v>0.6538325000000007</v>
      </c>
      <c r="AG23" s="76">
        <f t="shared" si="24"/>
        <v>0.6538325000000007</v>
      </c>
      <c r="AH23" s="76">
        <f t="shared" si="24"/>
        <v>0.6538325000000007</v>
      </c>
      <c r="AI23" s="76">
        <f t="shared" si="24"/>
        <v>0.6538325000000007</v>
      </c>
      <c r="AJ23" s="76">
        <f t="shared" si="24"/>
        <v>0</v>
      </c>
      <c r="AK23" s="76">
        <f t="shared" si="24"/>
        <v>0</v>
      </c>
      <c r="AL23" s="76">
        <f t="shared" si="24"/>
        <v>0</v>
      </c>
      <c r="AM23" s="76">
        <f t="shared" si="24"/>
        <v>0</v>
      </c>
      <c r="AN23" s="76">
        <f t="shared" si="24"/>
        <v>0</v>
      </c>
      <c r="AO23" s="76">
        <f t="shared" si="24"/>
        <v>0</v>
      </c>
    </row>
    <row r="24" spans="1:41" x14ac:dyDescent="0.35">
      <c r="A24" s="67" t="s">
        <v>52</v>
      </c>
      <c r="B24" s="68" t="s">
        <v>22</v>
      </c>
      <c r="C24" s="75" t="s">
        <v>65</v>
      </c>
      <c r="D24" s="75" t="s">
        <v>66</v>
      </c>
      <c r="E24" s="76">
        <f t="shared" ref="E24:AO24" si="25">E12/E66</f>
        <v>0.31923076923076921</v>
      </c>
      <c r="F24" s="76">
        <f t="shared" si="25"/>
        <v>0.31923076923076921</v>
      </c>
      <c r="G24" s="76">
        <f t="shared" si="25"/>
        <v>0.31923076923076921</v>
      </c>
      <c r="H24" s="76">
        <f t="shared" si="25"/>
        <v>0.31923076923076921</v>
      </c>
      <c r="I24" s="76">
        <f t="shared" si="25"/>
        <v>0.31923076923076921</v>
      </c>
      <c r="J24" s="76">
        <f t="shared" si="25"/>
        <v>0.31923076923076921</v>
      </c>
      <c r="K24" s="76">
        <f t="shared" si="25"/>
        <v>0.31923076923076921</v>
      </c>
      <c r="L24" s="76">
        <f t="shared" si="25"/>
        <v>0.31923076923076921</v>
      </c>
      <c r="M24" s="76">
        <f t="shared" si="25"/>
        <v>0.31923076923076921</v>
      </c>
      <c r="N24" s="76">
        <f t="shared" si="25"/>
        <v>0.31923076923076921</v>
      </c>
      <c r="O24" s="76">
        <f t="shared" si="25"/>
        <v>0.31923076923076921</v>
      </c>
      <c r="P24" s="76">
        <f t="shared" si="25"/>
        <v>0.31923076923076921</v>
      </c>
      <c r="Q24" s="76">
        <f t="shared" si="25"/>
        <v>0.31923076923076921</v>
      </c>
      <c r="R24" s="76">
        <f t="shared" si="25"/>
        <v>0.31923076923076921</v>
      </c>
      <c r="S24" s="76">
        <f t="shared" si="25"/>
        <v>0.31923076923076921</v>
      </c>
      <c r="T24" s="76">
        <f t="shared" si="25"/>
        <v>0.31923076923076921</v>
      </c>
      <c r="U24" s="76">
        <f t="shared" si="25"/>
        <v>0.31923076923076921</v>
      </c>
      <c r="V24" s="76">
        <f t="shared" si="25"/>
        <v>0.31923076923076921</v>
      </c>
      <c r="W24" s="76">
        <f t="shared" si="25"/>
        <v>0.31923076923076921</v>
      </c>
      <c r="X24" s="76">
        <f t="shared" si="25"/>
        <v>0.31923076923076921</v>
      </c>
      <c r="Y24" s="76">
        <f t="shared" si="25"/>
        <v>0.31923076923076921</v>
      </c>
      <c r="Z24" s="76">
        <f t="shared" si="25"/>
        <v>0.31923076923076921</v>
      </c>
      <c r="AA24" s="76">
        <f t="shared" si="25"/>
        <v>0.31923076923076921</v>
      </c>
      <c r="AB24" s="76">
        <f t="shared" si="25"/>
        <v>0.31923076923076921</v>
      </c>
      <c r="AC24" s="76">
        <f t="shared" si="25"/>
        <v>0.31923076923076921</v>
      </c>
      <c r="AD24" s="76">
        <f t="shared" si="25"/>
        <v>0.31923076923076921</v>
      </c>
      <c r="AE24" s="76">
        <f t="shared" si="25"/>
        <v>0.31923076923076921</v>
      </c>
      <c r="AF24" s="76">
        <f t="shared" si="25"/>
        <v>0.31923076923076921</v>
      </c>
      <c r="AG24" s="76">
        <f t="shared" si="25"/>
        <v>0.31923076923076921</v>
      </c>
      <c r="AH24" s="76">
        <f t="shared" si="25"/>
        <v>0.31923076923076921</v>
      </c>
      <c r="AI24" s="76">
        <f t="shared" si="25"/>
        <v>0.31923076923076921</v>
      </c>
      <c r="AJ24" s="76">
        <f t="shared" si="25"/>
        <v>0.31923076923076921</v>
      </c>
      <c r="AK24" s="76">
        <f t="shared" si="25"/>
        <v>0.31923076923076921</v>
      </c>
      <c r="AL24" s="76">
        <f t="shared" si="25"/>
        <v>0.31923076923076921</v>
      </c>
      <c r="AM24" s="76">
        <f t="shared" si="25"/>
        <v>0.31923076923076921</v>
      </c>
      <c r="AN24" s="76">
        <f t="shared" si="25"/>
        <v>0.31923076923076921</v>
      </c>
      <c r="AO24" s="76">
        <f t="shared" si="25"/>
        <v>0</v>
      </c>
    </row>
    <row r="25" spans="1:41" x14ac:dyDescent="0.35">
      <c r="A25" s="67" t="s">
        <v>52</v>
      </c>
      <c r="B25" s="72" t="s">
        <v>64</v>
      </c>
      <c r="C25" s="73" t="s">
        <v>65</v>
      </c>
      <c r="D25" s="73" t="s">
        <v>66</v>
      </c>
      <c r="E25" s="75">
        <f t="shared" ref="E25:AO25" si="26">E13/E67</f>
        <v>0.498</v>
      </c>
      <c r="F25" s="75">
        <f t="shared" si="26"/>
        <v>0.498</v>
      </c>
      <c r="G25" s="75">
        <f t="shared" si="26"/>
        <v>0.498</v>
      </c>
      <c r="H25" s="75">
        <f t="shared" si="26"/>
        <v>0.498</v>
      </c>
      <c r="I25" s="75">
        <f t="shared" si="26"/>
        <v>0.498</v>
      </c>
      <c r="J25" s="75">
        <f t="shared" si="26"/>
        <v>0.498</v>
      </c>
      <c r="K25" s="75">
        <f t="shared" si="26"/>
        <v>0.498</v>
      </c>
      <c r="L25" s="75">
        <f t="shared" si="26"/>
        <v>0.498</v>
      </c>
      <c r="M25" s="75">
        <f t="shared" si="26"/>
        <v>0.498</v>
      </c>
      <c r="N25" s="75">
        <f t="shared" si="26"/>
        <v>0.498</v>
      </c>
      <c r="O25" s="75">
        <f t="shared" si="26"/>
        <v>0.498</v>
      </c>
      <c r="P25" s="75">
        <f t="shared" si="26"/>
        <v>0.498</v>
      </c>
      <c r="Q25" s="75">
        <f t="shared" si="26"/>
        <v>0.498</v>
      </c>
      <c r="R25" s="75">
        <f t="shared" si="26"/>
        <v>0.498</v>
      </c>
      <c r="S25" s="75">
        <f t="shared" si="26"/>
        <v>0.498</v>
      </c>
      <c r="T25" s="75">
        <f t="shared" si="26"/>
        <v>0.498</v>
      </c>
      <c r="U25" s="75">
        <f t="shared" si="26"/>
        <v>0.498</v>
      </c>
      <c r="V25" s="75">
        <f t="shared" si="26"/>
        <v>0.498</v>
      </c>
      <c r="W25" s="75">
        <f t="shared" si="26"/>
        <v>0.498</v>
      </c>
      <c r="X25" s="75">
        <f t="shared" si="26"/>
        <v>0.498</v>
      </c>
      <c r="Y25" s="75">
        <f t="shared" si="26"/>
        <v>0.498</v>
      </c>
      <c r="Z25" s="75">
        <f t="shared" si="26"/>
        <v>0.498</v>
      </c>
      <c r="AA25" s="75">
        <f t="shared" si="26"/>
        <v>0.498</v>
      </c>
      <c r="AB25" s="75">
        <f t="shared" si="26"/>
        <v>0.498</v>
      </c>
      <c r="AC25" s="75">
        <f t="shared" si="26"/>
        <v>0.498</v>
      </c>
      <c r="AD25" s="75">
        <f t="shared" si="26"/>
        <v>0.498</v>
      </c>
      <c r="AE25" s="75">
        <f t="shared" si="26"/>
        <v>0.498</v>
      </c>
      <c r="AF25" s="75">
        <f t="shared" si="26"/>
        <v>0.498</v>
      </c>
      <c r="AG25" s="75">
        <f t="shared" si="26"/>
        <v>0.498</v>
      </c>
      <c r="AH25" s="75">
        <f t="shared" si="26"/>
        <v>0.498</v>
      </c>
      <c r="AI25" s="75">
        <f t="shared" si="26"/>
        <v>0.498</v>
      </c>
      <c r="AJ25" s="75">
        <f t="shared" si="26"/>
        <v>0.498</v>
      </c>
      <c r="AK25" s="75">
        <f t="shared" si="26"/>
        <v>0.498</v>
      </c>
      <c r="AL25" s="75">
        <f t="shared" si="26"/>
        <v>0.498</v>
      </c>
      <c r="AM25" s="75">
        <f t="shared" si="26"/>
        <v>0.498</v>
      </c>
      <c r="AN25" s="75">
        <f t="shared" si="26"/>
        <v>0.498</v>
      </c>
      <c r="AO25" s="75">
        <f t="shared" si="26"/>
        <v>0.498</v>
      </c>
    </row>
    <row r="26" spans="1:41" x14ac:dyDescent="0.35">
      <c r="A26" s="67" t="s">
        <v>52</v>
      </c>
      <c r="B26" s="68" t="s">
        <v>10</v>
      </c>
      <c r="C26" s="75" t="s">
        <v>51</v>
      </c>
      <c r="D26" s="75" t="s">
        <v>67</v>
      </c>
      <c r="E26" s="75">
        <v>8.2000000000000003E-2</v>
      </c>
      <c r="F26" s="75">
        <v>8.2000000000000003E-2</v>
      </c>
      <c r="G26" s="75">
        <v>8.2000000000000003E-2</v>
      </c>
      <c r="H26" s="75">
        <v>8.2000000000000003E-2</v>
      </c>
      <c r="I26" s="75">
        <v>8.2000000000000003E-2</v>
      </c>
      <c r="J26" s="75">
        <v>8.2000000000000003E-2</v>
      </c>
      <c r="K26" s="75">
        <v>8.2000000000000003E-2</v>
      </c>
      <c r="L26" s="75">
        <v>8.2000000000000003E-2</v>
      </c>
      <c r="M26" s="75">
        <v>8.2000000000000003E-2</v>
      </c>
      <c r="N26" s="75">
        <v>8.2000000000000003E-2</v>
      </c>
      <c r="O26" s="75">
        <v>8.2000000000000003E-2</v>
      </c>
      <c r="P26" s="75">
        <v>8.2000000000000003E-2</v>
      </c>
      <c r="Q26" s="75">
        <v>8.2000000000000003E-2</v>
      </c>
      <c r="R26" s="75">
        <v>8.2000000000000003E-2</v>
      </c>
      <c r="S26" s="75">
        <v>8.2000000000000003E-2</v>
      </c>
      <c r="T26" s="75">
        <v>8.2000000000000003E-2</v>
      </c>
      <c r="U26" s="75">
        <v>8.2000000000000003E-2</v>
      </c>
      <c r="V26" s="75">
        <v>8.2000000000000003E-2</v>
      </c>
      <c r="W26" s="75">
        <v>8.2000000000000003E-2</v>
      </c>
      <c r="X26" s="75">
        <v>8.2000000000000003E-2</v>
      </c>
      <c r="Y26" s="75">
        <v>8.2000000000000003E-2</v>
      </c>
      <c r="Z26" s="75">
        <v>8.2000000000000003E-2</v>
      </c>
      <c r="AA26" s="75">
        <v>8.2000000000000003E-2</v>
      </c>
      <c r="AB26" s="75">
        <v>8.2000000000000003E-2</v>
      </c>
      <c r="AC26" s="75">
        <v>8.2000000000000003E-2</v>
      </c>
      <c r="AD26" s="75">
        <v>8.2000000000000003E-2</v>
      </c>
      <c r="AE26" s="75">
        <v>8.2000000000000003E-2</v>
      </c>
      <c r="AF26" s="75">
        <f t="shared" ref="AF26:AO26" si="27">AE26</f>
        <v>8.2000000000000003E-2</v>
      </c>
      <c r="AG26" s="75">
        <f t="shared" si="27"/>
        <v>8.2000000000000003E-2</v>
      </c>
      <c r="AH26" s="75">
        <f t="shared" si="27"/>
        <v>8.2000000000000003E-2</v>
      </c>
      <c r="AI26" s="75">
        <f t="shared" si="27"/>
        <v>8.2000000000000003E-2</v>
      </c>
      <c r="AJ26" s="75">
        <f t="shared" si="27"/>
        <v>8.2000000000000003E-2</v>
      </c>
      <c r="AK26" s="75">
        <f t="shared" si="27"/>
        <v>8.2000000000000003E-2</v>
      </c>
      <c r="AL26" s="75">
        <f t="shared" si="27"/>
        <v>8.2000000000000003E-2</v>
      </c>
      <c r="AM26" s="75">
        <f t="shared" si="27"/>
        <v>8.2000000000000003E-2</v>
      </c>
      <c r="AN26" s="75">
        <f t="shared" si="27"/>
        <v>8.2000000000000003E-2</v>
      </c>
      <c r="AO26" s="75">
        <f t="shared" si="27"/>
        <v>8.2000000000000003E-2</v>
      </c>
    </row>
    <row r="27" spans="1:41" x14ac:dyDescent="0.35">
      <c r="A27" s="67" t="s">
        <v>52</v>
      </c>
      <c r="B27" s="72" t="s">
        <v>8</v>
      </c>
      <c r="C27" s="73" t="s">
        <v>51</v>
      </c>
      <c r="D27" s="73" t="s">
        <v>67</v>
      </c>
      <c r="E27" s="73">
        <v>8.2000000000000003E-2</v>
      </c>
      <c r="F27" s="73">
        <v>8.2000000000000003E-2</v>
      </c>
      <c r="G27" s="73">
        <v>8.2000000000000003E-2</v>
      </c>
      <c r="H27" s="73">
        <v>8.2000000000000003E-2</v>
      </c>
      <c r="I27" s="73">
        <v>8.2000000000000003E-2</v>
      </c>
      <c r="J27" s="73">
        <v>8.2000000000000003E-2</v>
      </c>
      <c r="K27" s="73">
        <v>8.2000000000000003E-2</v>
      </c>
      <c r="L27" s="73">
        <v>8.2000000000000003E-2</v>
      </c>
      <c r="M27" s="73">
        <v>8.2000000000000003E-2</v>
      </c>
      <c r="N27" s="73">
        <v>8.2000000000000003E-2</v>
      </c>
      <c r="O27" s="73">
        <v>8.2000000000000003E-2</v>
      </c>
      <c r="P27" s="73">
        <v>8.2000000000000003E-2</v>
      </c>
      <c r="Q27" s="73">
        <v>8.2000000000000003E-2</v>
      </c>
      <c r="R27" s="73">
        <v>8.2000000000000003E-2</v>
      </c>
      <c r="S27" s="73">
        <v>8.2000000000000003E-2</v>
      </c>
      <c r="T27" s="73">
        <v>8.2000000000000003E-2</v>
      </c>
      <c r="U27" s="73">
        <v>8.2000000000000003E-2</v>
      </c>
      <c r="V27" s="73">
        <v>8.2000000000000003E-2</v>
      </c>
      <c r="W27" s="73">
        <v>8.2000000000000003E-2</v>
      </c>
      <c r="X27" s="73">
        <v>8.2000000000000003E-2</v>
      </c>
      <c r="Y27" s="73">
        <v>8.2000000000000003E-2</v>
      </c>
      <c r="Z27" s="73">
        <v>8.2000000000000003E-2</v>
      </c>
      <c r="AA27" s="73">
        <v>8.2000000000000003E-2</v>
      </c>
      <c r="AB27" s="73">
        <v>8.2000000000000003E-2</v>
      </c>
      <c r="AC27" s="73">
        <v>8.2000000000000003E-2</v>
      </c>
      <c r="AD27" s="73">
        <v>8.2000000000000003E-2</v>
      </c>
      <c r="AE27" s="73">
        <v>8.2000000000000003E-2</v>
      </c>
      <c r="AF27" s="75">
        <f t="shared" ref="AF27:AO27" si="28">AE27</f>
        <v>8.2000000000000003E-2</v>
      </c>
      <c r="AG27" s="75">
        <f t="shared" si="28"/>
        <v>8.2000000000000003E-2</v>
      </c>
      <c r="AH27" s="75">
        <f t="shared" si="28"/>
        <v>8.2000000000000003E-2</v>
      </c>
      <c r="AI27" s="75">
        <f t="shared" si="28"/>
        <v>8.2000000000000003E-2</v>
      </c>
      <c r="AJ27" s="75">
        <f t="shared" si="28"/>
        <v>8.2000000000000003E-2</v>
      </c>
      <c r="AK27" s="75">
        <f t="shared" si="28"/>
        <v>8.2000000000000003E-2</v>
      </c>
      <c r="AL27" s="75">
        <f t="shared" si="28"/>
        <v>8.2000000000000003E-2</v>
      </c>
      <c r="AM27" s="75">
        <f t="shared" si="28"/>
        <v>8.2000000000000003E-2</v>
      </c>
      <c r="AN27" s="75">
        <f t="shared" si="28"/>
        <v>8.2000000000000003E-2</v>
      </c>
      <c r="AO27" s="75">
        <f t="shared" si="28"/>
        <v>8.2000000000000003E-2</v>
      </c>
    </row>
    <row r="28" spans="1:41" x14ac:dyDescent="0.35">
      <c r="A28" s="67" t="s">
        <v>52</v>
      </c>
      <c r="B28" s="68" t="s">
        <v>11</v>
      </c>
      <c r="C28" s="75" t="s">
        <v>51</v>
      </c>
      <c r="D28" s="75" t="s">
        <v>67</v>
      </c>
      <c r="E28" s="75">
        <v>8.2000000000000003E-2</v>
      </c>
      <c r="F28" s="75">
        <v>8.2000000000000003E-2</v>
      </c>
      <c r="G28" s="75">
        <v>8.2000000000000003E-2</v>
      </c>
      <c r="H28" s="75">
        <v>8.2000000000000003E-2</v>
      </c>
      <c r="I28" s="75">
        <v>8.2000000000000003E-2</v>
      </c>
      <c r="J28" s="75">
        <v>8.2000000000000003E-2</v>
      </c>
      <c r="K28" s="75">
        <v>8.2000000000000003E-2</v>
      </c>
      <c r="L28" s="75">
        <v>8.2000000000000003E-2</v>
      </c>
      <c r="M28" s="75">
        <v>8.2000000000000003E-2</v>
      </c>
      <c r="N28" s="75">
        <v>8.2000000000000003E-2</v>
      </c>
      <c r="O28" s="75">
        <v>8.2000000000000003E-2</v>
      </c>
      <c r="P28" s="75">
        <v>8.2000000000000003E-2</v>
      </c>
      <c r="Q28" s="75">
        <v>8.2000000000000003E-2</v>
      </c>
      <c r="R28" s="75">
        <v>8.2000000000000003E-2</v>
      </c>
      <c r="S28" s="75">
        <v>8.2000000000000003E-2</v>
      </c>
      <c r="T28" s="75">
        <v>8.2000000000000003E-2</v>
      </c>
      <c r="U28" s="75">
        <v>8.2000000000000003E-2</v>
      </c>
      <c r="V28" s="75">
        <v>8.2000000000000003E-2</v>
      </c>
      <c r="W28" s="75">
        <v>8.2000000000000003E-2</v>
      </c>
      <c r="X28" s="75">
        <v>8.2000000000000003E-2</v>
      </c>
      <c r="Y28" s="75">
        <v>8.2000000000000003E-2</v>
      </c>
      <c r="Z28" s="75">
        <v>8.2000000000000003E-2</v>
      </c>
      <c r="AA28" s="75">
        <v>8.2000000000000003E-2</v>
      </c>
      <c r="AB28" s="75">
        <v>8.2000000000000003E-2</v>
      </c>
      <c r="AC28" s="75">
        <v>8.2000000000000003E-2</v>
      </c>
      <c r="AD28" s="75">
        <v>8.2000000000000003E-2</v>
      </c>
      <c r="AE28" s="75">
        <v>8.2000000000000003E-2</v>
      </c>
      <c r="AF28" s="75">
        <f t="shared" ref="AF28:AO28" si="29">AE28</f>
        <v>8.2000000000000003E-2</v>
      </c>
      <c r="AG28" s="75">
        <f t="shared" si="29"/>
        <v>8.2000000000000003E-2</v>
      </c>
      <c r="AH28" s="75">
        <f t="shared" si="29"/>
        <v>8.2000000000000003E-2</v>
      </c>
      <c r="AI28" s="75">
        <f t="shared" si="29"/>
        <v>8.2000000000000003E-2</v>
      </c>
      <c r="AJ28" s="75">
        <f t="shared" si="29"/>
        <v>8.2000000000000003E-2</v>
      </c>
      <c r="AK28" s="75">
        <f t="shared" si="29"/>
        <v>8.2000000000000003E-2</v>
      </c>
      <c r="AL28" s="75">
        <f t="shared" si="29"/>
        <v>8.2000000000000003E-2</v>
      </c>
      <c r="AM28" s="75">
        <f t="shared" si="29"/>
        <v>8.2000000000000003E-2</v>
      </c>
      <c r="AN28" s="75">
        <f t="shared" si="29"/>
        <v>8.2000000000000003E-2</v>
      </c>
      <c r="AO28" s="75">
        <f t="shared" si="29"/>
        <v>8.2000000000000003E-2</v>
      </c>
    </row>
    <row r="29" spans="1:41" x14ac:dyDescent="0.35">
      <c r="A29" s="67" t="s">
        <v>52</v>
      </c>
      <c r="B29" s="72" t="s">
        <v>13</v>
      </c>
      <c r="C29" s="73" t="s">
        <v>51</v>
      </c>
      <c r="D29" s="73" t="s">
        <v>67</v>
      </c>
      <c r="E29" s="73">
        <v>8.2000000000000003E-2</v>
      </c>
      <c r="F29" s="73">
        <v>8.2000000000000003E-2</v>
      </c>
      <c r="G29" s="73">
        <v>8.2000000000000003E-2</v>
      </c>
      <c r="H29" s="73">
        <v>8.2000000000000003E-2</v>
      </c>
      <c r="I29" s="73">
        <v>8.2000000000000003E-2</v>
      </c>
      <c r="J29" s="73">
        <v>8.2000000000000003E-2</v>
      </c>
      <c r="K29" s="73">
        <v>8.2000000000000003E-2</v>
      </c>
      <c r="L29" s="73">
        <v>8.2000000000000003E-2</v>
      </c>
      <c r="M29" s="73">
        <v>8.2000000000000003E-2</v>
      </c>
      <c r="N29" s="73">
        <v>8.2000000000000003E-2</v>
      </c>
      <c r="O29" s="73">
        <v>8.2000000000000003E-2</v>
      </c>
      <c r="P29" s="73">
        <v>8.2000000000000003E-2</v>
      </c>
      <c r="Q29" s="73">
        <v>8.2000000000000003E-2</v>
      </c>
      <c r="R29" s="73">
        <v>8.2000000000000003E-2</v>
      </c>
      <c r="S29" s="73">
        <v>8.2000000000000003E-2</v>
      </c>
      <c r="T29" s="73">
        <v>8.2000000000000003E-2</v>
      </c>
      <c r="U29" s="73">
        <v>8.2000000000000003E-2</v>
      </c>
      <c r="V29" s="73">
        <v>8.2000000000000003E-2</v>
      </c>
      <c r="W29" s="73">
        <v>8.2000000000000003E-2</v>
      </c>
      <c r="X29" s="73">
        <v>8.2000000000000003E-2</v>
      </c>
      <c r="Y29" s="73">
        <v>8.2000000000000003E-2</v>
      </c>
      <c r="Z29" s="73">
        <v>8.2000000000000003E-2</v>
      </c>
      <c r="AA29" s="73">
        <v>8.2000000000000003E-2</v>
      </c>
      <c r="AB29" s="73">
        <v>8.2000000000000003E-2</v>
      </c>
      <c r="AC29" s="73">
        <v>8.2000000000000003E-2</v>
      </c>
      <c r="AD29" s="73">
        <v>8.2000000000000003E-2</v>
      </c>
      <c r="AE29" s="73">
        <v>8.2000000000000003E-2</v>
      </c>
      <c r="AF29" s="75">
        <f t="shared" ref="AF29:AO29" si="30">AE29</f>
        <v>8.2000000000000003E-2</v>
      </c>
      <c r="AG29" s="75">
        <f t="shared" si="30"/>
        <v>8.2000000000000003E-2</v>
      </c>
      <c r="AH29" s="75">
        <f t="shared" si="30"/>
        <v>8.2000000000000003E-2</v>
      </c>
      <c r="AI29" s="75">
        <f t="shared" si="30"/>
        <v>8.2000000000000003E-2</v>
      </c>
      <c r="AJ29" s="75">
        <f t="shared" si="30"/>
        <v>8.2000000000000003E-2</v>
      </c>
      <c r="AK29" s="75">
        <f t="shared" si="30"/>
        <v>8.2000000000000003E-2</v>
      </c>
      <c r="AL29" s="75">
        <f t="shared" si="30"/>
        <v>8.2000000000000003E-2</v>
      </c>
      <c r="AM29" s="75">
        <f t="shared" si="30"/>
        <v>8.2000000000000003E-2</v>
      </c>
      <c r="AN29" s="75">
        <f t="shared" si="30"/>
        <v>8.2000000000000003E-2</v>
      </c>
      <c r="AO29" s="75">
        <f t="shared" si="30"/>
        <v>8.2000000000000003E-2</v>
      </c>
    </row>
    <row r="30" spans="1:41" x14ac:dyDescent="0.35">
      <c r="A30" s="67" t="s">
        <v>52</v>
      </c>
      <c r="B30" s="68" t="s">
        <v>14</v>
      </c>
      <c r="C30" s="75" t="s">
        <v>51</v>
      </c>
      <c r="D30" s="75" t="s">
        <v>67</v>
      </c>
      <c r="E30" s="75">
        <v>8.2000000000000003E-2</v>
      </c>
      <c r="F30" s="75">
        <v>8.2000000000000003E-2</v>
      </c>
      <c r="G30" s="75">
        <v>8.2000000000000003E-2</v>
      </c>
      <c r="H30" s="75">
        <v>8.2000000000000003E-2</v>
      </c>
      <c r="I30" s="75">
        <v>8.2000000000000003E-2</v>
      </c>
      <c r="J30" s="75">
        <v>8.2000000000000003E-2</v>
      </c>
      <c r="K30" s="75">
        <v>8.2000000000000003E-2</v>
      </c>
      <c r="L30" s="75">
        <v>8.2000000000000003E-2</v>
      </c>
      <c r="M30" s="75">
        <v>8.2000000000000003E-2</v>
      </c>
      <c r="N30" s="75">
        <v>8.2000000000000003E-2</v>
      </c>
      <c r="O30" s="75">
        <v>8.2000000000000003E-2</v>
      </c>
      <c r="P30" s="75">
        <v>8.2000000000000003E-2</v>
      </c>
      <c r="Q30" s="75">
        <v>8.2000000000000003E-2</v>
      </c>
      <c r="R30" s="75">
        <v>8.2000000000000003E-2</v>
      </c>
      <c r="S30" s="75">
        <v>8.2000000000000003E-2</v>
      </c>
      <c r="T30" s="75">
        <v>8.2000000000000003E-2</v>
      </c>
      <c r="U30" s="75">
        <v>8.2000000000000003E-2</v>
      </c>
      <c r="V30" s="75">
        <v>8.2000000000000003E-2</v>
      </c>
      <c r="W30" s="75">
        <v>8.2000000000000003E-2</v>
      </c>
      <c r="X30" s="75">
        <v>8.2000000000000003E-2</v>
      </c>
      <c r="Y30" s="75">
        <v>8.2000000000000003E-2</v>
      </c>
      <c r="Z30" s="75">
        <v>8.2000000000000003E-2</v>
      </c>
      <c r="AA30" s="75">
        <v>8.2000000000000003E-2</v>
      </c>
      <c r="AB30" s="75">
        <v>8.2000000000000003E-2</v>
      </c>
      <c r="AC30" s="75">
        <v>8.2000000000000003E-2</v>
      </c>
      <c r="AD30" s="75">
        <v>8.2000000000000003E-2</v>
      </c>
      <c r="AE30" s="75">
        <v>8.2000000000000003E-2</v>
      </c>
      <c r="AF30" s="75">
        <f t="shared" ref="AF30:AO30" si="31">AE30</f>
        <v>8.2000000000000003E-2</v>
      </c>
      <c r="AG30" s="75">
        <f t="shared" si="31"/>
        <v>8.2000000000000003E-2</v>
      </c>
      <c r="AH30" s="75">
        <f t="shared" si="31"/>
        <v>8.2000000000000003E-2</v>
      </c>
      <c r="AI30" s="75">
        <f t="shared" si="31"/>
        <v>8.2000000000000003E-2</v>
      </c>
      <c r="AJ30" s="75">
        <f t="shared" si="31"/>
        <v>8.2000000000000003E-2</v>
      </c>
      <c r="AK30" s="75">
        <f t="shared" si="31"/>
        <v>8.2000000000000003E-2</v>
      </c>
      <c r="AL30" s="75">
        <f t="shared" si="31"/>
        <v>8.2000000000000003E-2</v>
      </c>
      <c r="AM30" s="75">
        <f t="shared" si="31"/>
        <v>8.2000000000000003E-2</v>
      </c>
      <c r="AN30" s="75">
        <f t="shared" si="31"/>
        <v>8.2000000000000003E-2</v>
      </c>
      <c r="AO30" s="75">
        <f t="shared" si="31"/>
        <v>8.2000000000000003E-2</v>
      </c>
    </row>
    <row r="31" spans="1:41" x14ac:dyDescent="0.35">
      <c r="A31" s="67" t="s">
        <v>52</v>
      </c>
      <c r="B31" s="72" t="s">
        <v>54</v>
      </c>
      <c r="C31" s="73" t="s">
        <v>39</v>
      </c>
      <c r="D31" s="73" t="s">
        <v>68</v>
      </c>
      <c r="E31" s="73">
        <v>14.132</v>
      </c>
      <c r="F31" s="73">
        <v>14.132</v>
      </c>
      <c r="G31" s="73">
        <v>14.132</v>
      </c>
      <c r="H31" s="73">
        <v>14.132</v>
      </c>
      <c r="I31" s="73">
        <v>14.132</v>
      </c>
      <c r="J31" s="73">
        <v>14.132</v>
      </c>
      <c r="K31" s="73">
        <v>14.132</v>
      </c>
      <c r="L31" s="73">
        <v>14.132</v>
      </c>
      <c r="M31" s="73">
        <v>14.132</v>
      </c>
      <c r="N31" s="73">
        <v>14.132</v>
      </c>
      <c r="O31" s="73">
        <v>14.132</v>
      </c>
      <c r="P31" s="73">
        <v>14.132</v>
      </c>
      <c r="Q31" s="73">
        <v>14.132</v>
      </c>
      <c r="R31" s="73">
        <v>14.132</v>
      </c>
      <c r="S31" s="73">
        <v>14.132</v>
      </c>
      <c r="T31" s="73">
        <v>14.132</v>
      </c>
      <c r="U31" s="73">
        <v>14.132</v>
      </c>
      <c r="V31" s="73">
        <v>14.132</v>
      </c>
      <c r="W31" s="73">
        <v>14.132</v>
      </c>
      <c r="X31" s="73">
        <v>14.132</v>
      </c>
      <c r="Y31" s="73">
        <v>14.132</v>
      </c>
      <c r="Z31" s="73">
        <v>14.132</v>
      </c>
      <c r="AA31" s="73">
        <v>14.132</v>
      </c>
      <c r="AB31" s="73">
        <v>14.132</v>
      </c>
      <c r="AC31" s="73">
        <v>14.132</v>
      </c>
      <c r="AD31" s="73">
        <v>14.132</v>
      </c>
      <c r="AE31" s="73">
        <v>14.132</v>
      </c>
      <c r="AF31" s="75">
        <f t="shared" ref="AF31:AO31" si="32">AE31</f>
        <v>14.132</v>
      </c>
      <c r="AG31" s="75">
        <f t="shared" si="32"/>
        <v>14.132</v>
      </c>
      <c r="AH31" s="75">
        <f t="shared" si="32"/>
        <v>14.132</v>
      </c>
      <c r="AI31" s="75">
        <f t="shared" si="32"/>
        <v>14.132</v>
      </c>
      <c r="AJ31" s="75">
        <f t="shared" si="32"/>
        <v>14.132</v>
      </c>
      <c r="AK31" s="75">
        <f t="shared" si="32"/>
        <v>14.132</v>
      </c>
      <c r="AL31" s="75">
        <f t="shared" si="32"/>
        <v>14.132</v>
      </c>
      <c r="AM31" s="75">
        <f t="shared" si="32"/>
        <v>14.132</v>
      </c>
      <c r="AN31" s="75">
        <f t="shared" si="32"/>
        <v>14.132</v>
      </c>
      <c r="AO31" s="75">
        <f t="shared" si="32"/>
        <v>14.132</v>
      </c>
    </row>
    <row r="32" spans="1:41" x14ac:dyDescent="0.35">
      <c r="A32" s="67" t="s">
        <v>52</v>
      </c>
      <c r="B32" s="68" t="s">
        <v>55</v>
      </c>
      <c r="C32" s="75" t="s">
        <v>39</v>
      </c>
      <c r="D32" s="75" t="s">
        <v>68</v>
      </c>
      <c r="E32" s="75">
        <v>12.302</v>
      </c>
      <c r="F32" s="75">
        <v>12.302</v>
      </c>
      <c r="G32" s="75">
        <v>12.302</v>
      </c>
      <c r="H32" s="75">
        <v>12.302</v>
      </c>
      <c r="I32" s="75">
        <v>12.302</v>
      </c>
      <c r="J32" s="75">
        <v>12.302</v>
      </c>
      <c r="K32" s="75">
        <v>12.302</v>
      </c>
      <c r="L32" s="75">
        <v>12.302</v>
      </c>
      <c r="M32" s="75">
        <v>12.302</v>
      </c>
      <c r="N32" s="75">
        <v>12.302</v>
      </c>
      <c r="O32" s="75">
        <v>12.302</v>
      </c>
      <c r="P32" s="75">
        <v>12.302</v>
      </c>
      <c r="Q32" s="75">
        <v>12.302</v>
      </c>
      <c r="R32" s="75">
        <v>12.302</v>
      </c>
      <c r="S32" s="75">
        <v>12.302</v>
      </c>
      <c r="T32" s="75">
        <v>12.302</v>
      </c>
      <c r="U32" s="75">
        <v>12.302</v>
      </c>
      <c r="V32" s="75">
        <v>12.302</v>
      </c>
      <c r="W32" s="75">
        <v>12.302</v>
      </c>
      <c r="X32" s="75">
        <v>12.302</v>
      </c>
      <c r="Y32" s="75">
        <v>12.302</v>
      </c>
      <c r="Z32" s="75">
        <v>12.302</v>
      </c>
      <c r="AA32" s="75">
        <v>12.302</v>
      </c>
      <c r="AB32" s="75">
        <v>12.302</v>
      </c>
      <c r="AC32" s="75">
        <v>12.302</v>
      </c>
      <c r="AD32" s="75">
        <v>12.302</v>
      </c>
      <c r="AE32" s="75">
        <v>12.302</v>
      </c>
      <c r="AF32" s="75">
        <f t="shared" ref="AF32:AO32" si="33">AE32</f>
        <v>12.302</v>
      </c>
      <c r="AG32" s="75">
        <f t="shared" si="33"/>
        <v>12.302</v>
      </c>
      <c r="AH32" s="75">
        <f t="shared" si="33"/>
        <v>12.302</v>
      </c>
      <c r="AI32" s="75">
        <f t="shared" si="33"/>
        <v>12.302</v>
      </c>
      <c r="AJ32" s="75">
        <f t="shared" si="33"/>
        <v>12.302</v>
      </c>
      <c r="AK32" s="75">
        <f t="shared" si="33"/>
        <v>12.302</v>
      </c>
      <c r="AL32" s="75">
        <f t="shared" si="33"/>
        <v>12.302</v>
      </c>
      <c r="AM32" s="75">
        <f t="shared" si="33"/>
        <v>12.302</v>
      </c>
      <c r="AN32" s="75">
        <f t="shared" si="33"/>
        <v>12.302</v>
      </c>
      <c r="AO32" s="75">
        <f t="shared" si="33"/>
        <v>12.302</v>
      </c>
    </row>
    <row r="33" spans="1:41" x14ac:dyDescent="0.35">
      <c r="A33" s="67" t="s">
        <v>52</v>
      </c>
      <c r="B33" s="72" t="s">
        <v>56</v>
      </c>
      <c r="C33" s="73" t="s">
        <v>39</v>
      </c>
      <c r="D33" s="73" t="s">
        <v>68</v>
      </c>
      <c r="E33" s="73">
        <v>11.999000000000001</v>
      </c>
      <c r="F33" s="73">
        <v>11.999000000000001</v>
      </c>
      <c r="G33" s="73">
        <v>11.999000000000001</v>
      </c>
      <c r="H33" s="73">
        <v>11.999000000000001</v>
      </c>
      <c r="I33" s="73">
        <v>11.999000000000001</v>
      </c>
      <c r="J33" s="73">
        <v>11.999000000000001</v>
      </c>
      <c r="K33" s="73">
        <v>11.999000000000001</v>
      </c>
      <c r="L33" s="73">
        <v>11.999000000000001</v>
      </c>
      <c r="M33" s="73">
        <v>11.999000000000001</v>
      </c>
      <c r="N33" s="73">
        <v>11.999000000000001</v>
      </c>
      <c r="O33" s="73">
        <v>11.999000000000001</v>
      </c>
      <c r="P33" s="73">
        <v>11.999000000000001</v>
      </c>
      <c r="Q33" s="73">
        <v>11.999000000000001</v>
      </c>
      <c r="R33" s="73">
        <v>11.999000000000001</v>
      </c>
      <c r="S33" s="73">
        <v>11.999000000000001</v>
      </c>
      <c r="T33" s="73">
        <v>11.999000000000001</v>
      </c>
      <c r="U33" s="73">
        <v>11.999000000000001</v>
      </c>
      <c r="V33" s="73">
        <v>11.999000000000001</v>
      </c>
      <c r="W33" s="73">
        <v>11.999000000000001</v>
      </c>
      <c r="X33" s="73">
        <v>11.999000000000001</v>
      </c>
      <c r="Y33" s="73">
        <v>11.999000000000001</v>
      </c>
      <c r="Z33" s="73">
        <v>11.999000000000001</v>
      </c>
      <c r="AA33" s="73">
        <v>11.999000000000001</v>
      </c>
      <c r="AB33" s="73">
        <v>11.999000000000001</v>
      </c>
      <c r="AC33" s="73">
        <v>11.999000000000001</v>
      </c>
      <c r="AD33" s="73">
        <v>11.999000000000001</v>
      </c>
      <c r="AE33" s="73">
        <v>11.999000000000001</v>
      </c>
      <c r="AF33" s="75">
        <f t="shared" ref="AF33:AO33" si="34">AE33</f>
        <v>11.999000000000001</v>
      </c>
      <c r="AG33" s="75">
        <f t="shared" si="34"/>
        <v>11.999000000000001</v>
      </c>
      <c r="AH33" s="75">
        <f t="shared" si="34"/>
        <v>11.999000000000001</v>
      </c>
      <c r="AI33" s="75">
        <f t="shared" si="34"/>
        <v>11.999000000000001</v>
      </c>
      <c r="AJ33" s="75">
        <f t="shared" si="34"/>
        <v>11.999000000000001</v>
      </c>
      <c r="AK33" s="75">
        <f t="shared" si="34"/>
        <v>11.999000000000001</v>
      </c>
      <c r="AL33" s="75">
        <f t="shared" si="34"/>
        <v>11.999000000000001</v>
      </c>
      <c r="AM33" s="75">
        <f t="shared" si="34"/>
        <v>11.999000000000001</v>
      </c>
      <c r="AN33" s="75">
        <f t="shared" si="34"/>
        <v>11.999000000000001</v>
      </c>
      <c r="AO33" s="75">
        <f t="shared" si="34"/>
        <v>11.999000000000001</v>
      </c>
    </row>
    <row r="34" spans="1:41" x14ac:dyDescent="0.35">
      <c r="A34" s="67" t="s">
        <v>52</v>
      </c>
      <c r="B34" s="68" t="s">
        <v>57</v>
      </c>
      <c r="C34" s="75" t="s">
        <v>39</v>
      </c>
      <c r="D34" s="75" t="s">
        <v>68</v>
      </c>
      <c r="E34" s="75">
        <v>18.991</v>
      </c>
      <c r="F34" s="75">
        <v>18.991</v>
      </c>
      <c r="G34" s="75">
        <v>18.991</v>
      </c>
      <c r="H34" s="75">
        <v>18.991</v>
      </c>
      <c r="I34" s="75">
        <v>18.991</v>
      </c>
      <c r="J34" s="75">
        <v>18.991</v>
      </c>
      <c r="K34" s="75">
        <v>18.991</v>
      </c>
      <c r="L34" s="75">
        <v>18.991</v>
      </c>
      <c r="M34" s="75">
        <v>18.991</v>
      </c>
      <c r="N34" s="75">
        <v>18.991</v>
      </c>
      <c r="O34" s="75">
        <v>18.991</v>
      </c>
      <c r="P34" s="75">
        <v>18.991</v>
      </c>
      <c r="Q34" s="75">
        <v>18.991</v>
      </c>
      <c r="R34" s="75">
        <v>18.991</v>
      </c>
      <c r="S34" s="75">
        <v>18.991</v>
      </c>
      <c r="T34" s="75">
        <v>18.991</v>
      </c>
      <c r="U34" s="75">
        <v>18.991</v>
      </c>
      <c r="V34" s="75">
        <v>18.991</v>
      </c>
      <c r="W34" s="75">
        <v>18.991</v>
      </c>
      <c r="X34" s="75">
        <v>18.991</v>
      </c>
      <c r="Y34" s="75">
        <v>18.991</v>
      </c>
      <c r="Z34" s="75">
        <v>18.991</v>
      </c>
      <c r="AA34" s="75">
        <v>18.991</v>
      </c>
      <c r="AB34" s="75">
        <v>18.991</v>
      </c>
      <c r="AC34" s="75">
        <v>18.991</v>
      </c>
      <c r="AD34" s="75">
        <v>18.991</v>
      </c>
      <c r="AE34" s="75">
        <v>18.991</v>
      </c>
      <c r="AF34" s="75">
        <f t="shared" ref="AF34:AO34" si="35">AE34</f>
        <v>18.991</v>
      </c>
      <c r="AG34" s="75">
        <f t="shared" si="35"/>
        <v>18.991</v>
      </c>
      <c r="AH34" s="75">
        <f t="shared" si="35"/>
        <v>18.991</v>
      </c>
      <c r="AI34" s="75">
        <f t="shared" si="35"/>
        <v>18.991</v>
      </c>
      <c r="AJ34" s="75">
        <f t="shared" si="35"/>
        <v>18.991</v>
      </c>
      <c r="AK34" s="75">
        <f t="shared" si="35"/>
        <v>18.991</v>
      </c>
      <c r="AL34" s="75">
        <f t="shared" si="35"/>
        <v>18.991</v>
      </c>
      <c r="AM34" s="75">
        <f t="shared" si="35"/>
        <v>18.991</v>
      </c>
      <c r="AN34" s="75">
        <f t="shared" si="35"/>
        <v>18.991</v>
      </c>
      <c r="AO34" s="75">
        <f t="shared" si="35"/>
        <v>18.991</v>
      </c>
    </row>
    <row r="35" spans="1:41" x14ac:dyDescent="0.35">
      <c r="A35" s="67" t="s">
        <v>52</v>
      </c>
      <c r="B35" s="72" t="s">
        <v>15</v>
      </c>
      <c r="C35" s="73" t="s">
        <v>39</v>
      </c>
      <c r="D35" s="73" t="s">
        <v>68</v>
      </c>
      <c r="E35" s="73">
        <v>0</v>
      </c>
      <c r="F35" s="73">
        <v>0</v>
      </c>
      <c r="G35" s="73">
        <v>0</v>
      </c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3">
        <v>0</v>
      </c>
      <c r="AA35" s="73">
        <v>0</v>
      </c>
      <c r="AB35" s="73">
        <v>0</v>
      </c>
      <c r="AC35" s="73">
        <v>0</v>
      </c>
      <c r="AD35" s="73">
        <v>0</v>
      </c>
      <c r="AE35" s="73">
        <v>0</v>
      </c>
      <c r="AF35" s="75">
        <f t="shared" ref="AF35:AO35" si="36">AE35</f>
        <v>0</v>
      </c>
      <c r="AG35" s="75">
        <f t="shared" si="36"/>
        <v>0</v>
      </c>
      <c r="AH35" s="75">
        <f t="shared" si="36"/>
        <v>0</v>
      </c>
      <c r="AI35" s="75">
        <f t="shared" si="36"/>
        <v>0</v>
      </c>
      <c r="AJ35" s="75">
        <f t="shared" si="36"/>
        <v>0</v>
      </c>
      <c r="AK35" s="75">
        <f t="shared" si="36"/>
        <v>0</v>
      </c>
      <c r="AL35" s="75">
        <f t="shared" si="36"/>
        <v>0</v>
      </c>
      <c r="AM35" s="75">
        <f t="shared" si="36"/>
        <v>0</v>
      </c>
      <c r="AN35" s="75">
        <f t="shared" si="36"/>
        <v>0</v>
      </c>
      <c r="AO35" s="75">
        <f t="shared" si="36"/>
        <v>0</v>
      </c>
    </row>
    <row r="36" spans="1:41" x14ac:dyDescent="0.35">
      <c r="A36" s="67" t="s">
        <v>52</v>
      </c>
      <c r="B36" s="68" t="s">
        <v>25</v>
      </c>
      <c r="C36" s="75" t="s">
        <v>39</v>
      </c>
      <c r="D36" s="75" t="s">
        <v>68</v>
      </c>
      <c r="E36" s="75">
        <v>9.7759999999999998</v>
      </c>
      <c r="F36" s="75">
        <v>9.7759999999999998</v>
      </c>
      <c r="G36" s="75">
        <v>9.7759999999999998</v>
      </c>
      <c r="H36" s="75">
        <v>9.7759999999999998</v>
      </c>
      <c r="I36" s="75">
        <v>9.7759999999999998</v>
      </c>
      <c r="J36" s="75">
        <v>9.7759999999999998</v>
      </c>
      <c r="K36" s="75">
        <v>9.7759999999999998</v>
      </c>
      <c r="L36" s="75">
        <v>9.7759999999999998</v>
      </c>
      <c r="M36" s="75">
        <v>9.7759999999999998</v>
      </c>
      <c r="N36" s="75">
        <v>9.7759999999999998</v>
      </c>
      <c r="O36" s="75">
        <v>9.7759999999999998</v>
      </c>
      <c r="P36" s="75">
        <v>9.7759999999999998</v>
      </c>
      <c r="Q36" s="75">
        <v>9.7759999999999998</v>
      </c>
      <c r="R36" s="75">
        <v>9.7759999999999998</v>
      </c>
      <c r="S36" s="75">
        <v>9.7759999999999998</v>
      </c>
      <c r="T36" s="75">
        <v>9.7759999999999998</v>
      </c>
      <c r="U36" s="75">
        <v>9.7759999999999998</v>
      </c>
      <c r="V36" s="75">
        <v>9.7759999999999998</v>
      </c>
      <c r="W36" s="75">
        <v>9.7759999999999998</v>
      </c>
      <c r="X36" s="75">
        <v>9.7759999999999998</v>
      </c>
      <c r="Y36" s="75">
        <v>9.7759999999999998</v>
      </c>
      <c r="Z36" s="75">
        <v>9.7759999999999998</v>
      </c>
      <c r="AA36" s="75">
        <v>9.7759999999999998</v>
      </c>
      <c r="AB36" s="75">
        <v>9.7759999999999998</v>
      </c>
      <c r="AC36" s="75">
        <v>9.7759999999999998</v>
      </c>
      <c r="AD36" s="75">
        <v>9.7759999999999998</v>
      </c>
      <c r="AE36" s="75">
        <v>9.7759999999999998</v>
      </c>
      <c r="AF36" s="75">
        <f t="shared" ref="AF36:AO36" si="37">AE36</f>
        <v>9.7759999999999998</v>
      </c>
      <c r="AG36" s="75">
        <f t="shared" si="37"/>
        <v>9.7759999999999998</v>
      </c>
      <c r="AH36" s="75">
        <f t="shared" si="37"/>
        <v>9.7759999999999998</v>
      </c>
      <c r="AI36" s="75">
        <f t="shared" si="37"/>
        <v>9.7759999999999998</v>
      </c>
      <c r="AJ36" s="75">
        <f t="shared" si="37"/>
        <v>9.7759999999999998</v>
      </c>
      <c r="AK36" s="75">
        <f t="shared" si="37"/>
        <v>9.7759999999999998</v>
      </c>
      <c r="AL36" s="75">
        <f t="shared" si="37"/>
        <v>9.7759999999999998</v>
      </c>
      <c r="AM36" s="75">
        <f t="shared" si="37"/>
        <v>9.7759999999999998</v>
      </c>
      <c r="AN36" s="75">
        <f t="shared" si="37"/>
        <v>9.7759999999999998</v>
      </c>
      <c r="AO36" s="75">
        <f t="shared" si="37"/>
        <v>9.7759999999999998</v>
      </c>
    </row>
    <row r="37" spans="1:41" x14ac:dyDescent="0.35">
      <c r="A37" s="67" t="s">
        <v>52</v>
      </c>
      <c r="B37" s="72" t="s">
        <v>26</v>
      </c>
      <c r="C37" s="73" t="s">
        <v>39</v>
      </c>
      <c r="D37" s="73" t="s">
        <v>68</v>
      </c>
      <c r="E37" s="73">
        <v>11.25</v>
      </c>
      <c r="F37" s="73">
        <v>11.25</v>
      </c>
      <c r="G37" s="73">
        <v>11.25</v>
      </c>
      <c r="H37" s="73">
        <v>11.25</v>
      </c>
      <c r="I37" s="73">
        <v>11.25</v>
      </c>
      <c r="J37" s="73">
        <v>11.25</v>
      </c>
      <c r="K37" s="73">
        <v>11.25</v>
      </c>
      <c r="L37" s="73">
        <v>11.25</v>
      </c>
      <c r="M37" s="73">
        <v>11.25</v>
      </c>
      <c r="N37" s="73">
        <v>11.25</v>
      </c>
      <c r="O37" s="73">
        <v>11.25</v>
      </c>
      <c r="P37" s="73">
        <v>11.25</v>
      </c>
      <c r="Q37" s="73">
        <v>11.25</v>
      </c>
      <c r="R37" s="73">
        <v>11.25</v>
      </c>
      <c r="S37" s="73">
        <v>11.25</v>
      </c>
      <c r="T37" s="73">
        <v>11.25</v>
      </c>
      <c r="U37" s="73">
        <v>11.25</v>
      </c>
      <c r="V37" s="73">
        <v>11.25</v>
      </c>
      <c r="W37" s="73">
        <v>11.25</v>
      </c>
      <c r="X37" s="73">
        <v>11.25</v>
      </c>
      <c r="Y37" s="73">
        <v>11.25</v>
      </c>
      <c r="Z37" s="73">
        <v>11.25</v>
      </c>
      <c r="AA37" s="73">
        <v>11.25</v>
      </c>
      <c r="AB37" s="73">
        <v>11.25</v>
      </c>
      <c r="AC37" s="73">
        <v>11.25</v>
      </c>
      <c r="AD37" s="73">
        <v>11.25</v>
      </c>
      <c r="AE37" s="73">
        <v>11.25</v>
      </c>
      <c r="AF37" s="75">
        <f t="shared" ref="AF37:AO37" si="38">AE37</f>
        <v>11.25</v>
      </c>
      <c r="AG37" s="75">
        <f t="shared" si="38"/>
        <v>11.25</v>
      </c>
      <c r="AH37" s="75">
        <f t="shared" si="38"/>
        <v>11.25</v>
      </c>
      <c r="AI37" s="75">
        <f t="shared" si="38"/>
        <v>11.25</v>
      </c>
      <c r="AJ37" s="75">
        <f t="shared" si="38"/>
        <v>11.25</v>
      </c>
      <c r="AK37" s="75">
        <f t="shared" si="38"/>
        <v>11.25</v>
      </c>
      <c r="AL37" s="75">
        <f t="shared" si="38"/>
        <v>11.25</v>
      </c>
      <c r="AM37" s="75">
        <f t="shared" si="38"/>
        <v>11.25</v>
      </c>
      <c r="AN37" s="75">
        <f t="shared" si="38"/>
        <v>11.25</v>
      </c>
      <c r="AO37" s="75">
        <f t="shared" si="38"/>
        <v>11.25</v>
      </c>
    </row>
    <row r="38" spans="1:41" x14ac:dyDescent="0.35">
      <c r="A38" s="67" t="s">
        <v>52</v>
      </c>
      <c r="B38" s="68" t="s">
        <v>23</v>
      </c>
      <c r="C38" s="75" t="s">
        <v>39</v>
      </c>
      <c r="D38" s="75" t="s">
        <v>68</v>
      </c>
      <c r="E38" s="75">
        <v>9.4529999999999994</v>
      </c>
      <c r="F38" s="75">
        <v>9.4529999999999994</v>
      </c>
      <c r="G38" s="75">
        <v>9.4529999999999994</v>
      </c>
      <c r="H38" s="75">
        <v>9.4529999999999994</v>
      </c>
      <c r="I38" s="75">
        <v>9.4529999999999994</v>
      </c>
      <c r="J38" s="75">
        <v>9.4529999999999994</v>
      </c>
      <c r="K38" s="75">
        <v>9.4529999999999994</v>
      </c>
      <c r="L38" s="75">
        <v>9.4529999999999994</v>
      </c>
      <c r="M38" s="75">
        <v>9.4529999999999994</v>
      </c>
      <c r="N38" s="75">
        <v>9.4529999999999994</v>
      </c>
      <c r="O38" s="75">
        <v>9.4529999999999994</v>
      </c>
      <c r="P38" s="75">
        <v>9.4529999999999994</v>
      </c>
      <c r="Q38" s="75">
        <v>9.4529999999999994</v>
      </c>
      <c r="R38" s="75">
        <v>9.4529999999999994</v>
      </c>
      <c r="S38" s="75">
        <v>9.4529999999999994</v>
      </c>
      <c r="T38" s="75">
        <v>9.4529999999999994</v>
      </c>
      <c r="U38" s="75">
        <v>9.4529999999999994</v>
      </c>
      <c r="V38" s="75">
        <v>9.4529999999999994</v>
      </c>
      <c r="W38" s="75">
        <v>9.4529999999999994</v>
      </c>
      <c r="X38" s="75">
        <v>9.4529999999999994</v>
      </c>
      <c r="Y38" s="75">
        <v>9.4529999999999994</v>
      </c>
      <c r="Z38" s="75">
        <v>9.4529999999999994</v>
      </c>
      <c r="AA38" s="75">
        <v>9.4529999999999994</v>
      </c>
      <c r="AB38" s="75">
        <v>9.4529999999999994</v>
      </c>
      <c r="AC38" s="75">
        <v>9.4529999999999994</v>
      </c>
      <c r="AD38" s="75">
        <v>9.4529999999999994</v>
      </c>
      <c r="AE38" s="75">
        <v>9.4529999999999994</v>
      </c>
      <c r="AF38" s="75">
        <f t="shared" ref="AF38:AO38" si="39">AE38</f>
        <v>9.4529999999999994</v>
      </c>
      <c r="AG38" s="75">
        <f t="shared" si="39"/>
        <v>9.4529999999999994</v>
      </c>
      <c r="AH38" s="75">
        <f t="shared" si="39"/>
        <v>9.4529999999999994</v>
      </c>
      <c r="AI38" s="75">
        <f t="shared" si="39"/>
        <v>9.4529999999999994</v>
      </c>
      <c r="AJ38" s="75">
        <f t="shared" si="39"/>
        <v>9.4529999999999994</v>
      </c>
      <c r="AK38" s="75">
        <f t="shared" si="39"/>
        <v>9.4529999999999994</v>
      </c>
      <c r="AL38" s="75">
        <f t="shared" si="39"/>
        <v>9.4529999999999994</v>
      </c>
      <c r="AM38" s="75">
        <f t="shared" si="39"/>
        <v>9.4529999999999994</v>
      </c>
      <c r="AN38" s="75">
        <f t="shared" si="39"/>
        <v>9.4529999999999994</v>
      </c>
      <c r="AO38" s="75">
        <f t="shared" si="39"/>
        <v>9.4529999999999994</v>
      </c>
    </row>
    <row r="39" spans="1:41" x14ac:dyDescent="0.35">
      <c r="A39" s="67" t="s">
        <v>52</v>
      </c>
      <c r="B39" s="72" t="s">
        <v>24</v>
      </c>
      <c r="C39" s="73" t="s">
        <v>39</v>
      </c>
      <c r="D39" s="73" t="str">
        <f>D38</f>
        <v>GJ/MWh</v>
      </c>
      <c r="E39" s="73">
        <v>9.4529999999999994</v>
      </c>
      <c r="F39" s="73">
        <f t="shared" ref="F39:AE39" si="40">F38</f>
        <v>9.4529999999999994</v>
      </c>
      <c r="G39" s="73">
        <f t="shared" si="40"/>
        <v>9.4529999999999994</v>
      </c>
      <c r="H39" s="73">
        <f t="shared" si="40"/>
        <v>9.4529999999999994</v>
      </c>
      <c r="I39" s="73">
        <f t="shared" si="40"/>
        <v>9.4529999999999994</v>
      </c>
      <c r="J39" s="73">
        <f t="shared" si="40"/>
        <v>9.4529999999999994</v>
      </c>
      <c r="K39" s="73">
        <f t="shared" si="40"/>
        <v>9.4529999999999994</v>
      </c>
      <c r="L39" s="73">
        <f t="shared" si="40"/>
        <v>9.4529999999999994</v>
      </c>
      <c r="M39" s="73">
        <f t="shared" si="40"/>
        <v>9.4529999999999994</v>
      </c>
      <c r="N39" s="73">
        <f t="shared" si="40"/>
        <v>9.4529999999999994</v>
      </c>
      <c r="O39" s="73">
        <f t="shared" si="40"/>
        <v>9.4529999999999994</v>
      </c>
      <c r="P39" s="73">
        <f t="shared" si="40"/>
        <v>9.4529999999999994</v>
      </c>
      <c r="Q39" s="73">
        <f t="shared" si="40"/>
        <v>9.4529999999999994</v>
      </c>
      <c r="R39" s="73">
        <f t="shared" si="40"/>
        <v>9.4529999999999994</v>
      </c>
      <c r="S39" s="73">
        <f t="shared" si="40"/>
        <v>9.4529999999999994</v>
      </c>
      <c r="T39" s="73">
        <f t="shared" si="40"/>
        <v>9.4529999999999994</v>
      </c>
      <c r="U39" s="73">
        <f t="shared" si="40"/>
        <v>9.4529999999999994</v>
      </c>
      <c r="V39" s="73">
        <f t="shared" si="40"/>
        <v>9.4529999999999994</v>
      </c>
      <c r="W39" s="73">
        <f t="shared" si="40"/>
        <v>9.4529999999999994</v>
      </c>
      <c r="X39" s="73">
        <f t="shared" si="40"/>
        <v>9.4529999999999994</v>
      </c>
      <c r="Y39" s="73">
        <f t="shared" si="40"/>
        <v>9.4529999999999994</v>
      </c>
      <c r="Z39" s="73">
        <f t="shared" si="40"/>
        <v>9.4529999999999994</v>
      </c>
      <c r="AA39" s="73">
        <f t="shared" si="40"/>
        <v>9.4529999999999994</v>
      </c>
      <c r="AB39" s="73">
        <f t="shared" si="40"/>
        <v>9.4529999999999994</v>
      </c>
      <c r="AC39" s="73">
        <f t="shared" si="40"/>
        <v>9.4529999999999994</v>
      </c>
      <c r="AD39" s="73">
        <f t="shared" si="40"/>
        <v>9.4529999999999994</v>
      </c>
      <c r="AE39" s="73">
        <f t="shared" si="40"/>
        <v>9.4529999999999994</v>
      </c>
      <c r="AF39" s="75">
        <f t="shared" ref="AF39:AO39" si="41">AE39</f>
        <v>9.4529999999999994</v>
      </c>
      <c r="AG39" s="75">
        <f t="shared" si="41"/>
        <v>9.4529999999999994</v>
      </c>
      <c r="AH39" s="75">
        <f t="shared" si="41"/>
        <v>9.4529999999999994</v>
      </c>
      <c r="AI39" s="75">
        <f t="shared" si="41"/>
        <v>9.4529999999999994</v>
      </c>
      <c r="AJ39" s="75">
        <f t="shared" si="41"/>
        <v>9.4529999999999994</v>
      </c>
      <c r="AK39" s="75">
        <f t="shared" si="41"/>
        <v>9.4529999999999994</v>
      </c>
      <c r="AL39" s="75">
        <f t="shared" si="41"/>
        <v>9.4529999999999994</v>
      </c>
      <c r="AM39" s="75">
        <f t="shared" si="41"/>
        <v>9.4529999999999994</v>
      </c>
      <c r="AN39" s="75">
        <f t="shared" si="41"/>
        <v>9.4529999999999994</v>
      </c>
      <c r="AO39" s="75">
        <f t="shared" si="41"/>
        <v>9.4529999999999994</v>
      </c>
    </row>
    <row r="40" spans="1:41" x14ac:dyDescent="0.35">
      <c r="A40" s="67" t="s">
        <v>52</v>
      </c>
      <c r="B40" s="68" t="s">
        <v>17</v>
      </c>
      <c r="C40" s="75" t="s">
        <v>39</v>
      </c>
      <c r="D40" s="75" t="s">
        <v>68</v>
      </c>
      <c r="E40" s="75">
        <v>9.4529999999999994</v>
      </c>
      <c r="F40" s="75">
        <v>9.4529999999999994</v>
      </c>
      <c r="G40" s="75">
        <v>9.4529999999999994</v>
      </c>
      <c r="H40" s="75">
        <v>9.4529999999999994</v>
      </c>
      <c r="I40" s="75">
        <v>9.4529999999999994</v>
      </c>
      <c r="J40" s="75">
        <v>9.4529999999999994</v>
      </c>
      <c r="K40" s="75">
        <v>9.4529999999999994</v>
      </c>
      <c r="L40" s="75">
        <v>9.4529999999999994</v>
      </c>
      <c r="M40" s="75">
        <v>9.4529999999999994</v>
      </c>
      <c r="N40" s="75">
        <v>9.4529999999999994</v>
      </c>
      <c r="O40" s="75">
        <v>9.4529999999999994</v>
      </c>
      <c r="P40" s="75">
        <v>9.4529999999999994</v>
      </c>
      <c r="Q40" s="75">
        <v>9.4529999999999994</v>
      </c>
      <c r="R40" s="75">
        <v>9.4529999999999994</v>
      </c>
      <c r="S40" s="75">
        <v>9.4529999999999994</v>
      </c>
      <c r="T40" s="75">
        <v>9.4529999999999994</v>
      </c>
      <c r="U40" s="75">
        <v>9.4529999999999994</v>
      </c>
      <c r="V40" s="75">
        <v>9.4529999999999994</v>
      </c>
      <c r="W40" s="75">
        <v>9.4529999999999994</v>
      </c>
      <c r="X40" s="75">
        <v>9.4529999999999994</v>
      </c>
      <c r="Y40" s="75">
        <v>9.4529999999999994</v>
      </c>
      <c r="Z40" s="75">
        <v>9.4529999999999994</v>
      </c>
      <c r="AA40" s="75">
        <v>9.4529999999999994</v>
      </c>
      <c r="AB40" s="75">
        <v>9.4529999999999994</v>
      </c>
      <c r="AC40" s="75">
        <v>9.4529999999999994</v>
      </c>
      <c r="AD40" s="75">
        <v>9.4529999999999994</v>
      </c>
      <c r="AE40" s="75">
        <v>9.4529999999999994</v>
      </c>
      <c r="AF40" s="75">
        <f t="shared" ref="AF40:AO40" si="42">AE40</f>
        <v>9.4529999999999994</v>
      </c>
      <c r="AG40" s="75">
        <f t="shared" si="42"/>
        <v>9.4529999999999994</v>
      </c>
      <c r="AH40" s="75">
        <f t="shared" si="42"/>
        <v>9.4529999999999994</v>
      </c>
      <c r="AI40" s="75">
        <f t="shared" si="42"/>
        <v>9.4529999999999994</v>
      </c>
      <c r="AJ40" s="75">
        <f t="shared" si="42"/>
        <v>9.4529999999999994</v>
      </c>
      <c r="AK40" s="75">
        <f t="shared" si="42"/>
        <v>9.4529999999999994</v>
      </c>
      <c r="AL40" s="75">
        <f t="shared" si="42"/>
        <v>9.4529999999999994</v>
      </c>
      <c r="AM40" s="75">
        <f t="shared" si="42"/>
        <v>9.4529999999999994</v>
      </c>
      <c r="AN40" s="75">
        <f t="shared" si="42"/>
        <v>9.4529999999999994</v>
      </c>
      <c r="AO40" s="75">
        <f t="shared" si="42"/>
        <v>9.4529999999999994</v>
      </c>
    </row>
    <row r="41" spans="1:41" x14ac:dyDescent="0.35">
      <c r="A41" s="67" t="s">
        <v>52</v>
      </c>
      <c r="B41" s="72" t="s">
        <v>18</v>
      </c>
      <c r="C41" s="73" t="s">
        <v>39</v>
      </c>
      <c r="D41" s="73" t="s">
        <v>68</v>
      </c>
      <c r="E41" s="73">
        <v>9.4529999999999994</v>
      </c>
      <c r="F41" s="73">
        <f t="shared" ref="F41:O46" si="43">F40</f>
        <v>9.4529999999999994</v>
      </c>
      <c r="G41" s="73">
        <f t="shared" si="43"/>
        <v>9.4529999999999994</v>
      </c>
      <c r="H41" s="73">
        <f t="shared" si="43"/>
        <v>9.4529999999999994</v>
      </c>
      <c r="I41" s="73">
        <f t="shared" si="43"/>
        <v>9.4529999999999994</v>
      </c>
      <c r="J41" s="73">
        <f t="shared" si="43"/>
        <v>9.4529999999999994</v>
      </c>
      <c r="K41" s="73">
        <f t="shared" si="43"/>
        <v>9.4529999999999994</v>
      </c>
      <c r="L41" s="73">
        <f t="shared" si="43"/>
        <v>9.4529999999999994</v>
      </c>
      <c r="M41" s="73">
        <f t="shared" si="43"/>
        <v>9.4529999999999994</v>
      </c>
      <c r="N41" s="73">
        <f t="shared" si="43"/>
        <v>9.4529999999999994</v>
      </c>
      <c r="O41" s="73">
        <f t="shared" si="43"/>
        <v>9.4529999999999994</v>
      </c>
      <c r="P41" s="73">
        <f t="shared" ref="P41:Y46" si="44">P40</f>
        <v>9.4529999999999994</v>
      </c>
      <c r="Q41" s="73">
        <f t="shared" si="44"/>
        <v>9.4529999999999994</v>
      </c>
      <c r="R41" s="73">
        <f t="shared" si="44"/>
        <v>9.4529999999999994</v>
      </c>
      <c r="S41" s="73">
        <f t="shared" si="44"/>
        <v>9.4529999999999994</v>
      </c>
      <c r="T41" s="73">
        <f t="shared" si="44"/>
        <v>9.4529999999999994</v>
      </c>
      <c r="U41" s="73">
        <f t="shared" si="44"/>
        <v>9.4529999999999994</v>
      </c>
      <c r="V41" s="73">
        <f t="shared" si="44"/>
        <v>9.4529999999999994</v>
      </c>
      <c r="W41" s="73">
        <f t="shared" si="44"/>
        <v>9.4529999999999994</v>
      </c>
      <c r="X41" s="73">
        <f t="shared" si="44"/>
        <v>9.4529999999999994</v>
      </c>
      <c r="Y41" s="73">
        <f t="shared" si="44"/>
        <v>9.4529999999999994</v>
      </c>
      <c r="Z41" s="73">
        <f t="shared" ref="Z41:AE46" si="45">Z40</f>
        <v>9.4529999999999994</v>
      </c>
      <c r="AA41" s="73">
        <f t="shared" si="45"/>
        <v>9.4529999999999994</v>
      </c>
      <c r="AB41" s="73">
        <f t="shared" si="45"/>
        <v>9.4529999999999994</v>
      </c>
      <c r="AC41" s="73">
        <f t="shared" si="45"/>
        <v>9.4529999999999994</v>
      </c>
      <c r="AD41" s="73">
        <f t="shared" si="45"/>
        <v>9.4529999999999994</v>
      </c>
      <c r="AE41" s="73">
        <f t="shared" si="45"/>
        <v>9.4529999999999994</v>
      </c>
      <c r="AF41" s="75">
        <f t="shared" ref="AF41:AO41" si="46">AE41</f>
        <v>9.4529999999999994</v>
      </c>
      <c r="AG41" s="75">
        <f t="shared" si="46"/>
        <v>9.4529999999999994</v>
      </c>
      <c r="AH41" s="75">
        <f t="shared" si="46"/>
        <v>9.4529999999999994</v>
      </c>
      <c r="AI41" s="75">
        <f t="shared" si="46"/>
        <v>9.4529999999999994</v>
      </c>
      <c r="AJ41" s="75">
        <f t="shared" si="46"/>
        <v>9.4529999999999994</v>
      </c>
      <c r="AK41" s="75">
        <f t="shared" si="46"/>
        <v>9.4529999999999994</v>
      </c>
      <c r="AL41" s="75">
        <f t="shared" si="46"/>
        <v>9.4529999999999994</v>
      </c>
      <c r="AM41" s="75">
        <f t="shared" si="46"/>
        <v>9.4529999999999994</v>
      </c>
      <c r="AN41" s="75">
        <f t="shared" si="46"/>
        <v>9.4529999999999994</v>
      </c>
      <c r="AO41" s="75">
        <f t="shared" si="46"/>
        <v>9.4529999999999994</v>
      </c>
    </row>
    <row r="42" spans="1:41" x14ac:dyDescent="0.35">
      <c r="A42" s="67" t="s">
        <v>52</v>
      </c>
      <c r="B42" s="68" t="s">
        <v>19</v>
      </c>
      <c r="C42" s="75" t="s">
        <v>39</v>
      </c>
      <c r="D42" s="75" t="s">
        <v>68</v>
      </c>
      <c r="E42" s="75">
        <v>9.4529999999999994</v>
      </c>
      <c r="F42" s="75">
        <f t="shared" si="43"/>
        <v>9.4529999999999994</v>
      </c>
      <c r="G42" s="75">
        <f t="shared" si="43"/>
        <v>9.4529999999999994</v>
      </c>
      <c r="H42" s="75">
        <f t="shared" si="43"/>
        <v>9.4529999999999994</v>
      </c>
      <c r="I42" s="75">
        <f t="shared" si="43"/>
        <v>9.4529999999999994</v>
      </c>
      <c r="J42" s="75">
        <f t="shared" si="43"/>
        <v>9.4529999999999994</v>
      </c>
      <c r="K42" s="75">
        <f t="shared" si="43"/>
        <v>9.4529999999999994</v>
      </c>
      <c r="L42" s="75">
        <f t="shared" si="43"/>
        <v>9.4529999999999994</v>
      </c>
      <c r="M42" s="75">
        <f t="shared" si="43"/>
        <v>9.4529999999999994</v>
      </c>
      <c r="N42" s="75">
        <f t="shared" si="43"/>
        <v>9.4529999999999994</v>
      </c>
      <c r="O42" s="75">
        <f t="shared" si="43"/>
        <v>9.4529999999999994</v>
      </c>
      <c r="P42" s="75">
        <f t="shared" si="44"/>
        <v>9.4529999999999994</v>
      </c>
      <c r="Q42" s="75">
        <f t="shared" si="44"/>
        <v>9.4529999999999994</v>
      </c>
      <c r="R42" s="75">
        <f t="shared" si="44"/>
        <v>9.4529999999999994</v>
      </c>
      <c r="S42" s="75">
        <f t="shared" si="44"/>
        <v>9.4529999999999994</v>
      </c>
      <c r="T42" s="75">
        <f t="shared" si="44"/>
        <v>9.4529999999999994</v>
      </c>
      <c r="U42" s="75">
        <f t="shared" si="44"/>
        <v>9.4529999999999994</v>
      </c>
      <c r="V42" s="75">
        <f t="shared" si="44"/>
        <v>9.4529999999999994</v>
      </c>
      <c r="W42" s="75">
        <f t="shared" si="44"/>
        <v>9.4529999999999994</v>
      </c>
      <c r="X42" s="75">
        <f t="shared" si="44"/>
        <v>9.4529999999999994</v>
      </c>
      <c r="Y42" s="75">
        <f t="shared" si="44"/>
        <v>9.4529999999999994</v>
      </c>
      <c r="Z42" s="75">
        <f t="shared" si="45"/>
        <v>9.4529999999999994</v>
      </c>
      <c r="AA42" s="75">
        <f t="shared" si="45"/>
        <v>9.4529999999999994</v>
      </c>
      <c r="AB42" s="75">
        <f t="shared" si="45"/>
        <v>9.4529999999999994</v>
      </c>
      <c r="AC42" s="75">
        <f t="shared" si="45"/>
        <v>9.4529999999999994</v>
      </c>
      <c r="AD42" s="75">
        <f t="shared" si="45"/>
        <v>9.4529999999999994</v>
      </c>
      <c r="AE42" s="75">
        <f t="shared" si="45"/>
        <v>9.4529999999999994</v>
      </c>
      <c r="AF42" s="75">
        <f t="shared" ref="AF42:AO42" si="47">AE42</f>
        <v>9.4529999999999994</v>
      </c>
      <c r="AG42" s="75">
        <f t="shared" si="47"/>
        <v>9.4529999999999994</v>
      </c>
      <c r="AH42" s="75">
        <f t="shared" si="47"/>
        <v>9.4529999999999994</v>
      </c>
      <c r="AI42" s="75">
        <f t="shared" si="47"/>
        <v>9.4529999999999994</v>
      </c>
      <c r="AJ42" s="75">
        <f t="shared" si="47"/>
        <v>9.4529999999999994</v>
      </c>
      <c r="AK42" s="75">
        <f t="shared" si="47"/>
        <v>9.4529999999999994</v>
      </c>
      <c r="AL42" s="75">
        <f t="shared" si="47"/>
        <v>9.4529999999999994</v>
      </c>
      <c r="AM42" s="75">
        <f t="shared" si="47"/>
        <v>9.4529999999999994</v>
      </c>
      <c r="AN42" s="75">
        <f t="shared" si="47"/>
        <v>9.4529999999999994</v>
      </c>
      <c r="AO42" s="75">
        <f t="shared" si="47"/>
        <v>9.4529999999999994</v>
      </c>
    </row>
    <row r="43" spans="1:41" x14ac:dyDescent="0.35">
      <c r="A43" s="67" t="s">
        <v>52</v>
      </c>
      <c r="B43" s="72" t="s">
        <v>20</v>
      </c>
      <c r="C43" s="73" t="s">
        <v>39</v>
      </c>
      <c r="D43" s="73" t="s">
        <v>68</v>
      </c>
      <c r="E43" s="73">
        <v>9.4529999999999994</v>
      </c>
      <c r="F43" s="73">
        <f t="shared" si="43"/>
        <v>9.4529999999999994</v>
      </c>
      <c r="G43" s="73">
        <f t="shared" si="43"/>
        <v>9.4529999999999994</v>
      </c>
      <c r="H43" s="73">
        <f t="shared" si="43"/>
        <v>9.4529999999999994</v>
      </c>
      <c r="I43" s="73">
        <f t="shared" si="43"/>
        <v>9.4529999999999994</v>
      </c>
      <c r="J43" s="73">
        <f t="shared" si="43"/>
        <v>9.4529999999999994</v>
      </c>
      <c r="K43" s="73">
        <f t="shared" si="43"/>
        <v>9.4529999999999994</v>
      </c>
      <c r="L43" s="73">
        <f t="shared" si="43"/>
        <v>9.4529999999999994</v>
      </c>
      <c r="M43" s="73">
        <f t="shared" si="43"/>
        <v>9.4529999999999994</v>
      </c>
      <c r="N43" s="73">
        <f t="shared" si="43"/>
        <v>9.4529999999999994</v>
      </c>
      <c r="O43" s="73">
        <f t="shared" si="43"/>
        <v>9.4529999999999994</v>
      </c>
      <c r="P43" s="73">
        <f t="shared" si="44"/>
        <v>9.4529999999999994</v>
      </c>
      <c r="Q43" s="73">
        <f t="shared" si="44"/>
        <v>9.4529999999999994</v>
      </c>
      <c r="R43" s="73">
        <f t="shared" si="44"/>
        <v>9.4529999999999994</v>
      </c>
      <c r="S43" s="73">
        <f t="shared" si="44"/>
        <v>9.4529999999999994</v>
      </c>
      <c r="T43" s="73">
        <f t="shared" si="44"/>
        <v>9.4529999999999994</v>
      </c>
      <c r="U43" s="73">
        <f t="shared" si="44"/>
        <v>9.4529999999999994</v>
      </c>
      <c r="V43" s="73">
        <f t="shared" si="44"/>
        <v>9.4529999999999994</v>
      </c>
      <c r="W43" s="73">
        <f t="shared" si="44"/>
        <v>9.4529999999999994</v>
      </c>
      <c r="X43" s="73">
        <f t="shared" si="44"/>
        <v>9.4529999999999994</v>
      </c>
      <c r="Y43" s="73">
        <f t="shared" si="44"/>
        <v>9.4529999999999994</v>
      </c>
      <c r="Z43" s="73">
        <f t="shared" si="45"/>
        <v>9.4529999999999994</v>
      </c>
      <c r="AA43" s="73">
        <f t="shared" si="45"/>
        <v>9.4529999999999994</v>
      </c>
      <c r="AB43" s="73">
        <f t="shared" si="45"/>
        <v>9.4529999999999994</v>
      </c>
      <c r="AC43" s="73">
        <f t="shared" si="45"/>
        <v>9.4529999999999994</v>
      </c>
      <c r="AD43" s="73">
        <f t="shared" si="45"/>
        <v>9.4529999999999994</v>
      </c>
      <c r="AE43" s="73">
        <f t="shared" si="45"/>
        <v>9.4529999999999994</v>
      </c>
      <c r="AF43" s="75">
        <f t="shared" ref="AF43:AO43" si="48">AE43</f>
        <v>9.4529999999999994</v>
      </c>
      <c r="AG43" s="75">
        <f t="shared" si="48"/>
        <v>9.4529999999999994</v>
      </c>
      <c r="AH43" s="75">
        <f t="shared" si="48"/>
        <v>9.4529999999999994</v>
      </c>
      <c r="AI43" s="75">
        <f t="shared" si="48"/>
        <v>9.4529999999999994</v>
      </c>
      <c r="AJ43" s="75">
        <f t="shared" si="48"/>
        <v>9.4529999999999994</v>
      </c>
      <c r="AK43" s="75">
        <f t="shared" si="48"/>
        <v>9.4529999999999994</v>
      </c>
      <c r="AL43" s="75">
        <f t="shared" si="48"/>
        <v>9.4529999999999994</v>
      </c>
      <c r="AM43" s="75">
        <f t="shared" si="48"/>
        <v>9.4529999999999994</v>
      </c>
      <c r="AN43" s="75">
        <f t="shared" si="48"/>
        <v>9.4529999999999994</v>
      </c>
      <c r="AO43" s="75">
        <f t="shared" si="48"/>
        <v>9.4529999999999994</v>
      </c>
    </row>
    <row r="44" spans="1:41" x14ac:dyDescent="0.35">
      <c r="A44" s="67" t="s">
        <v>52</v>
      </c>
      <c r="B44" s="68" t="s">
        <v>21</v>
      </c>
      <c r="C44" s="75" t="s">
        <v>39</v>
      </c>
      <c r="D44" s="75" t="s">
        <v>68</v>
      </c>
      <c r="E44" s="75">
        <v>9.4529999999999994</v>
      </c>
      <c r="F44" s="75">
        <f t="shared" si="43"/>
        <v>9.4529999999999994</v>
      </c>
      <c r="G44" s="75">
        <f t="shared" si="43"/>
        <v>9.4529999999999994</v>
      </c>
      <c r="H44" s="75">
        <f t="shared" si="43"/>
        <v>9.4529999999999994</v>
      </c>
      <c r="I44" s="75">
        <f t="shared" si="43"/>
        <v>9.4529999999999994</v>
      </c>
      <c r="J44" s="75">
        <f t="shared" si="43"/>
        <v>9.4529999999999994</v>
      </c>
      <c r="K44" s="75">
        <f t="shared" si="43"/>
        <v>9.4529999999999994</v>
      </c>
      <c r="L44" s="75">
        <f t="shared" si="43"/>
        <v>9.4529999999999994</v>
      </c>
      <c r="M44" s="75">
        <f t="shared" si="43"/>
        <v>9.4529999999999994</v>
      </c>
      <c r="N44" s="75">
        <f t="shared" si="43"/>
        <v>9.4529999999999994</v>
      </c>
      <c r="O44" s="75">
        <f t="shared" si="43"/>
        <v>9.4529999999999994</v>
      </c>
      <c r="P44" s="75">
        <f t="shared" si="44"/>
        <v>9.4529999999999994</v>
      </c>
      <c r="Q44" s="75">
        <f t="shared" si="44"/>
        <v>9.4529999999999994</v>
      </c>
      <c r="R44" s="75">
        <f t="shared" si="44"/>
        <v>9.4529999999999994</v>
      </c>
      <c r="S44" s="75">
        <f t="shared" si="44"/>
        <v>9.4529999999999994</v>
      </c>
      <c r="T44" s="75">
        <f t="shared" si="44"/>
        <v>9.4529999999999994</v>
      </c>
      <c r="U44" s="75">
        <f t="shared" si="44"/>
        <v>9.4529999999999994</v>
      </c>
      <c r="V44" s="75">
        <f t="shared" si="44"/>
        <v>9.4529999999999994</v>
      </c>
      <c r="W44" s="75">
        <f t="shared" si="44"/>
        <v>9.4529999999999994</v>
      </c>
      <c r="X44" s="75">
        <f t="shared" si="44"/>
        <v>9.4529999999999994</v>
      </c>
      <c r="Y44" s="75">
        <f t="shared" si="44"/>
        <v>9.4529999999999994</v>
      </c>
      <c r="Z44" s="75">
        <f t="shared" si="45"/>
        <v>9.4529999999999994</v>
      </c>
      <c r="AA44" s="75">
        <f t="shared" si="45"/>
        <v>9.4529999999999994</v>
      </c>
      <c r="AB44" s="75">
        <f t="shared" si="45"/>
        <v>9.4529999999999994</v>
      </c>
      <c r="AC44" s="75">
        <f t="shared" si="45"/>
        <v>9.4529999999999994</v>
      </c>
      <c r="AD44" s="75">
        <f t="shared" si="45"/>
        <v>9.4529999999999994</v>
      </c>
      <c r="AE44" s="75">
        <f t="shared" si="45"/>
        <v>9.4529999999999994</v>
      </c>
      <c r="AF44" s="75">
        <f t="shared" ref="AF44:AO44" si="49">AE44</f>
        <v>9.4529999999999994</v>
      </c>
      <c r="AG44" s="75">
        <f t="shared" si="49"/>
        <v>9.4529999999999994</v>
      </c>
      <c r="AH44" s="75">
        <f t="shared" si="49"/>
        <v>9.4529999999999994</v>
      </c>
      <c r="AI44" s="75">
        <f t="shared" si="49"/>
        <v>9.4529999999999994</v>
      </c>
      <c r="AJ44" s="75">
        <f t="shared" si="49"/>
        <v>9.4529999999999994</v>
      </c>
      <c r="AK44" s="75">
        <f t="shared" si="49"/>
        <v>9.4529999999999994</v>
      </c>
      <c r="AL44" s="75">
        <f t="shared" si="49"/>
        <v>9.4529999999999994</v>
      </c>
      <c r="AM44" s="75">
        <f t="shared" si="49"/>
        <v>9.4529999999999994</v>
      </c>
      <c r="AN44" s="75">
        <f t="shared" si="49"/>
        <v>9.4529999999999994</v>
      </c>
      <c r="AO44" s="75">
        <f t="shared" si="49"/>
        <v>9.4529999999999994</v>
      </c>
    </row>
    <row r="45" spans="1:41" x14ac:dyDescent="0.35">
      <c r="A45" s="67" t="s">
        <v>52</v>
      </c>
      <c r="B45" s="72" t="s">
        <v>22</v>
      </c>
      <c r="C45" s="73" t="s">
        <v>39</v>
      </c>
      <c r="D45" s="73" t="s">
        <v>68</v>
      </c>
      <c r="E45" s="73">
        <v>9.4529999999999994</v>
      </c>
      <c r="F45" s="73">
        <f t="shared" si="43"/>
        <v>9.4529999999999994</v>
      </c>
      <c r="G45" s="73">
        <f t="shared" si="43"/>
        <v>9.4529999999999994</v>
      </c>
      <c r="H45" s="73">
        <f t="shared" si="43"/>
        <v>9.4529999999999994</v>
      </c>
      <c r="I45" s="73">
        <f t="shared" si="43"/>
        <v>9.4529999999999994</v>
      </c>
      <c r="J45" s="73">
        <f t="shared" si="43"/>
        <v>9.4529999999999994</v>
      </c>
      <c r="K45" s="73">
        <f t="shared" si="43"/>
        <v>9.4529999999999994</v>
      </c>
      <c r="L45" s="73">
        <f t="shared" si="43"/>
        <v>9.4529999999999994</v>
      </c>
      <c r="M45" s="73">
        <f t="shared" si="43"/>
        <v>9.4529999999999994</v>
      </c>
      <c r="N45" s="73">
        <f t="shared" si="43"/>
        <v>9.4529999999999994</v>
      </c>
      <c r="O45" s="73">
        <f t="shared" si="43"/>
        <v>9.4529999999999994</v>
      </c>
      <c r="P45" s="73">
        <f t="shared" si="44"/>
        <v>9.4529999999999994</v>
      </c>
      <c r="Q45" s="73">
        <f t="shared" si="44"/>
        <v>9.4529999999999994</v>
      </c>
      <c r="R45" s="73">
        <f t="shared" si="44"/>
        <v>9.4529999999999994</v>
      </c>
      <c r="S45" s="73">
        <f t="shared" si="44"/>
        <v>9.4529999999999994</v>
      </c>
      <c r="T45" s="73">
        <f t="shared" si="44"/>
        <v>9.4529999999999994</v>
      </c>
      <c r="U45" s="73">
        <f t="shared" si="44"/>
        <v>9.4529999999999994</v>
      </c>
      <c r="V45" s="73">
        <f t="shared" si="44"/>
        <v>9.4529999999999994</v>
      </c>
      <c r="W45" s="73">
        <f t="shared" si="44"/>
        <v>9.4529999999999994</v>
      </c>
      <c r="X45" s="73">
        <f t="shared" si="44"/>
        <v>9.4529999999999994</v>
      </c>
      <c r="Y45" s="73">
        <f t="shared" si="44"/>
        <v>9.4529999999999994</v>
      </c>
      <c r="Z45" s="73">
        <f t="shared" si="45"/>
        <v>9.4529999999999994</v>
      </c>
      <c r="AA45" s="73">
        <f t="shared" si="45"/>
        <v>9.4529999999999994</v>
      </c>
      <c r="AB45" s="73">
        <f t="shared" si="45"/>
        <v>9.4529999999999994</v>
      </c>
      <c r="AC45" s="73">
        <f t="shared" si="45"/>
        <v>9.4529999999999994</v>
      </c>
      <c r="AD45" s="73">
        <f t="shared" si="45"/>
        <v>9.4529999999999994</v>
      </c>
      <c r="AE45" s="73">
        <f t="shared" si="45"/>
        <v>9.4529999999999994</v>
      </c>
      <c r="AF45" s="75">
        <f t="shared" ref="AF45:AO45" si="50">AE45</f>
        <v>9.4529999999999994</v>
      </c>
      <c r="AG45" s="75">
        <f t="shared" si="50"/>
        <v>9.4529999999999994</v>
      </c>
      <c r="AH45" s="75">
        <f t="shared" si="50"/>
        <v>9.4529999999999994</v>
      </c>
      <c r="AI45" s="75">
        <f t="shared" si="50"/>
        <v>9.4529999999999994</v>
      </c>
      <c r="AJ45" s="75">
        <f t="shared" si="50"/>
        <v>9.4529999999999994</v>
      </c>
      <c r="AK45" s="75">
        <f t="shared" si="50"/>
        <v>9.4529999999999994</v>
      </c>
      <c r="AL45" s="75">
        <f t="shared" si="50"/>
        <v>9.4529999999999994</v>
      </c>
      <c r="AM45" s="75">
        <f t="shared" si="50"/>
        <v>9.4529999999999994</v>
      </c>
      <c r="AN45" s="75">
        <f t="shared" si="50"/>
        <v>9.4529999999999994</v>
      </c>
      <c r="AO45" s="75">
        <f t="shared" si="50"/>
        <v>9.4529999999999994</v>
      </c>
    </row>
    <row r="46" spans="1:41" x14ac:dyDescent="0.35">
      <c r="A46" s="67" t="s">
        <v>52</v>
      </c>
      <c r="B46" s="72" t="s">
        <v>117</v>
      </c>
      <c r="C46" s="73" t="s">
        <v>39</v>
      </c>
      <c r="D46" s="73" t="s">
        <v>68</v>
      </c>
      <c r="E46" s="73">
        <v>9.4529999999999994</v>
      </c>
      <c r="F46" s="73">
        <f t="shared" si="43"/>
        <v>9.4529999999999994</v>
      </c>
      <c r="G46" s="73">
        <f t="shared" si="43"/>
        <v>9.4529999999999994</v>
      </c>
      <c r="H46" s="73">
        <f t="shared" si="43"/>
        <v>9.4529999999999994</v>
      </c>
      <c r="I46" s="73">
        <f t="shared" si="43"/>
        <v>9.4529999999999994</v>
      </c>
      <c r="J46" s="73">
        <f t="shared" si="43"/>
        <v>9.4529999999999994</v>
      </c>
      <c r="K46" s="73">
        <f t="shared" si="43"/>
        <v>9.4529999999999994</v>
      </c>
      <c r="L46" s="73">
        <f t="shared" si="43"/>
        <v>9.4529999999999994</v>
      </c>
      <c r="M46" s="73">
        <f t="shared" si="43"/>
        <v>9.4529999999999994</v>
      </c>
      <c r="N46" s="73">
        <f t="shared" si="43"/>
        <v>9.4529999999999994</v>
      </c>
      <c r="O46" s="73">
        <f t="shared" si="43"/>
        <v>9.4529999999999994</v>
      </c>
      <c r="P46" s="73">
        <f t="shared" si="44"/>
        <v>9.4529999999999994</v>
      </c>
      <c r="Q46" s="73">
        <f t="shared" si="44"/>
        <v>9.4529999999999994</v>
      </c>
      <c r="R46" s="73">
        <f t="shared" si="44"/>
        <v>9.4529999999999994</v>
      </c>
      <c r="S46" s="73">
        <f t="shared" si="44"/>
        <v>9.4529999999999994</v>
      </c>
      <c r="T46" s="73">
        <f t="shared" si="44"/>
        <v>9.4529999999999994</v>
      </c>
      <c r="U46" s="73">
        <f t="shared" si="44"/>
        <v>9.4529999999999994</v>
      </c>
      <c r="V46" s="73">
        <f t="shared" si="44"/>
        <v>9.4529999999999994</v>
      </c>
      <c r="W46" s="73">
        <f t="shared" si="44"/>
        <v>9.4529999999999994</v>
      </c>
      <c r="X46" s="73">
        <f t="shared" si="44"/>
        <v>9.4529999999999994</v>
      </c>
      <c r="Y46" s="73">
        <f t="shared" si="44"/>
        <v>9.4529999999999994</v>
      </c>
      <c r="Z46" s="73">
        <f t="shared" si="45"/>
        <v>9.4529999999999994</v>
      </c>
      <c r="AA46" s="73">
        <f t="shared" si="45"/>
        <v>9.4529999999999994</v>
      </c>
      <c r="AB46" s="73">
        <f t="shared" si="45"/>
        <v>9.4529999999999994</v>
      </c>
      <c r="AC46" s="73">
        <f t="shared" si="45"/>
        <v>9.4529999999999994</v>
      </c>
      <c r="AD46" s="73">
        <f t="shared" si="45"/>
        <v>9.4529999999999994</v>
      </c>
      <c r="AE46" s="73">
        <f t="shared" si="45"/>
        <v>9.4529999999999994</v>
      </c>
      <c r="AF46" s="75">
        <f t="shared" ref="AF46" si="51">AE46</f>
        <v>9.4529999999999994</v>
      </c>
      <c r="AG46" s="75">
        <f t="shared" ref="AG46" si="52">AF46</f>
        <v>9.4529999999999994</v>
      </c>
      <c r="AH46" s="75">
        <f t="shared" ref="AH46" si="53">AG46</f>
        <v>9.4529999999999994</v>
      </c>
      <c r="AI46" s="75">
        <f t="shared" ref="AI46" si="54">AH46</f>
        <v>9.4529999999999994</v>
      </c>
      <c r="AJ46" s="75">
        <f t="shared" ref="AJ46" si="55">AI46</f>
        <v>9.4529999999999994</v>
      </c>
      <c r="AK46" s="75">
        <f t="shared" ref="AK46" si="56">AJ46</f>
        <v>9.4529999999999994</v>
      </c>
      <c r="AL46" s="75">
        <f t="shared" ref="AL46" si="57">AK46</f>
        <v>9.4529999999999994</v>
      </c>
      <c r="AM46" s="75">
        <f t="shared" ref="AM46" si="58">AL46</f>
        <v>9.4529999999999994</v>
      </c>
      <c r="AN46" s="75">
        <f t="shared" ref="AN46" si="59">AM46</f>
        <v>9.4529999999999994</v>
      </c>
      <c r="AO46" s="75">
        <f t="shared" ref="AO46" si="60">AN46</f>
        <v>9.4529999999999994</v>
      </c>
    </row>
    <row r="47" spans="1:41" x14ac:dyDescent="0.35">
      <c r="A47" s="67" t="s">
        <v>52</v>
      </c>
      <c r="B47" s="68" t="s">
        <v>30</v>
      </c>
      <c r="C47" s="75" t="s">
        <v>40</v>
      </c>
      <c r="D47" s="75" t="s">
        <v>67</v>
      </c>
      <c r="E47" s="75">
        <v>0.89</v>
      </c>
      <c r="F47" s="75">
        <v>0.89</v>
      </c>
      <c r="G47" s="75">
        <v>0.89</v>
      </c>
      <c r="H47" s="75">
        <v>0.89</v>
      </c>
      <c r="I47" s="75">
        <v>0.89</v>
      </c>
      <c r="J47" s="75">
        <v>0.89</v>
      </c>
      <c r="K47" s="75">
        <v>0.89</v>
      </c>
      <c r="L47" s="75">
        <v>0.89</v>
      </c>
      <c r="M47" s="75">
        <v>0.89</v>
      </c>
      <c r="N47" s="75">
        <v>0.89</v>
      </c>
      <c r="O47" s="75">
        <v>0.89</v>
      </c>
      <c r="P47" s="75">
        <v>0.89</v>
      </c>
      <c r="Q47" s="75">
        <v>0.89</v>
      </c>
      <c r="R47" s="75">
        <v>0.89</v>
      </c>
      <c r="S47" s="75">
        <v>0.89</v>
      </c>
      <c r="T47" s="75">
        <v>0.89</v>
      </c>
      <c r="U47" s="75">
        <v>0.89</v>
      </c>
      <c r="V47" s="75">
        <v>0.89</v>
      </c>
      <c r="W47" s="75">
        <v>0.89</v>
      </c>
      <c r="X47" s="75">
        <v>0.89</v>
      </c>
      <c r="Y47" s="75">
        <v>0.89</v>
      </c>
      <c r="Z47" s="75">
        <v>0.89</v>
      </c>
      <c r="AA47" s="75">
        <v>0.89</v>
      </c>
      <c r="AB47" s="75">
        <v>0.89</v>
      </c>
      <c r="AC47" s="75">
        <v>0.89</v>
      </c>
      <c r="AD47" s="75">
        <v>0.89</v>
      </c>
      <c r="AE47" s="75">
        <v>0.89</v>
      </c>
      <c r="AF47" s="75">
        <f t="shared" ref="AF47:AO47" si="61">AE47</f>
        <v>0.89</v>
      </c>
      <c r="AG47" s="75">
        <f t="shared" si="61"/>
        <v>0.89</v>
      </c>
      <c r="AH47" s="75">
        <f t="shared" si="61"/>
        <v>0.89</v>
      </c>
      <c r="AI47" s="75">
        <f t="shared" si="61"/>
        <v>0.89</v>
      </c>
      <c r="AJ47" s="75">
        <f t="shared" si="61"/>
        <v>0.89</v>
      </c>
      <c r="AK47" s="75">
        <f t="shared" si="61"/>
        <v>0.89</v>
      </c>
      <c r="AL47" s="75">
        <f t="shared" si="61"/>
        <v>0.89</v>
      </c>
      <c r="AM47" s="75">
        <f t="shared" si="61"/>
        <v>0.89</v>
      </c>
      <c r="AN47" s="75">
        <f t="shared" si="61"/>
        <v>0.89</v>
      </c>
      <c r="AO47" s="75">
        <f t="shared" si="61"/>
        <v>0.89</v>
      </c>
    </row>
    <row r="48" spans="1:41" x14ac:dyDescent="0.35">
      <c r="A48" s="67" t="s">
        <v>52</v>
      </c>
      <c r="B48" s="72" t="s">
        <v>32</v>
      </c>
      <c r="C48" s="73" t="s">
        <v>40</v>
      </c>
      <c r="D48" s="73" t="s">
        <v>67</v>
      </c>
      <c r="E48" s="73">
        <v>0.89</v>
      </c>
      <c r="F48" s="73">
        <v>0.89</v>
      </c>
      <c r="G48" s="73">
        <v>0.89</v>
      </c>
      <c r="H48" s="73">
        <v>0.89</v>
      </c>
      <c r="I48" s="73">
        <v>0.89</v>
      </c>
      <c r="J48" s="73">
        <v>0.89</v>
      </c>
      <c r="K48" s="73">
        <v>0.89</v>
      </c>
      <c r="L48" s="73">
        <v>0.89</v>
      </c>
      <c r="M48" s="73">
        <v>0.89</v>
      </c>
      <c r="N48" s="73">
        <v>0.89</v>
      </c>
      <c r="O48" s="73">
        <v>0.89</v>
      </c>
      <c r="P48" s="73">
        <v>0.89</v>
      </c>
      <c r="Q48" s="73">
        <v>0.89</v>
      </c>
      <c r="R48" s="73">
        <v>0.89</v>
      </c>
      <c r="S48" s="73">
        <v>0.89</v>
      </c>
      <c r="T48" s="73">
        <v>0.89</v>
      </c>
      <c r="U48" s="73">
        <v>0.89</v>
      </c>
      <c r="V48" s="73">
        <v>0.89</v>
      </c>
      <c r="W48" s="73">
        <v>0.89</v>
      </c>
      <c r="X48" s="73">
        <v>0.89</v>
      </c>
      <c r="Y48" s="73">
        <v>0.89</v>
      </c>
      <c r="Z48" s="73">
        <v>0.89</v>
      </c>
      <c r="AA48" s="73">
        <v>0.89</v>
      </c>
      <c r="AB48" s="73">
        <v>0.89</v>
      </c>
      <c r="AC48" s="73">
        <v>0.89</v>
      </c>
      <c r="AD48" s="73">
        <v>0.89</v>
      </c>
      <c r="AE48" s="73">
        <v>0.89</v>
      </c>
      <c r="AF48" s="75">
        <f t="shared" ref="AF48:AO48" si="62">AE48</f>
        <v>0.89</v>
      </c>
      <c r="AG48" s="75">
        <f t="shared" si="62"/>
        <v>0.89</v>
      </c>
      <c r="AH48" s="75">
        <f t="shared" si="62"/>
        <v>0.89</v>
      </c>
      <c r="AI48" s="75">
        <f t="shared" si="62"/>
        <v>0.89</v>
      </c>
      <c r="AJ48" s="75">
        <f t="shared" si="62"/>
        <v>0.89</v>
      </c>
      <c r="AK48" s="75">
        <f t="shared" si="62"/>
        <v>0.89</v>
      </c>
      <c r="AL48" s="75">
        <f t="shared" si="62"/>
        <v>0.89</v>
      </c>
      <c r="AM48" s="75">
        <f t="shared" si="62"/>
        <v>0.89</v>
      </c>
      <c r="AN48" s="75">
        <f t="shared" si="62"/>
        <v>0.89</v>
      </c>
      <c r="AO48" s="75">
        <f t="shared" si="62"/>
        <v>0.89</v>
      </c>
    </row>
    <row r="49" spans="1:41" x14ac:dyDescent="0.35">
      <c r="A49" s="67" t="s">
        <v>52</v>
      </c>
      <c r="B49" s="68" t="s">
        <v>33</v>
      </c>
      <c r="C49" s="75" t="s">
        <v>40</v>
      </c>
      <c r="D49" s="75" t="s">
        <v>67</v>
      </c>
      <c r="E49" s="75">
        <v>0.89</v>
      </c>
      <c r="F49" s="75">
        <v>0.89</v>
      </c>
      <c r="G49" s="75">
        <v>0.89</v>
      </c>
      <c r="H49" s="75">
        <v>0.89</v>
      </c>
      <c r="I49" s="75">
        <v>0.89</v>
      </c>
      <c r="J49" s="75">
        <v>0.89</v>
      </c>
      <c r="K49" s="75">
        <v>0.89</v>
      </c>
      <c r="L49" s="75">
        <v>0.89</v>
      </c>
      <c r="M49" s="75">
        <v>0.89</v>
      </c>
      <c r="N49" s="75">
        <v>0.89</v>
      </c>
      <c r="O49" s="75">
        <v>0.89</v>
      </c>
      <c r="P49" s="75">
        <v>0.89</v>
      </c>
      <c r="Q49" s="75">
        <v>0.89</v>
      </c>
      <c r="R49" s="75">
        <v>0.89</v>
      </c>
      <c r="S49" s="75">
        <v>0.89</v>
      </c>
      <c r="T49" s="75">
        <v>0.89</v>
      </c>
      <c r="U49" s="75">
        <v>0.89</v>
      </c>
      <c r="V49" s="75">
        <v>0.89</v>
      </c>
      <c r="W49" s="75">
        <v>0.89</v>
      </c>
      <c r="X49" s="75">
        <v>0.89</v>
      </c>
      <c r="Y49" s="75">
        <v>0.89</v>
      </c>
      <c r="Z49" s="75">
        <v>0.89</v>
      </c>
      <c r="AA49" s="75">
        <v>0.89</v>
      </c>
      <c r="AB49" s="75">
        <v>0.89</v>
      </c>
      <c r="AC49" s="75">
        <v>0.89</v>
      </c>
      <c r="AD49" s="75">
        <v>0.89</v>
      </c>
      <c r="AE49" s="75">
        <v>0.89</v>
      </c>
      <c r="AF49" s="75">
        <f t="shared" ref="AF49:AO49" si="63">AE49</f>
        <v>0.89</v>
      </c>
      <c r="AG49" s="75">
        <f t="shared" si="63"/>
        <v>0.89</v>
      </c>
      <c r="AH49" s="75">
        <f t="shared" si="63"/>
        <v>0.89</v>
      </c>
      <c r="AI49" s="75">
        <f t="shared" si="63"/>
        <v>0.89</v>
      </c>
      <c r="AJ49" s="75">
        <f t="shared" si="63"/>
        <v>0.89</v>
      </c>
      <c r="AK49" s="75">
        <f t="shared" si="63"/>
        <v>0.89</v>
      </c>
      <c r="AL49" s="75">
        <f t="shared" si="63"/>
        <v>0.89</v>
      </c>
      <c r="AM49" s="75">
        <f t="shared" si="63"/>
        <v>0.89</v>
      </c>
      <c r="AN49" s="75">
        <f t="shared" si="63"/>
        <v>0.89</v>
      </c>
      <c r="AO49" s="75">
        <f t="shared" si="63"/>
        <v>0.89</v>
      </c>
    </row>
    <row r="50" spans="1:41" x14ac:dyDescent="0.35">
      <c r="A50" s="67" t="s">
        <v>52</v>
      </c>
      <c r="B50" s="72" t="s">
        <v>54</v>
      </c>
      <c r="C50" s="73" t="s">
        <v>40</v>
      </c>
      <c r="D50" s="73" t="s">
        <v>67</v>
      </c>
      <c r="E50" s="73">
        <v>0.25474101330314203</v>
      </c>
      <c r="F50" s="73">
        <v>0.25474101330314203</v>
      </c>
      <c r="G50" s="73">
        <v>0.25474101330314203</v>
      </c>
      <c r="H50" s="73">
        <v>0.25474101330314203</v>
      </c>
      <c r="I50" s="73">
        <v>0.25474101330314203</v>
      </c>
      <c r="J50" s="73">
        <v>0.25474101330314203</v>
      </c>
      <c r="K50" s="73">
        <v>0.25474101330314203</v>
      </c>
      <c r="L50" s="73">
        <v>0.25474101330314203</v>
      </c>
      <c r="M50" s="73">
        <v>0.25474101330314203</v>
      </c>
      <c r="N50" s="73">
        <v>0.25474101330314203</v>
      </c>
      <c r="O50" s="73">
        <v>0.25474101330314203</v>
      </c>
      <c r="P50" s="73">
        <v>0.25474101330314203</v>
      </c>
      <c r="Q50" s="73">
        <v>0.25474101330314203</v>
      </c>
      <c r="R50" s="73">
        <v>0.25474101330314203</v>
      </c>
      <c r="S50" s="73">
        <v>0.25474101330314203</v>
      </c>
      <c r="T50" s="73">
        <v>0.25474101330314203</v>
      </c>
      <c r="U50" s="73">
        <v>0.25474101330314203</v>
      </c>
      <c r="V50" s="73">
        <v>0.25474101330314203</v>
      </c>
      <c r="W50" s="73">
        <v>0.25474101330314203</v>
      </c>
      <c r="X50" s="73">
        <v>0.25474101330314203</v>
      </c>
      <c r="Y50" s="73">
        <v>0.25474101330314203</v>
      </c>
      <c r="Z50" s="73">
        <v>0.25474101330314203</v>
      </c>
      <c r="AA50" s="73">
        <v>0.25474101330314203</v>
      </c>
      <c r="AB50" s="73">
        <v>0.25474101330314203</v>
      </c>
      <c r="AC50" s="73">
        <v>0.25474101330314203</v>
      </c>
      <c r="AD50" s="73">
        <v>0.25474101330314203</v>
      </c>
      <c r="AE50" s="73">
        <v>0.25474101330314203</v>
      </c>
      <c r="AF50" s="75">
        <f t="shared" ref="AF50:AO50" si="64">AE50</f>
        <v>0.25474101330314203</v>
      </c>
      <c r="AG50" s="75">
        <f t="shared" si="64"/>
        <v>0.25474101330314203</v>
      </c>
      <c r="AH50" s="75">
        <f t="shared" si="64"/>
        <v>0.25474101330314203</v>
      </c>
      <c r="AI50" s="75">
        <f t="shared" si="64"/>
        <v>0.25474101330314203</v>
      </c>
      <c r="AJ50" s="75">
        <f t="shared" si="64"/>
        <v>0.25474101330314203</v>
      </c>
      <c r="AK50" s="75">
        <f t="shared" si="64"/>
        <v>0.25474101330314203</v>
      </c>
      <c r="AL50" s="75">
        <f t="shared" si="64"/>
        <v>0.25474101330314203</v>
      </c>
      <c r="AM50" s="75">
        <f t="shared" si="64"/>
        <v>0.25474101330314203</v>
      </c>
      <c r="AN50" s="75">
        <f t="shared" si="64"/>
        <v>0.25474101330314203</v>
      </c>
      <c r="AO50" s="75">
        <f t="shared" si="64"/>
        <v>0.25474101330314203</v>
      </c>
    </row>
    <row r="51" spans="1:41" x14ac:dyDescent="0.35">
      <c r="A51" s="67" t="s">
        <v>52</v>
      </c>
      <c r="B51" s="68" t="s">
        <v>55</v>
      </c>
      <c r="C51" s="75" t="s">
        <v>40</v>
      </c>
      <c r="D51" s="75" t="s">
        <v>67</v>
      </c>
      <c r="E51" s="75">
        <v>0.29263534384652901</v>
      </c>
      <c r="F51" s="75">
        <v>0.29263534384652901</v>
      </c>
      <c r="G51" s="75">
        <v>0.29263534384652901</v>
      </c>
      <c r="H51" s="75">
        <v>0.29263534384652901</v>
      </c>
      <c r="I51" s="75">
        <v>0.29263534384652901</v>
      </c>
      <c r="J51" s="75">
        <v>0.29263534384652901</v>
      </c>
      <c r="K51" s="75">
        <v>0.29263534384652901</v>
      </c>
      <c r="L51" s="75">
        <v>0.29263534384652901</v>
      </c>
      <c r="M51" s="75">
        <v>0.29263534384652901</v>
      </c>
      <c r="N51" s="75">
        <v>0.29263534384652901</v>
      </c>
      <c r="O51" s="75">
        <v>0.29263534384652901</v>
      </c>
      <c r="P51" s="75">
        <v>0.29263534384652901</v>
      </c>
      <c r="Q51" s="75">
        <v>0.29263534384652901</v>
      </c>
      <c r="R51" s="75">
        <v>0.29263534384652901</v>
      </c>
      <c r="S51" s="75">
        <v>0.29263534384652901</v>
      </c>
      <c r="T51" s="75">
        <v>0.29263534384652901</v>
      </c>
      <c r="U51" s="75">
        <v>0.29263534384652901</v>
      </c>
      <c r="V51" s="75">
        <v>0.29263534384652901</v>
      </c>
      <c r="W51" s="75">
        <v>0.29263534384652901</v>
      </c>
      <c r="X51" s="75">
        <v>0.29263534384652901</v>
      </c>
      <c r="Y51" s="75">
        <v>0.29263534384652901</v>
      </c>
      <c r="Z51" s="75">
        <v>0.29263534384652901</v>
      </c>
      <c r="AA51" s="75">
        <v>0.29263534384652901</v>
      </c>
      <c r="AB51" s="75">
        <v>0.29263534384652901</v>
      </c>
      <c r="AC51" s="75">
        <v>0.29263534384652901</v>
      </c>
      <c r="AD51" s="75">
        <v>0.29263534384652901</v>
      </c>
      <c r="AE51" s="75">
        <v>0.29263534384652901</v>
      </c>
      <c r="AF51" s="75">
        <f t="shared" ref="AF51:AO51" si="65">AE51</f>
        <v>0.29263534384652901</v>
      </c>
      <c r="AG51" s="75">
        <f t="shared" si="65"/>
        <v>0.29263534384652901</v>
      </c>
      <c r="AH51" s="75">
        <f t="shared" si="65"/>
        <v>0.29263534384652901</v>
      </c>
      <c r="AI51" s="75">
        <f t="shared" si="65"/>
        <v>0.29263534384652901</v>
      </c>
      <c r="AJ51" s="75">
        <f t="shared" si="65"/>
        <v>0.29263534384652901</v>
      </c>
      <c r="AK51" s="75">
        <f t="shared" si="65"/>
        <v>0.29263534384652901</v>
      </c>
      <c r="AL51" s="75">
        <f t="shared" si="65"/>
        <v>0.29263534384652901</v>
      </c>
      <c r="AM51" s="75">
        <f t="shared" si="65"/>
        <v>0.29263534384652901</v>
      </c>
      <c r="AN51" s="75">
        <f t="shared" si="65"/>
        <v>0.29263534384652901</v>
      </c>
      <c r="AO51" s="75">
        <f t="shared" si="65"/>
        <v>0.29263534384652901</v>
      </c>
    </row>
    <row r="52" spans="1:41" x14ac:dyDescent="0.35">
      <c r="A52" s="67" t="s">
        <v>52</v>
      </c>
      <c r="B52" s="72" t="s">
        <v>56</v>
      </c>
      <c r="C52" s="73" t="s">
        <v>40</v>
      </c>
      <c r="D52" s="73" t="s">
        <v>67</v>
      </c>
      <c r="E52" s="73">
        <v>0.30002500208350702</v>
      </c>
      <c r="F52" s="73">
        <v>0.30002500208350702</v>
      </c>
      <c r="G52" s="73">
        <v>0.30002500208350702</v>
      </c>
      <c r="H52" s="73">
        <v>0.30002500208350702</v>
      </c>
      <c r="I52" s="73">
        <v>0.30002500208350702</v>
      </c>
      <c r="J52" s="73">
        <v>0.30002500208350702</v>
      </c>
      <c r="K52" s="73">
        <v>0.30002500208350702</v>
      </c>
      <c r="L52" s="73">
        <v>0.30002500208350702</v>
      </c>
      <c r="M52" s="73">
        <v>0.30002500208350702</v>
      </c>
      <c r="N52" s="73">
        <v>0.30002500208350702</v>
      </c>
      <c r="O52" s="73">
        <v>0.30002500208350702</v>
      </c>
      <c r="P52" s="73">
        <v>0.30002500208350702</v>
      </c>
      <c r="Q52" s="73">
        <v>0.30002500208350702</v>
      </c>
      <c r="R52" s="73">
        <v>0.30002500208350702</v>
      </c>
      <c r="S52" s="73">
        <v>0.30002500208350702</v>
      </c>
      <c r="T52" s="73">
        <v>0.30002500208350702</v>
      </c>
      <c r="U52" s="73">
        <v>0.30002500208350702</v>
      </c>
      <c r="V52" s="73">
        <v>0.30002500208350702</v>
      </c>
      <c r="W52" s="73">
        <v>0.30002500208350702</v>
      </c>
      <c r="X52" s="73">
        <v>0.30002500208350702</v>
      </c>
      <c r="Y52" s="73">
        <v>0.30002500208350702</v>
      </c>
      <c r="Z52" s="73">
        <v>0.30002500208350702</v>
      </c>
      <c r="AA52" s="73">
        <v>0.30002500208350702</v>
      </c>
      <c r="AB52" s="73">
        <v>0.30002500208350702</v>
      </c>
      <c r="AC52" s="73">
        <v>0.30002500208350702</v>
      </c>
      <c r="AD52" s="73">
        <v>0.30002500208350702</v>
      </c>
      <c r="AE52" s="73">
        <v>0.30002500208350702</v>
      </c>
      <c r="AF52" s="75">
        <f t="shared" ref="AF52:AO52" si="66">AE52</f>
        <v>0.30002500208350702</v>
      </c>
      <c r="AG52" s="75">
        <f t="shared" si="66"/>
        <v>0.30002500208350702</v>
      </c>
      <c r="AH52" s="75">
        <f t="shared" si="66"/>
        <v>0.30002500208350702</v>
      </c>
      <c r="AI52" s="75">
        <f t="shared" si="66"/>
        <v>0.30002500208350702</v>
      </c>
      <c r="AJ52" s="75">
        <f t="shared" si="66"/>
        <v>0.30002500208350702</v>
      </c>
      <c r="AK52" s="75">
        <f t="shared" si="66"/>
        <v>0.30002500208350702</v>
      </c>
      <c r="AL52" s="75">
        <f t="shared" si="66"/>
        <v>0.30002500208350702</v>
      </c>
      <c r="AM52" s="75">
        <f t="shared" si="66"/>
        <v>0.30002500208350702</v>
      </c>
      <c r="AN52" s="75">
        <f t="shared" si="66"/>
        <v>0.30002500208350702</v>
      </c>
      <c r="AO52" s="75">
        <f t="shared" si="66"/>
        <v>0.30002500208350702</v>
      </c>
    </row>
    <row r="53" spans="1:41" x14ac:dyDescent="0.35">
      <c r="A53" s="67" t="s">
        <v>52</v>
      </c>
      <c r="B53" s="68" t="s">
        <v>57</v>
      </c>
      <c r="C53" s="75" t="s">
        <v>40</v>
      </c>
      <c r="D53" s="75" t="s">
        <v>67</v>
      </c>
      <c r="E53" s="75">
        <v>0.189563477436681</v>
      </c>
      <c r="F53" s="75">
        <v>0.189563477436681</v>
      </c>
      <c r="G53" s="75">
        <v>0.189563477436681</v>
      </c>
      <c r="H53" s="75">
        <v>0.189563477436681</v>
      </c>
      <c r="I53" s="75">
        <v>0.189563477436681</v>
      </c>
      <c r="J53" s="75">
        <v>0.189563477436681</v>
      </c>
      <c r="K53" s="75">
        <v>0.189563477436681</v>
      </c>
      <c r="L53" s="75">
        <v>0.189563477436681</v>
      </c>
      <c r="M53" s="75">
        <v>0.189563477436681</v>
      </c>
      <c r="N53" s="75">
        <v>0.189563477436681</v>
      </c>
      <c r="O53" s="75">
        <v>0.189563477436681</v>
      </c>
      <c r="P53" s="75">
        <v>0.189563477436681</v>
      </c>
      <c r="Q53" s="75">
        <v>0.189563477436681</v>
      </c>
      <c r="R53" s="75">
        <v>0.189563477436681</v>
      </c>
      <c r="S53" s="75">
        <v>0.189563477436681</v>
      </c>
      <c r="T53" s="75">
        <v>0.189563477436681</v>
      </c>
      <c r="U53" s="75">
        <v>0.189563477436681</v>
      </c>
      <c r="V53" s="75">
        <v>0.189563477436681</v>
      </c>
      <c r="W53" s="75">
        <v>0.189563477436681</v>
      </c>
      <c r="X53" s="75">
        <v>0.189563477436681</v>
      </c>
      <c r="Y53" s="75">
        <v>0.189563477436681</v>
      </c>
      <c r="Z53" s="75">
        <v>0.189563477436681</v>
      </c>
      <c r="AA53" s="75">
        <v>0.189563477436681</v>
      </c>
      <c r="AB53" s="75">
        <v>0.189563477436681</v>
      </c>
      <c r="AC53" s="75">
        <v>0.189563477436681</v>
      </c>
      <c r="AD53" s="75">
        <v>0.189563477436681</v>
      </c>
      <c r="AE53" s="75">
        <v>0.189563477436681</v>
      </c>
      <c r="AF53" s="75">
        <f t="shared" ref="AF53:AO53" si="67">AE53</f>
        <v>0.189563477436681</v>
      </c>
      <c r="AG53" s="75">
        <f t="shared" si="67"/>
        <v>0.189563477436681</v>
      </c>
      <c r="AH53" s="75">
        <f t="shared" si="67"/>
        <v>0.189563477436681</v>
      </c>
      <c r="AI53" s="75">
        <f t="shared" si="67"/>
        <v>0.189563477436681</v>
      </c>
      <c r="AJ53" s="75">
        <f t="shared" si="67"/>
        <v>0.189563477436681</v>
      </c>
      <c r="AK53" s="75">
        <f t="shared" si="67"/>
        <v>0.189563477436681</v>
      </c>
      <c r="AL53" s="75">
        <f t="shared" si="67"/>
        <v>0.189563477436681</v>
      </c>
      <c r="AM53" s="75">
        <f t="shared" si="67"/>
        <v>0.189563477436681</v>
      </c>
      <c r="AN53" s="75">
        <f t="shared" si="67"/>
        <v>0.189563477436681</v>
      </c>
      <c r="AO53" s="75">
        <f t="shared" si="67"/>
        <v>0.189563477436681</v>
      </c>
    </row>
    <row r="54" spans="1:41" x14ac:dyDescent="0.35">
      <c r="A54" s="67" t="s">
        <v>52</v>
      </c>
      <c r="B54" s="72" t="s">
        <v>15</v>
      </c>
      <c r="C54" s="73" t="s">
        <v>40</v>
      </c>
      <c r="D54" s="73" t="s">
        <v>67</v>
      </c>
      <c r="E54" s="73">
        <v>1</v>
      </c>
      <c r="F54" s="73">
        <v>1</v>
      </c>
      <c r="G54" s="73">
        <v>1</v>
      </c>
      <c r="H54" s="73">
        <v>1</v>
      </c>
      <c r="I54" s="73">
        <v>1</v>
      </c>
      <c r="J54" s="73">
        <v>1</v>
      </c>
      <c r="K54" s="73">
        <v>1</v>
      </c>
      <c r="L54" s="73">
        <v>1</v>
      </c>
      <c r="M54" s="73">
        <v>1</v>
      </c>
      <c r="N54" s="73">
        <v>1</v>
      </c>
      <c r="O54" s="73">
        <v>1</v>
      </c>
      <c r="P54" s="73">
        <v>1</v>
      </c>
      <c r="Q54" s="73">
        <v>1</v>
      </c>
      <c r="R54" s="73">
        <v>1</v>
      </c>
      <c r="S54" s="73">
        <v>1</v>
      </c>
      <c r="T54" s="73">
        <v>1</v>
      </c>
      <c r="U54" s="73">
        <v>1</v>
      </c>
      <c r="V54" s="73">
        <v>1</v>
      </c>
      <c r="W54" s="73">
        <v>1</v>
      </c>
      <c r="X54" s="73">
        <v>1</v>
      </c>
      <c r="Y54" s="73">
        <v>1</v>
      </c>
      <c r="Z54" s="73">
        <v>1</v>
      </c>
      <c r="AA54" s="73">
        <v>1</v>
      </c>
      <c r="AB54" s="73">
        <v>1</v>
      </c>
      <c r="AC54" s="73">
        <v>1</v>
      </c>
      <c r="AD54" s="73">
        <v>1</v>
      </c>
      <c r="AE54" s="73">
        <v>1</v>
      </c>
      <c r="AF54" s="75">
        <f t="shared" ref="AF54:AO54" si="68">AE54</f>
        <v>1</v>
      </c>
      <c r="AG54" s="75">
        <f t="shared" si="68"/>
        <v>1</v>
      </c>
      <c r="AH54" s="75">
        <f t="shared" si="68"/>
        <v>1</v>
      </c>
      <c r="AI54" s="75">
        <f t="shared" si="68"/>
        <v>1</v>
      </c>
      <c r="AJ54" s="75">
        <f t="shared" si="68"/>
        <v>1</v>
      </c>
      <c r="AK54" s="75">
        <f t="shared" si="68"/>
        <v>1</v>
      </c>
      <c r="AL54" s="75">
        <f t="shared" si="68"/>
        <v>1</v>
      </c>
      <c r="AM54" s="75">
        <f t="shared" si="68"/>
        <v>1</v>
      </c>
      <c r="AN54" s="75">
        <f t="shared" si="68"/>
        <v>1</v>
      </c>
      <c r="AO54" s="75">
        <f t="shared" si="68"/>
        <v>1</v>
      </c>
    </row>
    <row r="55" spans="1:41" x14ac:dyDescent="0.35">
      <c r="A55" s="67" t="s">
        <v>52</v>
      </c>
      <c r="B55" s="68" t="s">
        <v>25</v>
      </c>
      <c r="C55" s="75" t="s">
        <v>40</v>
      </c>
      <c r="D55" s="75" t="s">
        <v>67</v>
      </c>
      <c r="E55" s="75">
        <v>0.36824877250409199</v>
      </c>
      <c r="F55" s="75">
        <v>0.36824877250409199</v>
      </c>
      <c r="G55" s="75">
        <v>0.36824877250409199</v>
      </c>
      <c r="H55" s="75">
        <v>0.36824877250409199</v>
      </c>
      <c r="I55" s="75">
        <v>0.36824877250409199</v>
      </c>
      <c r="J55" s="75">
        <v>0.36824877250409199</v>
      </c>
      <c r="K55" s="75">
        <v>0.36824877250409199</v>
      </c>
      <c r="L55" s="75">
        <v>0.36824877250409199</v>
      </c>
      <c r="M55" s="75">
        <v>0.36824877250409199</v>
      </c>
      <c r="N55" s="75">
        <v>0.36824877250409199</v>
      </c>
      <c r="O55" s="75">
        <v>0.36824877250409199</v>
      </c>
      <c r="P55" s="75">
        <v>0.36824877250409199</v>
      </c>
      <c r="Q55" s="75">
        <v>0.36824877250409199</v>
      </c>
      <c r="R55" s="75">
        <v>0.36824877250409199</v>
      </c>
      <c r="S55" s="75">
        <v>0.36824877250409199</v>
      </c>
      <c r="T55" s="75">
        <v>0.36824877250409199</v>
      </c>
      <c r="U55" s="75">
        <v>0.36824877250409199</v>
      </c>
      <c r="V55" s="75">
        <v>0.36824877250409199</v>
      </c>
      <c r="W55" s="75">
        <v>0.36824877250409199</v>
      </c>
      <c r="X55" s="75">
        <v>0.36824877250409199</v>
      </c>
      <c r="Y55" s="75">
        <v>0.36824877250409199</v>
      </c>
      <c r="Z55" s="75">
        <v>0.36824877250409199</v>
      </c>
      <c r="AA55" s="75">
        <v>0.36824877250409199</v>
      </c>
      <c r="AB55" s="75">
        <v>0.36824877250409199</v>
      </c>
      <c r="AC55" s="75">
        <v>0.36824877250409199</v>
      </c>
      <c r="AD55" s="75">
        <v>0.36824877250409199</v>
      </c>
      <c r="AE55" s="75">
        <v>0.36824877250409199</v>
      </c>
      <c r="AF55" s="75">
        <f t="shared" ref="AF55:AO55" si="69">AE55</f>
        <v>0.36824877250409199</v>
      </c>
      <c r="AG55" s="75">
        <f t="shared" si="69"/>
        <v>0.36824877250409199</v>
      </c>
      <c r="AH55" s="75">
        <f t="shared" si="69"/>
        <v>0.36824877250409199</v>
      </c>
      <c r="AI55" s="75">
        <f t="shared" si="69"/>
        <v>0.36824877250409199</v>
      </c>
      <c r="AJ55" s="75">
        <f t="shared" si="69"/>
        <v>0.36824877250409199</v>
      </c>
      <c r="AK55" s="75">
        <f t="shared" si="69"/>
        <v>0.36824877250409199</v>
      </c>
      <c r="AL55" s="75">
        <f t="shared" si="69"/>
        <v>0.36824877250409199</v>
      </c>
      <c r="AM55" s="75">
        <f t="shared" si="69"/>
        <v>0.36824877250409199</v>
      </c>
      <c r="AN55" s="75">
        <f t="shared" si="69"/>
        <v>0.36824877250409199</v>
      </c>
      <c r="AO55" s="75">
        <f t="shared" si="69"/>
        <v>0.36824877250409199</v>
      </c>
    </row>
    <row r="56" spans="1:41" x14ac:dyDescent="0.35">
      <c r="A56" s="67" t="s">
        <v>52</v>
      </c>
      <c r="B56" s="72" t="s">
        <v>26</v>
      </c>
      <c r="C56" s="73" t="s">
        <v>40</v>
      </c>
      <c r="D56" s="73" t="s">
        <v>67</v>
      </c>
      <c r="E56" s="73">
        <v>0.32</v>
      </c>
      <c r="F56" s="73">
        <v>0.32</v>
      </c>
      <c r="G56" s="73">
        <v>0.32</v>
      </c>
      <c r="H56" s="73">
        <v>0.32</v>
      </c>
      <c r="I56" s="73">
        <v>0.32</v>
      </c>
      <c r="J56" s="73">
        <v>0.32</v>
      </c>
      <c r="K56" s="73">
        <v>0.32</v>
      </c>
      <c r="L56" s="73">
        <v>0.32</v>
      </c>
      <c r="M56" s="73">
        <v>0.32</v>
      </c>
      <c r="N56" s="73">
        <v>0.32</v>
      </c>
      <c r="O56" s="73">
        <v>0.32</v>
      </c>
      <c r="P56" s="73">
        <v>0.32</v>
      </c>
      <c r="Q56" s="73">
        <v>0.32</v>
      </c>
      <c r="R56" s="73">
        <v>0.32</v>
      </c>
      <c r="S56" s="73">
        <v>0.32</v>
      </c>
      <c r="T56" s="73">
        <v>0.32</v>
      </c>
      <c r="U56" s="73">
        <v>0.32</v>
      </c>
      <c r="V56" s="73">
        <v>0.32</v>
      </c>
      <c r="W56" s="73">
        <v>0.32</v>
      </c>
      <c r="X56" s="73">
        <v>0.32</v>
      </c>
      <c r="Y56" s="73">
        <v>0.32</v>
      </c>
      <c r="Z56" s="73">
        <v>0.32</v>
      </c>
      <c r="AA56" s="73">
        <v>0.32</v>
      </c>
      <c r="AB56" s="73">
        <v>0.32</v>
      </c>
      <c r="AC56" s="73">
        <v>0.32</v>
      </c>
      <c r="AD56" s="73">
        <v>0.32</v>
      </c>
      <c r="AE56" s="73">
        <v>0.32</v>
      </c>
      <c r="AF56" s="75">
        <f t="shared" ref="AF56:AO56" si="70">AE56</f>
        <v>0.32</v>
      </c>
      <c r="AG56" s="75">
        <f t="shared" si="70"/>
        <v>0.32</v>
      </c>
      <c r="AH56" s="75">
        <f t="shared" si="70"/>
        <v>0.32</v>
      </c>
      <c r="AI56" s="75">
        <f t="shared" si="70"/>
        <v>0.32</v>
      </c>
      <c r="AJ56" s="75">
        <f t="shared" si="70"/>
        <v>0.32</v>
      </c>
      <c r="AK56" s="75">
        <f t="shared" si="70"/>
        <v>0.32</v>
      </c>
      <c r="AL56" s="75">
        <f t="shared" si="70"/>
        <v>0.32</v>
      </c>
      <c r="AM56" s="75">
        <f t="shared" si="70"/>
        <v>0.32</v>
      </c>
      <c r="AN56" s="75">
        <f t="shared" si="70"/>
        <v>0.32</v>
      </c>
      <c r="AO56" s="75">
        <f t="shared" si="70"/>
        <v>0.32</v>
      </c>
    </row>
    <row r="57" spans="1:41" x14ac:dyDescent="0.35">
      <c r="A57" s="67" t="s">
        <v>52</v>
      </c>
      <c r="B57" s="68" t="s">
        <v>23</v>
      </c>
      <c r="C57" s="75" t="s">
        <v>40</v>
      </c>
      <c r="D57" s="75" t="s">
        <v>67</v>
      </c>
      <c r="E57" s="75">
        <v>0.38083148206918399</v>
      </c>
      <c r="F57" s="75">
        <v>0.38083148206918399</v>
      </c>
      <c r="G57" s="75">
        <v>0.38083148206918399</v>
      </c>
      <c r="H57" s="75">
        <v>0.38083148206918399</v>
      </c>
      <c r="I57" s="75">
        <v>0.38083148206918399</v>
      </c>
      <c r="J57" s="75">
        <v>0.38083148206918399</v>
      </c>
      <c r="K57" s="75">
        <v>0.38083148206918399</v>
      </c>
      <c r="L57" s="75">
        <v>0.38083148206918399</v>
      </c>
      <c r="M57" s="75">
        <v>0.38083148206918399</v>
      </c>
      <c r="N57" s="75">
        <v>0.38083148206918399</v>
      </c>
      <c r="O57" s="75">
        <v>0.38083148206918399</v>
      </c>
      <c r="P57" s="75">
        <v>0.38083148206918399</v>
      </c>
      <c r="Q57" s="75">
        <v>0.38083148206918399</v>
      </c>
      <c r="R57" s="75">
        <v>0.38083148206918399</v>
      </c>
      <c r="S57" s="75">
        <v>0.38083148206918399</v>
      </c>
      <c r="T57" s="75">
        <v>0.38083148206918399</v>
      </c>
      <c r="U57" s="75">
        <v>0.38083148206918399</v>
      </c>
      <c r="V57" s="75">
        <v>0.38083148206918399</v>
      </c>
      <c r="W57" s="75">
        <v>0.38083148206918399</v>
      </c>
      <c r="X57" s="75">
        <v>0.38083148206918399</v>
      </c>
      <c r="Y57" s="75">
        <v>0.38083148206918399</v>
      </c>
      <c r="Z57" s="75">
        <v>0.38083148206918399</v>
      </c>
      <c r="AA57" s="75">
        <v>0.38083148206918399</v>
      </c>
      <c r="AB57" s="75">
        <v>0.38083148206918399</v>
      </c>
      <c r="AC57" s="75">
        <v>0.38083148206918399</v>
      </c>
      <c r="AD57" s="75">
        <v>0.38083148206918399</v>
      </c>
      <c r="AE57" s="75">
        <v>0.38083148206918399</v>
      </c>
      <c r="AF57" s="75">
        <f t="shared" ref="AF57:AO57" si="71">AE57</f>
        <v>0.38083148206918399</v>
      </c>
      <c r="AG57" s="75">
        <f t="shared" si="71"/>
        <v>0.38083148206918399</v>
      </c>
      <c r="AH57" s="75">
        <f t="shared" si="71"/>
        <v>0.38083148206918399</v>
      </c>
      <c r="AI57" s="75">
        <f t="shared" si="71"/>
        <v>0.38083148206918399</v>
      </c>
      <c r="AJ57" s="75">
        <f t="shared" si="71"/>
        <v>0.38083148206918399</v>
      </c>
      <c r="AK57" s="75">
        <f t="shared" si="71"/>
        <v>0.38083148206918399</v>
      </c>
      <c r="AL57" s="75">
        <f t="shared" si="71"/>
        <v>0.38083148206918399</v>
      </c>
      <c r="AM57" s="75">
        <f t="shared" si="71"/>
        <v>0.38083148206918399</v>
      </c>
      <c r="AN57" s="75">
        <f t="shared" si="71"/>
        <v>0.38083148206918399</v>
      </c>
      <c r="AO57" s="75">
        <f t="shared" si="71"/>
        <v>0.38083148206918399</v>
      </c>
    </row>
    <row r="58" spans="1:41" x14ac:dyDescent="0.35">
      <c r="A58" s="67" t="s">
        <v>52</v>
      </c>
      <c r="B58" s="72" t="s">
        <v>24</v>
      </c>
      <c r="C58" s="73" t="s">
        <v>40</v>
      </c>
      <c r="D58" s="73" t="str">
        <f>D57</f>
        <v>per unit</v>
      </c>
      <c r="E58" s="73">
        <v>0.38083148206918399</v>
      </c>
      <c r="F58" s="73">
        <f t="shared" ref="F58:AE58" si="72">F57</f>
        <v>0.38083148206918399</v>
      </c>
      <c r="G58" s="73">
        <f t="shared" si="72"/>
        <v>0.38083148206918399</v>
      </c>
      <c r="H58" s="73">
        <f t="shared" si="72"/>
        <v>0.38083148206918399</v>
      </c>
      <c r="I58" s="73">
        <f t="shared" si="72"/>
        <v>0.38083148206918399</v>
      </c>
      <c r="J58" s="73">
        <f t="shared" si="72"/>
        <v>0.38083148206918399</v>
      </c>
      <c r="K58" s="73">
        <f t="shared" si="72"/>
        <v>0.38083148206918399</v>
      </c>
      <c r="L58" s="73">
        <f t="shared" si="72"/>
        <v>0.38083148206918399</v>
      </c>
      <c r="M58" s="73">
        <f t="shared" si="72"/>
        <v>0.38083148206918399</v>
      </c>
      <c r="N58" s="73">
        <f t="shared" si="72"/>
        <v>0.38083148206918399</v>
      </c>
      <c r="O58" s="73">
        <f t="shared" si="72"/>
        <v>0.38083148206918399</v>
      </c>
      <c r="P58" s="73">
        <f t="shared" si="72"/>
        <v>0.38083148206918399</v>
      </c>
      <c r="Q58" s="73">
        <f t="shared" si="72"/>
        <v>0.38083148206918399</v>
      </c>
      <c r="R58" s="73">
        <f t="shared" si="72"/>
        <v>0.38083148206918399</v>
      </c>
      <c r="S58" s="73">
        <f t="shared" si="72"/>
        <v>0.38083148206918399</v>
      </c>
      <c r="T58" s="73">
        <f t="shared" si="72"/>
        <v>0.38083148206918399</v>
      </c>
      <c r="U58" s="73">
        <f t="shared" si="72"/>
        <v>0.38083148206918399</v>
      </c>
      <c r="V58" s="73">
        <f t="shared" si="72"/>
        <v>0.38083148206918399</v>
      </c>
      <c r="W58" s="73">
        <f t="shared" si="72"/>
        <v>0.38083148206918399</v>
      </c>
      <c r="X58" s="73">
        <f t="shared" si="72"/>
        <v>0.38083148206918399</v>
      </c>
      <c r="Y58" s="73">
        <f t="shared" si="72"/>
        <v>0.38083148206918399</v>
      </c>
      <c r="Z58" s="73">
        <f t="shared" si="72"/>
        <v>0.38083148206918399</v>
      </c>
      <c r="AA58" s="73">
        <f t="shared" si="72"/>
        <v>0.38083148206918399</v>
      </c>
      <c r="AB58" s="73">
        <f t="shared" si="72"/>
        <v>0.38083148206918399</v>
      </c>
      <c r="AC58" s="73">
        <f t="shared" si="72"/>
        <v>0.38083148206918399</v>
      </c>
      <c r="AD58" s="73">
        <f t="shared" si="72"/>
        <v>0.38083148206918399</v>
      </c>
      <c r="AE58" s="73">
        <f t="shared" si="72"/>
        <v>0.38083148206918399</v>
      </c>
      <c r="AF58" s="75">
        <f t="shared" ref="AF58:AO58" si="73">AE58</f>
        <v>0.38083148206918399</v>
      </c>
      <c r="AG58" s="75">
        <f t="shared" si="73"/>
        <v>0.38083148206918399</v>
      </c>
      <c r="AH58" s="75">
        <f t="shared" si="73"/>
        <v>0.38083148206918399</v>
      </c>
      <c r="AI58" s="75">
        <f t="shared" si="73"/>
        <v>0.38083148206918399</v>
      </c>
      <c r="AJ58" s="75">
        <f t="shared" si="73"/>
        <v>0.38083148206918399</v>
      </c>
      <c r="AK58" s="75">
        <f t="shared" si="73"/>
        <v>0.38083148206918399</v>
      </c>
      <c r="AL58" s="75">
        <f t="shared" si="73"/>
        <v>0.38083148206918399</v>
      </c>
      <c r="AM58" s="75">
        <f t="shared" si="73"/>
        <v>0.38083148206918399</v>
      </c>
      <c r="AN58" s="75">
        <f t="shared" si="73"/>
        <v>0.38083148206918399</v>
      </c>
      <c r="AO58" s="75">
        <f t="shared" si="73"/>
        <v>0.38083148206918399</v>
      </c>
    </row>
    <row r="59" spans="1:41" x14ac:dyDescent="0.35">
      <c r="A59" s="67" t="s">
        <v>52</v>
      </c>
      <c r="B59" s="68" t="s">
        <v>17</v>
      </c>
      <c r="C59" s="75" t="str">
        <f t="shared" ref="C59:C65" si="74">C57</f>
        <v>efficiency</v>
      </c>
      <c r="D59" s="75" t="s">
        <v>67</v>
      </c>
      <c r="E59" s="75">
        <v>0.38083148206918399</v>
      </c>
      <c r="F59" s="75">
        <v>0.38083148206918399</v>
      </c>
      <c r="G59" s="75">
        <v>0.38083148206918399</v>
      </c>
      <c r="H59" s="75">
        <v>0.38083148206918399</v>
      </c>
      <c r="I59" s="75">
        <v>0.38083148206918399</v>
      </c>
      <c r="J59" s="75">
        <v>0.38083148206918399</v>
      </c>
      <c r="K59" s="75">
        <v>0.38083148206918399</v>
      </c>
      <c r="L59" s="75">
        <v>0.38083148206918399</v>
      </c>
      <c r="M59" s="75">
        <v>0.38083148206918399</v>
      </c>
      <c r="N59" s="75">
        <v>0.38083148206918399</v>
      </c>
      <c r="O59" s="75">
        <v>0.38083148206918399</v>
      </c>
      <c r="P59" s="75">
        <v>0.38083148206918399</v>
      </c>
      <c r="Q59" s="75">
        <v>0.38083148206918399</v>
      </c>
      <c r="R59" s="75">
        <v>0.38083148206918399</v>
      </c>
      <c r="S59" s="75">
        <v>0.38083148206918399</v>
      </c>
      <c r="T59" s="75">
        <v>0.38083148206918399</v>
      </c>
      <c r="U59" s="75">
        <v>0.38083148206918399</v>
      </c>
      <c r="V59" s="75">
        <v>0.38083148206918399</v>
      </c>
      <c r="W59" s="75">
        <v>0.38083148206918399</v>
      </c>
      <c r="X59" s="75">
        <v>0.38083148206918399</v>
      </c>
      <c r="Y59" s="75">
        <v>0.38083148206918399</v>
      </c>
      <c r="Z59" s="75">
        <v>0.38083148206918399</v>
      </c>
      <c r="AA59" s="75">
        <v>0.38083148206918399</v>
      </c>
      <c r="AB59" s="75">
        <v>0.38083148206918399</v>
      </c>
      <c r="AC59" s="75">
        <v>0.38083148206918399</v>
      </c>
      <c r="AD59" s="75">
        <v>0.38083148206918399</v>
      </c>
      <c r="AE59" s="75">
        <v>0.38083148206918399</v>
      </c>
      <c r="AF59" s="75">
        <f t="shared" ref="AF59:AO59" si="75">AE59</f>
        <v>0.38083148206918399</v>
      </c>
      <c r="AG59" s="75">
        <f t="shared" si="75"/>
        <v>0.38083148206918399</v>
      </c>
      <c r="AH59" s="75">
        <f t="shared" si="75"/>
        <v>0.38083148206918399</v>
      </c>
      <c r="AI59" s="75">
        <f t="shared" si="75"/>
        <v>0.38083148206918399</v>
      </c>
      <c r="AJ59" s="75">
        <f t="shared" si="75"/>
        <v>0.38083148206918399</v>
      </c>
      <c r="AK59" s="75">
        <f t="shared" si="75"/>
        <v>0.38083148206918399</v>
      </c>
      <c r="AL59" s="75">
        <f t="shared" si="75"/>
        <v>0.38083148206918399</v>
      </c>
      <c r="AM59" s="75">
        <f t="shared" si="75"/>
        <v>0.38083148206918399</v>
      </c>
      <c r="AN59" s="75">
        <f t="shared" si="75"/>
        <v>0.38083148206918399</v>
      </c>
      <c r="AO59" s="75">
        <f t="shared" si="75"/>
        <v>0.38083148206918399</v>
      </c>
    </row>
    <row r="60" spans="1:41" x14ac:dyDescent="0.35">
      <c r="A60" s="67" t="s">
        <v>52</v>
      </c>
      <c r="B60" s="72" t="s">
        <v>18</v>
      </c>
      <c r="C60" s="73" t="str">
        <f t="shared" si="74"/>
        <v>efficiency</v>
      </c>
      <c r="D60" s="73" t="s">
        <v>67</v>
      </c>
      <c r="E60" s="73">
        <v>0.38083148206918399</v>
      </c>
      <c r="F60" s="73">
        <v>0.38083148206918399</v>
      </c>
      <c r="G60" s="73">
        <v>0.38083148206918399</v>
      </c>
      <c r="H60" s="73">
        <v>0.38083148206918399</v>
      </c>
      <c r="I60" s="73">
        <v>0.38083148206918399</v>
      </c>
      <c r="J60" s="73">
        <v>0.38083148206918399</v>
      </c>
      <c r="K60" s="73">
        <v>0.38083148206918399</v>
      </c>
      <c r="L60" s="73">
        <v>0.38083148206918399</v>
      </c>
      <c r="M60" s="73">
        <v>0.38083148206918399</v>
      </c>
      <c r="N60" s="73">
        <v>0.38083148206918399</v>
      </c>
      <c r="O60" s="73">
        <v>0.38083148206918399</v>
      </c>
      <c r="P60" s="73">
        <v>0.38083148206918399</v>
      </c>
      <c r="Q60" s="73">
        <v>0.38083148206918399</v>
      </c>
      <c r="R60" s="73">
        <v>0.38083148206918399</v>
      </c>
      <c r="S60" s="73">
        <v>0.38083148206918399</v>
      </c>
      <c r="T60" s="73">
        <v>0.38083148206918399</v>
      </c>
      <c r="U60" s="73">
        <v>0.38083148206918399</v>
      </c>
      <c r="V60" s="73">
        <v>0.38083148206918399</v>
      </c>
      <c r="W60" s="73">
        <v>0.38083148206918399</v>
      </c>
      <c r="X60" s="73">
        <v>0.38083148206918399</v>
      </c>
      <c r="Y60" s="73">
        <v>0.38083148206918399</v>
      </c>
      <c r="Z60" s="73">
        <v>0.38083148206918399</v>
      </c>
      <c r="AA60" s="73">
        <v>0.38083148206918399</v>
      </c>
      <c r="AB60" s="73">
        <v>0.38083148206918399</v>
      </c>
      <c r="AC60" s="73">
        <v>0.38083148206918399</v>
      </c>
      <c r="AD60" s="73">
        <v>0.38083148206918399</v>
      </c>
      <c r="AE60" s="73">
        <v>0.38083148206918399</v>
      </c>
      <c r="AF60" s="75">
        <f t="shared" ref="AF60:AO60" si="76">AE60</f>
        <v>0.38083148206918399</v>
      </c>
      <c r="AG60" s="75">
        <f t="shared" si="76"/>
        <v>0.38083148206918399</v>
      </c>
      <c r="AH60" s="75">
        <f t="shared" si="76"/>
        <v>0.38083148206918399</v>
      </c>
      <c r="AI60" s="75">
        <f t="shared" si="76"/>
        <v>0.38083148206918399</v>
      </c>
      <c r="AJ60" s="75">
        <f t="shared" si="76"/>
        <v>0.38083148206918399</v>
      </c>
      <c r="AK60" s="75">
        <f t="shared" si="76"/>
        <v>0.38083148206918399</v>
      </c>
      <c r="AL60" s="75">
        <f t="shared" si="76"/>
        <v>0.38083148206918399</v>
      </c>
      <c r="AM60" s="75">
        <f t="shared" si="76"/>
        <v>0.38083148206918399</v>
      </c>
      <c r="AN60" s="75">
        <f t="shared" si="76"/>
        <v>0.38083148206918399</v>
      </c>
      <c r="AO60" s="75">
        <f t="shared" si="76"/>
        <v>0.38083148206918399</v>
      </c>
    </row>
    <row r="61" spans="1:41" x14ac:dyDescent="0.35">
      <c r="A61" s="67" t="s">
        <v>52</v>
      </c>
      <c r="B61" s="68" t="s">
        <v>19</v>
      </c>
      <c r="C61" s="75" t="str">
        <f t="shared" si="74"/>
        <v>efficiency</v>
      </c>
      <c r="D61" s="75" t="s">
        <v>67</v>
      </c>
      <c r="E61" s="75">
        <v>0.38083148206918399</v>
      </c>
      <c r="F61" s="75">
        <v>0.38083148206918399</v>
      </c>
      <c r="G61" s="75">
        <v>0.38083148206918399</v>
      </c>
      <c r="H61" s="75">
        <v>0.38083148206918399</v>
      </c>
      <c r="I61" s="75">
        <v>0.38083148206918399</v>
      </c>
      <c r="J61" s="75">
        <v>0.38083148206918399</v>
      </c>
      <c r="K61" s="75">
        <v>0.38083148206918399</v>
      </c>
      <c r="L61" s="75">
        <v>0.38083148206918399</v>
      </c>
      <c r="M61" s="75">
        <v>0.38083148206918399</v>
      </c>
      <c r="N61" s="75">
        <v>0.38083148206918399</v>
      </c>
      <c r="O61" s="75">
        <v>0.38083148206918399</v>
      </c>
      <c r="P61" s="75">
        <v>0.38083148206918399</v>
      </c>
      <c r="Q61" s="75">
        <v>0.38083148206918399</v>
      </c>
      <c r="R61" s="75">
        <v>0.38083148206918399</v>
      </c>
      <c r="S61" s="75">
        <v>0.38083148206918399</v>
      </c>
      <c r="T61" s="75">
        <v>0.38083148206918399</v>
      </c>
      <c r="U61" s="75">
        <v>0.38083148206918399</v>
      </c>
      <c r="V61" s="75">
        <v>0.38083148206918399</v>
      </c>
      <c r="W61" s="75">
        <v>0.38083148206918399</v>
      </c>
      <c r="X61" s="75">
        <v>0.38083148206918399</v>
      </c>
      <c r="Y61" s="75">
        <v>0.38083148206918399</v>
      </c>
      <c r="Z61" s="75">
        <v>0.38083148206918399</v>
      </c>
      <c r="AA61" s="75">
        <v>0.38083148206918399</v>
      </c>
      <c r="AB61" s="75">
        <v>0.38083148206918399</v>
      </c>
      <c r="AC61" s="75">
        <v>0.38083148206918399</v>
      </c>
      <c r="AD61" s="75">
        <v>0.38083148206918399</v>
      </c>
      <c r="AE61" s="75">
        <v>0.38083148206918399</v>
      </c>
      <c r="AF61" s="75">
        <f t="shared" ref="AF61:AO61" si="77">AE61</f>
        <v>0.38083148206918399</v>
      </c>
      <c r="AG61" s="75">
        <f t="shared" si="77"/>
        <v>0.38083148206918399</v>
      </c>
      <c r="AH61" s="75">
        <f t="shared" si="77"/>
        <v>0.38083148206918399</v>
      </c>
      <c r="AI61" s="75">
        <f t="shared" si="77"/>
        <v>0.38083148206918399</v>
      </c>
      <c r="AJ61" s="75">
        <f t="shared" si="77"/>
        <v>0.38083148206918399</v>
      </c>
      <c r="AK61" s="75">
        <f t="shared" si="77"/>
        <v>0.38083148206918399</v>
      </c>
      <c r="AL61" s="75">
        <f t="shared" si="77"/>
        <v>0.38083148206918399</v>
      </c>
      <c r="AM61" s="75">
        <f t="shared" si="77"/>
        <v>0.38083148206918399</v>
      </c>
      <c r="AN61" s="75">
        <f t="shared" si="77"/>
        <v>0.38083148206918399</v>
      </c>
      <c r="AO61" s="75">
        <f t="shared" si="77"/>
        <v>0.38083148206918399</v>
      </c>
    </row>
    <row r="62" spans="1:41" x14ac:dyDescent="0.35">
      <c r="A62" s="67" t="s">
        <v>52</v>
      </c>
      <c r="B62" s="72" t="s">
        <v>20</v>
      </c>
      <c r="C62" s="73" t="str">
        <f t="shared" si="74"/>
        <v>efficiency</v>
      </c>
      <c r="D62" s="73" t="s">
        <v>67</v>
      </c>
      <c r="E62" s="73">
        <v>0.38083148206918399</v>
      </c>
      <c r="F62" s="73">
        <v>0.38083148206918399</v>
      </c>
      <c r="G62" s="73">
        <v>0.38083148206918399</v>
      </c>
      <c r="H62" s="73">
        <v>0.38083148206918399</v>
      </c>
      <c r="I62" s="73">
        <v>0.38083148206918399</v>
      </c>
      <c r="J62" s="73">
        <v>0.38083148206918399</v>
      </c>
      <c r="K62" s="73">
        <v>0.38083148206918399</v>
      </c>
      <c r="L62" s="73">
        <v>0.38083148206918399</v>
      </c>
      <c r="M62" s="73">
        <v>0.38083148206918399</v>
      </c>
      <c r="N62" s="73">
        <v>0.38083148206918399</v>
      </c>
      <c r="O62" s="73">
        <v>0.38083148206918399</v>
      </c>
      <c r="P62" s="73">
        <v>0.38083148206918399</v>
      </c>
      <c r="Q62" s="73">
        <v>0.38083148206918399</v>
      </c>
      <c r="R62" s="73">
        <v>0.38083148206918399</v>
      </c>
      <c r="S62" s="73">
        <v>0.38083148206918399</v>
      </c>
      <c r="T62" s="73">
        <v>0.38083148206918399</v>
      </c>
      <c r="U62" s="73">
        <v>0.38083148206918399</v>
      </c>
      <c r="V62" s="73">
        <v>0.38083148206918399</v>
      </c>
      <c r="W62" s="73">
        <v>0.38083148206918399</v>
      </c>
      <c r="X62" s="73">
        <v>0.38083148206918399</v>
      </c>
      <c r="Y62" s="73">
        <v>0.38083148206918399</v>
      </c>
      <c r="Z62" s="73">
        <v>0.38083148206918399</v>
      </c>
      <c r="AA62" s="73">
        <v>0.38083148206918399</v>
      </c>
      <c r="AB62" s="73">
        <v>0.38083148206918399</v>
      </c>
      <c r="AC62" s="73">
        <v>0.38083148206918399</v>
      </c>
      <c r="AD62" s="73">
        <v>0.38083148206918399</v>
      </c>
      <c r="AE62" s="73">
        <v>0.38083148206918399</v>
      </c>
      <c r="AF62" s="75">
        <f t="shared" ref="AF62:AO62" si="78">AE62</f>
        <v>0.38083148206918399</v>
      </c>
      <c r="AG62" s="75">
        <f t="shared" si="78"/>
        <v>0.38083148206918399</v>
      </c>
      <c r="AH62" s="75">
        <f t="shared" si="78"/>
        <v>0.38083148206918399</v>
      </c>
      <c r="AI62" s="75">
        <f t="shared" si="78"/>
        <v>0.38083148206918399</v>
      </c>
      <c r="AJ62" s="75">
        <f t="shared" si="78"/>
        <v>0.38083148206918399</v>
      </c>
      <c r="AK62" s="75">
        <f t="shared" si="78"/>
        <v>0.38083148206918399</v>
      </c>
      <c r="AL62" s="75">
        <f t="shared" si="78"/>
        <v>0.38083148206918399</v>
      </c>
      <c r="AM62" s="75">
        <f t="shared" si="78"/>
        <v>0.38083148206918399</v>
      </c>
      <c r="AN62" s="75">
        <f t="shared" si="78"/>
        <v>0.38083148206918399</v>
      </c>
      <c r="AO62" s="75">
        <f t="shared" si="78"/>
        <v>0.38083148206918399</v>
      </c>
    </row>
    <row r="63" spans="1:41" x14ac:dyDescent="0.35">
      <c r="A63" s="67" t="s">
        <v>52</v>
      </c>
      <c r="B63" s="68" t="s">
        <v>21</v>
      </c>
      <c r="C63" s="75" t="str">
        <f t="shared" si="74"/>
        <v>efficiency</v>
      </c>
      <c r="D63" s="75" t="s">
        <v>67</v>
      </c>
      <c r="E63" s="75">
        <v>0.38083148206918399</v>
      </c>
      <c r="F63" s="75">
        <v>0.38083148206918399</v>
      </c>
      <c r="G63" s="75">
        <v>0.38083148206918399</v>
      </c>
      <c r="H63" s="75">
        <v>0.38083148206918399</v>
      </c>
      <c r="I63" s="75">
        <v>0.38083148206918399</v>
      </c>
      <c r="J63" s="75">
        <v>0.38083148206918399</v>
      </c>
      <c r="K63" s="75">
        <v>0.38083148206918399</v>
      </c>
      <c r="L63" s="75">
        <v>0.38083148206918399</v>
      </c>
      <c r="M63" s="75">
        <v>0.38083148206918399</v>
      </c>
      <c r="N63" s="75">
        <v>0.38083148206918399</v>
      </c>
      <c r="O63" s="75">
        <v>0.38083148206918399</v>
      </c>
      <c r="P63" s="75">
        <v>0.38083148206918399</v>
      </c>
      <c r="Q63" s="75">
        <v>0.38083148206918399</v>
      </c>
      <c r="R63" s="75">
        <v>0.38083148206918399</v>
      </c>
      <c r="S63" s="75">
        <v>0.38083148206918399</v>
      </c>
      <c r="T63" s="75">
        <v>0.38083148206918399</v>
      </c>
      <c r="U63" s="75">
        <v>0.38083148206918399</v>
      </c>
      <c r="V63" s="75">
        <v>0.38083148206918399</v>
      </c>
      <c r="W63" s="75">
        <v>0.38083148206918399</v>
      </c>
      <c r="X63" s="75">
        <v>0.38083148206918399</v>
      </c>
      <c r="Y63" s="75">
        <v>0.38083148206918399</v>
      </c>
      <c r="Z63" s="75">
        <v>0.38083148206918399</v>
      </c>
      <c r="AA63" s="75">
        <v>0.38083148206918399</v>
      </c>
      <c r="AB63" s="75">
        <v>0.38083148206918399</v>
      </c>
      <c r="AC63" s="75">
        <v>0.38083148206918399</v>
      </c>
      <c r="AD63" s="75">
        <v>0.38083148206918399</v>
      </c>
      <c r="AE63" s="75">
        <v>0.38083148206918399</v>
      </c>
      <c r="AF63" s="75">
        <f t="shared" ref="AF63:AO63" si="79">AE63</f>
        <v>0.38083148206918399</v>
      </c>
      <c r="AG63" s="75">
        <f t="shared" si="79"/>
        <v>0.38083148206918399</v>
      </c>
      <c r="AH63" s="75">
        <f t="shared" si="79"/>
        <v>0.38083148206918399</v>
      </c>
      <c r="AI63" s="75">
        <f t="shared" si="79"/>
        <v>0.38083148206918399</v>
      </c>
      <c r="AJ63" s="75">
        <f t="shared" si="79"/>
        <v>0.38083148206918399</v>
      </c>
      <c r="AK63" s="75">
        <f t="shared" si="79"/>
        <v>0.38083148206918399</v>
      </c>
      <c r="AL63" s="75">
        <f t="shared" si="79"/>
        <v>0.38083148206918399</v>
      </c>
      <c r="AM63" s="75">
        <f t="shared" si="79"/>
        <v>0.38083148206918399</v>
      </c>
      <c r="AN63" s="75">
        <f t="shared" si="79"/>
        <v>0.38083148206918399</v>
      </c>
      <c r="AO63" s="75">
        <f t="shared" si="79"/>
        <v>0.38083148206918399</v>
      </c>
    </row>
    <row r="64" spans="1:41" x14ac:dyDescent="0.35">
      <c r="A64" s="67" t="s">
        <v>52</v>
      </c>
      <c r="B64" s="72" t="s">
        <v>22</v>
      </c>
      <c r="C64" s="73" t="str">
        <f t="shared" si="74"/>
        <v>efficiency</v>
      </c>
      <c r="D64" s="73" t="s">
        <v>67</v>
      </c>
      <c r="E64" s="73">
        <v>0.38083148206918399</v>
      </c>
      <c r="F64" s="73">
        <v>0.38083148206918399</v>
      </c>
      <c r="G64" s="73">
        <v>0.38083148206918399</v>
      </c>
      <c r="H64" s="73">
        <v>0.38083148206918399</v>
      </c>
      <c r="I64" s="73">
        <v>0.38083148206918399</v>
      </c>
      <c r="J64" s="73">
        <v>0.38083148206918399</v>
      </c>
      <c r="K64" s="73">
        <v>0.38083148206918399</v>
      </c>
      <c r="L64" s="73">
        <v>0.38083148206918399</v>
      </c>
      <c r="M64" s="73">
        <v>0.38083148206918399</v>
      </c>
      <c r="N64" s="73">
        <v>0.38083148206918399</v>
      </c>
      <c r="O64" s="73">
        <v>0.38083148206918399</v>
      </c>
      <c r="P64" s="73">
        <v>0.38083148206918399</v>
      </c>
      <c r="Q64" s="73">
        <v>0.38083148206918399</v>
      </c>
      <c r="R64" s="73">
        <v>0.38083148206918399</v>
      </c>
      <c r="S64" s="73">
        <v>0.38083148206918399</v>
      </c>
      <c r="T64" s="73">
        <v>0.38083148206918399</v>
      </c>
      <c r="U64" s="73">
        <v>0.38083148206918399</v>
      </c>
      <c r="V64" s="73">
        <v>0.38083148206918399</v>
      </c>
      <c r="W64" s="73">
        <v>0.38083148206918399</v>
      </c>
      <c r="X64" s="73">
        <v>0.38083148206918399</v>
      </c>
      <c r="Y64" s="73">
        <v>0.38083148206918399</v>
      </c>
      <c r="Z64" s="73">
        <v>0.38083148206918399</v>
      </c>
      <c r="AA64" s="73">
        <v>0.38083148206918399</v>
      </c>
      <c r="AB64" s="73">
        <v>0.38083148206918399</v>
      </c>
      <c r="AC64" s="73">
        <v>0.38083148206918399</v>
      </c>
      <c r="AD64" s="73">
        <v>0.38083148206918399</v>
      </c>
      <c r="AE64" s="73">
        <v>0.38083148206918399</v>
      </c>
      <c r="AF64" s="75">
        <f t="shared" ref="AF64:AO64" si="80">AE64</f>
        <v>0.38083148206918399</v>
      </c>
      <c r="AG64" s="75">
        <f t="shared" si="80"/>
        <v>0.38083148206918399</v>
      </c>
      <c r="AH64" s="75">
        <f t="shared" si="80"/>
        <v>0.38083148206918399</v>
      </c>
      <c r="AI64" s="75">
        <f t="shared" si="80"/>
        <v>0.38083148206918399</v>
      </c>
      <c r="AJ64" s="75">
        <f t="shared" si="80"/>
        <v>0.38083148206918399</v>
      </c>
      <c r="AK64" s="75">
        <f t="shared" si="80"/>
        <v>0.38083148206918399</v>
      </c>
      <c r="AL64" s="75">
        <f t="shared" si="80"/>
        <v>0.38083148206918399</v>
      </c>
      <c r="AM64" s="75">
        <f t="shared" si="80"/>
        <v>0.38083148206918399</v>
      </c>
      <c r="AN64" s="75">
        <f t="shared" si="80"/>
        <v>0.38083148206918399</v>
      </c>
      <c r="AO64" s="75">
        <f t="shared" si="80"/>
        <v>0.38083148206918399</v>
      </c>
    </row>
    <row r="65" spans="1:41" x14ac:dyDescent="0.35">
      <c r="A65" s="67" t="s">
        <v>52</v>
      </c>
      <c r="B65" s="72" t="s">
        <v>117</v>
      </c>
      <c r="C65" s="73" t="str">
        <f t="shared" si="74"/>
        <v>efficiency</v>
      </c>
      <c r="D65" s="73" t="s">
        <v>67</v>
      </c>
      <c r="E65" s="73">
        <v>0.38083148206918399</v>
      </c>
      <c r="F65" s="73">
        <v>0.38083148206918399</v>
      </c>
      <c r="G65" s="73">
        <v>0.38083148206918399</v>
      </c>
      <c r="H65" s="73">
        <v>0.38083148206918399</v>
      </c>
      <c r="I65" s="73">
        <v>0.38083148206918399</v>
      </c>
      <c r="J65" s="73">
        <v>0.38083148206918399</v>
      </c>
      <c r="K65" s="73">
        <v>0.38083148206918399</v>
      </c>
      <c r="L65" s="73">
        <v>0.38083148206918399</v>
      </c>
      <c r="M65" s="73">
        <v>0.38083148206918399</v>
      </c>
      <c r="N65" s="73">
        <v>0.38083148206918399</v>
      </c>
      <c r="O65" s="73">
        <v>0.38083148206918399</v>
      </c>
      <c r="P65" s="73">
        <v>0.38083148206918399</v>
      </c>
      <c r="Q65" s="73">
        <v>0.38083148206918399</v>
      </c>
      <c r="R65" s="73">
        <v>0.38083148206918399</v>
      </c>
      <c r="S65" s="73">
        <v>0.38083148206918399</v>
      </c>
      <c r="T65" s="73">
        <v>0.38083148206918399</v>
      </c>
      <c r="U65" s="73">
        <v>0.38083148206918399</v>
      </c>
      <c r="V65" s="73">
        <v>0.38083148206918399</v>
      </c>
      <c r="W65" s="73">
        <v>0.38083148206918399</v>
      </c>
      <c r="X65" s="73">
        <v>0.38083148206918399</v>
      </c>
      <c r="Y65" s="73">
        <v>0.38083148206918399</v>
      </c>
      <c r="Z65" s="73">
        <v>0.38083148206918399</v>
      </c>
      <c r="AA65" s="73">
        <v>0.38083148206918399</v>
      </c>
      <c r="AB65" s="73">
        <v>0.38083148206918399</v>
      </c>
      <c r="AC65" s="73">
        <v>0.38083148206918399</v>
      </c>
      <c r="AD65" s="73">
        <v>0.38083148206918399</v>
      </c>
      <c r="AE65" s="73">
        <v>0.38083148206918399</v>
      </c>
      <c r="AF65" s="75">
        <f t="shared" ref="AF65" si="81">AE65</f>
        <v>0.38083148206918399</v>
      </c>
      <c r="AG65" s="75">
        <f t="shared" ref="AG65" si="82">AF65</f>
        <v>0.38083148206918399</v>
      </c>
      <c r="AH65" s="75">
        <f t="shared" ref="AH65" si="83">AG65</f>
        <v>0.38083148206918399</v>
      </c>
      <c r="AI65" s="75">
        <f t="shared" ref="AI65" si="84">AH65</f>
        <v>0.38083148206918399</v>
      </c>
      <c r="AJ65" s="75">
        <f t="shared" ref="AJ65" si="85">AI65</f>
        <v>0.38083148206918399</v>
      </c>
      <c r="AK65" s="75">
        <f t="shared" ref="AK65" si="86">AJ65</f>
        <v>0.38083148206918399</v>
      </c>
      <c r="AL65" s="75">
        <f t="shared" ref="AL65" si="87">AK65</f>
        <v>0.38083148206918399</v>
      </c>
      <c r="AM65" s="75">
        <f t="shared" ref="AM65" si="88">AL65</f>
        <v>0.38083148206918399</v>
      </c>
      <c r="AN65" s="75">
        <f t="shared" ref="AN65" si="89">AM65</f>
        <v>0.38083148206918399</v>
      </c>
      <c r="AO65" s="75">
        <f t="shared" ref="AO65" si="90">AN65</f>
        <v>0.38083148206918399</v>
      </c>
    </row>
    <row r="66" spans="1:41" x14ac:dyDescent="0.35">
      <c r="A66" s="67" t="s">
        <v>52</v>
      </c>
      <c r="B66" s="68" t="s">
        <v>28</v>
      </c>
      <c r="C66" s="75" t="s">
        <v>40</v>
      </c>
      <c r="D66" s="75" t="s">
        <v>67</v>
      </c>
      <c r="E66" s="75">
        <v>0.78</v>
      </c>
      <c r="F66" s="75">
        <v>0.78</v>
      </c>
      <c r="G66" s="75">
        <v>0.78</v>
      </c>
      <c r="H66" s="75">
        <v>0.78</v>
      </c>
      <c r="I66" s="75">
        <v>0.78</v>
      </c>
      <c r="J66" s="75">
        <v>0.78</v>
      </c>
      <c r="K66" s="75">
        <v>0.78</v>
      </c>
      <c r="L66" s="75">
        <v>0.78</v>
      </c>
      <c r="M66" s="75">
        <v>0.78</v>
      </c>
      <c r="N66" s="75">
        <v>0.78</v>
      </c>
      <c r="O66" s="75">
        <v>0.78</v>
      </c>
      <c r="P66" s="75">
        <v>0.78</v>
      </c>
      <c r="Q66" s="75">
        <v>0.78</v>
      </c>
      <c r="R66" s="75">
        <v>0.78</v>
      </c>
      <c r="S66" s="75">
        <v>0.78</v>
      </c>
      <c r="T66" s="75">
        <v>0.78</v>
      </c>
      <c r="U66" s="75">
        <v>0.78</v>
      </c>
      <c r="V66" s="75">
        <v>0.78</v>
      </c>
      <c r="W66" s="75">
        <v>0.78</v>
      </c>
      <c r="X66" s="75">
        <v>0.78</v>
      </c>
      <c r="Y66" s="75">
        <v>0.78</v>
      </c>
      <c r="Z66" s="75">
        <v>0.78</v>
      </c>
      <c r="AA66" s="75">
        <v>0.78</v>
      </c>
      <c r="AB66" s="75">
        <v>0.78</v>
      </c>
      <c r="AC66" s="75">
        <v>0.78</v>
      </c>
      <c r="AD66" s="75">
        <v>0.78</v>
      </c>
      <c r="AE66" s="75">
        <v>0.78</v>
      </c>
      <c r="AF66" s="75">
        <f t="shared" ref="AF66:AO66" si="91">AE66</f>
        <v>0.78</v>
      </c>
      <c r="AG66" s="75">
        <f t="shared" si="91"/>
        <v>0.78</v>
      </c>
      <c r="AH66" s="75">
        <f t="shared" si="91"/>
        <v>0.78</v>
      </c>
      <c r="AI66" s="75">
        <f t="shared" si="91"/>
        <v>0.78</v>
      </c>
      <c r="AJ66" s="75">
        <f t="shared" si="91"/>
        <v>0.78</v>
      </c>
      <c r="AK66" s="75">
        <f t="shared" si="91"/>
        <v>0.78</v>
      </c>
      <c r="AL66" s="75">
        <f t="shared" si="91"/>
        <v>0.78</v>
      </c>
      <c r="AM66" s="75">
        <f t="shared" si="91"/>
        <v>0.78</v>
      </c>
      <c r="AN66" s="75">
        <f t="shared" si="91"/>
        <v>0.78</v>
      </c>
      <c r="AO66" s="75">
        <f t="shared" si="91"/>
        <v>0.78</v>
      </c>
    </row>
    <row r="67" spans="1:41" x14ac:dyDescent="0.35">
      <c r="A67" s="67" t="s">
        <v>52</v>
      </c>
      <c r="B67" s="72" t="s">
        <v>54</v>
      </c>
      <c r="C67" s="73" t="s">
        <v>42</v>
      </c>
      <c r="D67" s="73" t="s">
        <v>69</v>
      </c>
      <c r="E67" s="73">
        <v>0.5</v>
      </c>
      <c r="F67" s="73">
        <v>0.5</v>
      </c>
      <c r="G67" s="73">
        <v>0.5</v>
      </c>
      <c r="H67" s="73">
        <v>0.5</v>
      </c>
      <c r="I67" s="73">
        <v>0.5</v>
      </c>
      <c r="J67" s="73">
        <v>0.5</v>
      </c>
      <c r="K67" s="73">
        <v>0.5</v>
      </c>
      <c r="L67" s="73">
        <v>0.5</v>
      </c>
      <c r="M67" s="73">
        <v>0.5</v>
      </c>
      <c r="N67" s="73">
        <v>0.5</v>
      </c>
      <c r="O67" s="73">
        <v>0.5</v>
      </c>
      <c r="P67" s="73">
        <v>0.5</v>
      </c>
      <c r="Q67" s="73">
        <v>0.5</v>
      </c>
      <c r="R67" s="73">
        <v>0.5</v>
      </c>
      <c r="S67" s="73">
        <v>0.5</v>
      </c>
      <c r="T67" s="73">
        <v>0.5</v>
      </c>
      <c r="U67" s="73">
        <v>0.5</v>
      </c>
      <c r="V67" s="73">
        <v>0.5</v>
      </c>
      <c r="W67" s="73">
        <v>0.5</v>
      </c>
      <c r="X67" s="73">
        <v>0.5</v>
      </c>
      <c r="Y67" s="73">
        <v>0.5</v>
      </c>
      <c r="Z67" s="73">
        <v>0.5</v>
      </c>
      <c r="AA67" s="73">
        <v>0.5</v>
      </c>
      <c r="AB67" s="73">
        <v>0.5</v>
      </c>
      <c r="AC67" s="73">
        <v>0.5</v>
      </c>
      <c r="AD67" s="73">
        <v>0.5</v>
      </c>
      <c r="AE67" s="73">
        <v>0.5</v>
      </c>
      <c r="AF67" s="75">
        <f t="shared" ref="AF67:AO67" si="92">AE67</f>
        <v>0.5</v>
      </c>
      <c r="AG67" s="75">
        <f t="shared" si="92"/>
        <v>0.5</v>
      </c>
      <c r="AH67" s="75">
        <f t="shared" si="92"/>
        <v>0.5</v>
      </c>
      <c r="AI67" s="75">
        <f t="shared" si="92"/>
        <v>0.5</v>
      </c>
      <c r="AJ67" s="75">
        <f t="shared" si="92"/>
        <v>0.5</v>
      </c>
      <c r="AK67" s="75">
        <f t="shared" si="92"/>
        <v>0.5</v>
      </c>
      <c r="AL67" s="75">
        <f t="shared" si="92"/>
        <v>0.5</v>
      </c>
      <c r="AM67" s="75">
        <f t="shared" si="92"/>
        <v>0.5</v>
      </c>
      <c r="AN67" s="75">
        <f t="shared" si="92"/>
        <v>0.5</v>
      </c>
      <c r="AO67" s="75">
        <f t="shared" si="92"/>
        <v>0.5</v>
      </c>
    </row>
    <row r="68" spans="1:41" x14ac:dyDescent="0.35">
      <c r="A68" s="67" t="s">
        <v>52</v>
      </c>
      <c r="B68" s="68" t="s">
        <v>55</v>
      </c>
      <c r="C68" s="75" t="s">
        <v>42</v>
      </c>
      <c r="D68" s="75" t="s">
        <v>69</v>
      </c>
      <c r="E68" s="75">
        <v>1</v>
      </c>
      <c r="F68" s="75">
        <v>1</v>
      </c>
      <c r="G68" s="75">
        <v>1</v>
      </c>
      <c r="H68" s="75">
        <v>1</v>
      </c>
      <c r="I68" s="75">
        <v>1</v>
      </c>
      <c r="J68" s="75">
        <v>1</v>
      </c>
      <c r="K68" s="75">
        <v>1</v>
      </c>
      <c r="L68" s="75">
        <v>1</v>
      </c>
      <c r="M68" s="75">
        <v>1</v>
      </c>
      <c r="N68" s="75">
        <v>1</v>
      </c>
      <c r="O68" s="75">
        <v>1</v>
      </c>
      <c r="P68" s="75">
        <v>1</v>
      </c>
      <c r="Q68" s="75">
        <v>1</v>
      </c>
      <c r="R68" s="75">
        <v>1</v>
      </c>
      <c r="S68" s="75">
        <v>1</v>
      </c>
      <c r="T68" s="75">
        <v>1</v>
      </c>
      <c r="U68" s="75">
        <v>1</v>
      </c>
      <c r="V68" s="75">
        <v>1</v>
      </c>
      <c r="W68" s="75">
        <v>1</v>
      </c>
      <c r="X68" s="75">
        <v>1</v>
      </c>
      <c r="Y68" s="75">
        <v>1</v>
      </c>
      <c r="Z68" s="75">
        <v>1</v>
      </c>
      <c r="AA68" s="75">
        <v>1</v>
      </c>
      <c r="AB68" s="75">
        <v>1</v>
      </c>
      <c r="AC68" s="75">
        <v>1</v>
      </c>
      <c r="AD68" s="75">
        <v>1</v>
      </c>
      <c r="AE68" s="75">
        <v>1</v>
      </c>
      <c r="AF68" s="75">
        <f t="shared" ref="AF68:AO68" si="93">AE68</f>
        <v>1</v>
      </c>
      <c r="AG68" s="75">
        <f t="shared" si="93"/>
        <v>1</v>
      </c>
      <c r="AH68" s="75">
        <f t="shared" si="93"/>
        <v>1</v>
      </c>
      <c r="AI68" s="75">
        <f t="shared" si="93"/>
        <v>1</v>
      </c>
      <c r="AJ68" s="75">
        <f t="shared" si="93"/>
        <v>1</v>
      </c>
      <c r="AK68" s="75">
        <f t="shared" si="93"/>
        <v>1</v>
      </c>
      <c r="AL68" s="75">
        <f t="shared" si="93"/>
        <v>1</v>
      </c>
      <c r="AM68" s="75">
        <f t="shared" si="93"/>
        <v>1</v>
      </c>
      <c r="AN68" s="75">
        <f t="shared" si="93"/>
        <v>1</v>
      </c>
      <c r="AO68" s="75">
        <f t="shared" si="93"/>
        <v>1</v>
      </c>
    </row>
    <row r="69" spans="1:41" x14ac:dyDescent="0.35">
      <c r="A69" s="67" t="s">
        <v>52</v>
      </c>
      <c r="B69" s="72" t="s">
        <v>56</v>
      </c>
      <c r="C69" s="73" t="s">
        <v>42</v>
      </c>
      <c r="D69" s="73" t="s">
        <v>69</v>
      </c>
      <c r="E69" s="73">
        <v>1</v>
      </c>
      <c r="F69" s="73">
        <v>1</v>
      </c>
      <c r="G69" s="73">
        <v>1</v>
      </c>
      <c r="H69" s="73">
        <v>1</v>
      </c>
      <c r="I69" s="73">
        <v>1</v>
      </c>
      <c r="J69" s="73">
        <v>1</v>
      </c>
      <c r="K69" s="73">
        <v>1</v>
      </c>
      <c r="L69" s="73">
        <v>1</v>
      </c>
      <c r="M69" s="73">
        <v>1</v>
      </c>
      <c r="N69" s="73">
        <v>1</v>
      </c>
      <c r="O69" s="73">
        <v>1</v>
      </c>
      <c r="P69" s="73">
        <v>1</v>
      </c>
      <c r="Q69" s="73">
        <v>1</v>
      </c>
      <c r="R69" s="73">
        <v>1</v>
      </c>
      <c r="S69" s="73">
        <v>1</v>
      </c>
      <c r="T69" s="73">
        <v>1</v>
      </c>
      <c r="U69" s="73">
        <v>1</v>
      </c>
      <c r="V69" s="73">
        <v>1</v>
      </c>
      <c r="W69" s="73">
        <v>1</v>
      </c>
      <c r="X69" s="73">
        <v>1</v>
      </c>
      <c r="Y69" s="73">
        <v>1</v>
      </c>
      <c r="Z69" s="73">
        <v>1</v>
      </c>
      <c r="AA69" s="73">
        <v>1</v>
      </c>
      <c r="AB69" s="73">
        <v>1</v>
      </c>
      <c r="AC69" s="73">
        <v>1</v>
      </c>
      <c r="AD69" s="73">
        <v>1</v>
      </c>
      <c r="AE69" s="73">
        <v>1</v>
      </c>
      <c r="AF69" s="75">
        <f t="shared" ref="AF69:AO69" si="94">AE69</f>
        <v>1</v>
      </c>
      <c r="AG69" s="75">
        <f t="shared" si="94"/>
        <v>1</v>
      </c>
      <c r="AH69" s="75">
        <f t="shared" si="94"/>
        <v>1</v>
      </c>
      <c r="AI69" s="75">
        <f t="shared" si="94"/>
        <v>1</v>
      </c>
      <c r="AJ69" s="75">
        <f t="shared" si="94"/>
        <v>1</v>
      </c>
      <c r="AK69" s="75">
        <f t="shared" si="94"/>
        <v>1</v>
      </c>
      <c r="AL69" s="75">
        <f t="shared" si="94"/>
        <v>1</v>
      </c>
      <c r="AM69" s="75">
        <f t="shared" si="94"/>
        <v>1</v>
      </c>
      <c r="AN69" s="75">
        <f t="shared" si="94"/>
        <v>1</v>
      </c>
      <c r="AO69" s="75">
        <f t="shared" si="94"/>
        <v>1</v>
      </c>
    </row>
    <row r="70" spans="1:41" x14ac:dyDescent="0.35">
      <c r="A70" s="67" t="s">
        <v>52</v>
      </c>
      <c r="B70" s="68" t="s">
        <v>57</v>
      </c>
      <c r="C70" s="75" t="s">
        <v>42</v>
      </c>
      <c r="D70" s="75" t="s">
        <v>69</v>
      </c>
      <c r="E70" s="75">
        <v>1</v>
      </c>
      <c r="F70" s="75">
        <v>1</v>
      </c>
      <c r="G70" s="75">
        <v>1</v>
      </c>
      <c r="H70" s="75">
        <v>1</v>
      </c>
      <c r="I70" s="75">
        <v>1</v>
      </c>
      <c r="J70" s="75">
        <v>1</v>
      </c>
      <c r="K70" s="75">
        <v>1</v>
      </c>
      <c r="L70" s="75">
        <v>1</v>
      </c>
      <c r="M70" s="75">
        <v>1</v>
      </c>
      <c r="N70" s="75">
        <v>1</v>
      </c>
      <c r="O70" s="75">
        <v>1</v>
      </c>
      <c r="P70" s="75">
        <v>1</v>
      </c>
      <c r="Q70" s="75">
        <v>1</v>
      </c>
      <c r="R70" s="75">
        <v>1</v>
      </c>
      <c r="S70" s="75">
        <v>1</v>
      </c>
      <c r="T70" s="75">
        <v>1</v>
      </c>
      <c r="U70" s="75">
        <v>1</v>
      </c>
      <c r="V70" s="75">
        <v>1</v>
      </c>
      <c r="W70" s="75">
        <v>1</v>
      </c>
      <c r="X70" s="75">
        <v>1</v>
      </c>
      <c r="Y70" s="75">
        <v>1</v>
      </c>
      <c r="Z70" s="75">
        <v>1</v>
      </c>
      <c r="AA70" s="75">
        <v>1</v>
      </c>
      <c r="AB70" s="75">
        <v>1</v>
      </c>
      <c r="AC70" s="75">
        <v>1</v>
      </c>
      <c r="AD70" s="75">
        <v>1</v>
      </c>
      <c r="AE70" s="75">
        <v>1</v>
      </c>
      <c r="AF70" s="75">
        <f t="shared" ref="AF70:AO70" si="95">AE70</f>
        <v>1</v>
      </c>
      <c r="AG70" s="75">
        <f t="shared" si="95"/>
        <v>1</v>
      </c>
      <c r="AH70" s="75">
        <f t="shared" si="95"/>
        <v>1</v>
      </c>
      <c r="AI70" s="75">
        <f t="shared" si="95"/>
        <v>1</v>
      </c>
      <c r="AJ70" s="75">
        <f t="shared" si="95"/>
        <v>1</v>
      </c>
      <c r="AK70" s="75">
        <f t="shared" si="95"/>
        <v>1</v>
      </c>
      <c r="AL70" s="75">
        <f t="shared" si="95"/>
        <v>1</v>
      </c>
      <c r="AM70" s="75">
        <f t="shared" si="95"/>
        <v>1</v>
      </c>
      <c r="AN70" s="75">
        <f t="shared" si="95"/>
        <v>1</v>
      </c>
      <c r="AO70" s="75">
        <f t="shared" si="95"/>
        <v>1</v>
      </c>
    </row>
    <row r="71" spans="1:41" x14ac:dyDescent="0.35">
      <c r="A71" s="67" t="s">
        <v>52</v>
      </c>
      <c r="B71" s="72" t="s">
        <v>15</v>
      </c>
      <c r="C71" s="73" t="s">
        <v>42</v>
      </c>
      <c r="D71" s="73" t="s">
        <v>69</v>
      </c>
      <c r="E71" s="73">
        <v>0.5</v>
      </c>
      <c r="F71" s="73">
        <v>0.5</v>
      </c>
      <c r="G71" s="73">
        <v>0.5</v>
      </c>
      <c r="H71" s="73">
        <v>0.5</v>
      </c>
      <c r="I71" s="73">
        <v>0.5</v>
      </c>
      <c r="J71" s="73">
        <v>0.5</v>
      </c>
      <c r="K71" s="73">
        <v>0.5</v>
      </c>
      <c r="L71" s="73">
        <v>0.5</v>
      </c>
      <c r="M71" s="73">
        <v>0.5</v>
      </c>
      <c r="N71" s="73">
        <v>0.5</v>
      </c>
      <c r="O71" s="73">
        <v>0.5</v>
      </c>
      <c r="P71" s="73">
        <v>0.5</v>
      </c>
      <c r="Q71" s="73">
        <v>0.5</v>
      </c>
      <c r="R71" s="73">
        <v>0.5</v>
      </c>
      <c r="S71" s="73">
        <v>0.5</v>
      </c>
      <c r="T71" s="73">
        <v>0.5</v>
      </c>
      <c r="U71" s="73">
        <v>0.5</v>
      </c>
      <c r="V71" s="73">
        <v>0.5</v>
      </c>
      <c r="W71" s="73">
        <v>0.5</v>
      </c>
      <c r="X71" s="73">
        <v>0.5</v>
      </c>
      <c r="Y71" s="73">
        <v>0.5</v>
      </c>
      <c r="Z71" s="73">
        <v>0.5</v>
      </c>
      <c r="AA71" s="73">
        <v>0.5</v>
      </c>
      <c r="AB71" s="73">
        <v>0.5</v>
      </c>
      <c r="AC71" s="73">
        <v>0.5</v>
      </c>
      <c r="AD71" s="73">
        <v>0.5</v>
      </c>
      <c r="AE71" s="73">
        <v>0.5</v>
      </c>
      <c r="AF71" s="75">
        <f t="shared" ref="AF71:AO71" si="96">AE71</f>
        <v>0.5</v>
      </c>
      <c r="AG71" s="75">
        <f t="shared" si="96"/>
        <v>0.5</v>
      </c>
      <c r="AH71" s="75">
        <f t="shared" si="96"/>
        <v>0.5</v>
      </c>
      <c r="AI71" s="75">
        <f t="shared" si="96"/>
        <v>0.5</v>
      </c>
      <c r="AJ71" s="75">
        <f t="shared" si="96"/>
        <v>0.5</v>
      </c>
      <c r="AK71" s="75">
        <f t="shared" si="96"/>
        <v>0.5</v>
      </c>
      <c r="AL71" s="75">
        <f t="shared" si="96"/>
        <v>0.5</v>
      </c>
      <c r="AM71" s="75">
        <f t="shared" si="96"/>
        <v>0.5</v>
      </c>
      <c r="AN71" s="75">
        <f t="shared" si="96"/>
        <v>0.5</v>
      </c>
      <c r="AO71" s="75">
        <f t="shared" si="96"/>
        <v>0.5</v>
      </c>
    </row>
    <row r="72" spans="1:41" x14ac:dyDescent="0.35">
      <c r="A72" s="67" t="s">
        <v>52</v>
      </c>
      <c r="B72" s="68" t="s">
        <v>25</v>
      </c>
      <c r="C72" s="75" t="s">
        <v>42</v>
      </c>
      <c r="D72" s="75" t="s">
        <v>69</v>
      </c>
      <c r="E72" s="75">
        <v>0.5</v>
      </c>
      <c r="F72" s="75">
        <v>0.5</v>
      </c>
      <c r="G72" s="75">
        <v>0.5</v>
      </c>
      <c r="H72" s="75">
        <v>0.5</v>
      </c>
      <c r="I72" s="75">
        <v>0.5</v>
      </c>
      <c r="J72" s="75">
        <v>0.5</v>
      </c>
      <c r="K72" s="75">
        <v>0.5</v>
      </c>
      <c r="L72" s="75">
        <v>0.5</v>
      </c>
      <c r="M72" s="75">
        <v>0.5</v>
      </c>
      <c r="N72" s="75">
        <v>0.5</v>
      </c>
      <c r="O72" s="75">
        <v>0.5</v>
      </c>
      <c r="P72" s="75">
        <v>0.5</v>
      </c>
      <c r="Q72" s="75">
        <v>0.5</v>
      </c>
      <c r="R72" s="75">
        <v>0.5</v>
      </c>
      <c r="S72" s="75">
        <v>0.5</v>
      </c>
      <c r="T72" s="75">
        <v>0.5</v>
      </c>
      <c r="U72" s="75">
        <v>0.5</v>
      </c>
      <c r="V72" s="75">
        <v>0.5</v>
      </c>
      <c r="W72" s="75">
        <v>0.5</v>
      </c>
      <c r="X72" s="75">
        <v>0.5</v>
      </c>
      <c r="Y72" s="75">
        <v>0.5</v>
      </c>
      <c r="Z72" s="75">
        <v>0.5</v>
      </c>
      <c r="AA72" s="75">
        <v>0.5</v>
      </c>
      <c r="AB72" s="75">
        <v>0.5</v>
      </c>
      <c r="AC72" s="75">
        <v>0.5</v>
      </c>
      <c r="AD72" s="75">
        <v>0.5</v>
      </c>
      <c r="AE72" s="75">
        <v>0.5</v>
      </c>
      <c r="AF72" s="75">
        <f t="shared" ref="AF72:AO72" si="97">AE72</f>
        <v>0.5</v>
      </c>
      <c r="AG72" s="75">
        <f t="shared" si="97"/>
        <v>0.5</v>
      </c>
      <c r="AH72" s="75">
        <f t="shared" si="97"/>
        <v>0.5</v>
      </c>
      <c r="AI72" s="75">
        <f t="shared" si="97"/>
        <v>0.5</v>
      </c>
      <c r="AJ72" s="75">
        <f t="shared" si="97"/>
        <v>0.5</v>
      </c>
      <c r="AK72" s="75">
        <f t="shared" si="97"/>
        <v>0.5</v>
      </c>
      <c r="AL72" s="75">
        <f t="shared" si="97"/>
        <v>0.5</v>
      </c>
      <c r="AM72" s="75">
        <f t="shared" si="97"/>
        <v>0.5</v>
      </c>
      <c r="AN72" s="75">
        <f t="shared" si="97"/>
        <v>0.5</v>
      </c>
      <c r="AO72" s="75">
        <f t="shared" si="97"/>
        <v>0.5</v>
      </c>
    </row>
    <row r="73" spans="1:41" x14ac:dyDescent="0.35">
      <c r="A73" s="67" t="s">
        <v>52</v>
      </c>
      <c r="B73" s="72" t="s">
        <v>26</v>
      </c>
      <c r="C73" s="73" t="s">
        <v>42</v>
      </c>
      <c r="D73" s="73" t="s">
        <v>69</v>
      </c>
      <c r="E73" s="73">
        <v>0.15</v>
      </c>
      <c r="F73" s="73">
        <v>0.15</v>
      </c>
      <c r="G73" s="73">
        <v>0.15</v>
      </c>
      <c r="H73" s="73">
        <v>0.15</v>
      </c>
      <c r="I73" s="73">
        <v>0.15</v>
      </c>
      <c r="J73" s="73">
        <v>0.15</v>
      </c>
      <c r="K73" s="73">
        <v>0.15</v>
      </c>
      <c r="L73" s="73">
        <v>0.15</v>
      </c>
      <c r="M73" s="73">
        <v>0.15</v>
      </c>
      <c r="N73" s="73">
        <v>0.15</v>
      </c>
      <c r="O73" s="73">
        <v>0.15</v>
      </c>
      <c r="P73" s="73">
        <v>0.15</v>
      </c>
      <c r="Q73" s="73">
        <v>0.15</v>
      </c>
      <c r="R73" s="73">
        <v>0.15</v>
      </c>
      <c r="S73" s="73">
        <v>0.15</v>
      </c>
      <c r="T73" s="73">
        <v>0.15</v>
      </c>
      <c r="U73" s="73">
        <v>0.15</v>
      </c>
      <c r="V73" s="73">
        <v>0.15</v>
      </c>
      <c r="W73" s="73">
        <v>0.15</v>
      </c>
      <c r="X73" s="73">
        <v>0.15</v>
      </c>
      <c r="Y73" s="73">
        <v>0.15</v>
      </c>
      <c r="Z73" s="73">
        <v>0.15</v>
      </c>
      <c r="AA73" s="73">
        <v>0.15</v>
      </c>
      <c r="AB73" s="73">
        <v>0.15</v>
      </c>
      <c r="AC73" s="73">
        <v>0.15</v>
      </c>
      <c r="AD73" s="73">
        <v>0.15</v>
      </c>
      <c r="AE73" s="73">
        <v>0.15</v>
      </c>
      <c r="AF73" s="75">
        <f t="shared" ref="AF73:AO73" si="98">AE73</f>
        <v>0.15</v>
      </c>
      <c r="AG73" s="75">
        <f t="shared" si="98"/>
        <v>0.15</v>
      </c>
      <c r="AH73" s="75">
        <f t="shared" si="98"/>
        <v>0.15</v>
      </c>
      <c r="AI73" s="75">
        <f t="shared" si="98"/>
        <v>0.15</v>
      </c>
      <c r="AJ73" s="75">
        <f t="shared" si="98"/>
        <v>0.15</v>
      </c>
      <c r="AK73" s="75">
        <f t="shared" si="98"/>
        <v>0.15</v>
      </c>
      <c r="AL73" s="75">
        <f t="shared" si="98"/>
        <v>0.15</v>
      </c>
      <c r="AM73" s="75">
        <f t="shared" si="98"/>
        <v>0.15</v>
      </c>
      <c r="AN73" s="75">
        <f t="shared" si="98"/>
        <v>0.15</v>
      </c>
      <c r="AO73" s="75">
        <f t="shared" si="98"/>
        <v>0.15</v>
      </c>
    </row>
    <row r="74" spans="1:41" x14ac:dyDescent="0.35">
      <c r="A74" s="67" t="s">
        <v>52</v>
      </c>
      <c r="B74" s="68" t="s">
        <v>23</v>
      </c>
      <c r="C74" s="75" t="s">
        <v>42</v>
      </c>
      <c r="D74" s="75" t="s">
        <v>69</v>
      </c>
      <c r="E74" s="75">
        <v>1</v>
      </c>
      <c r="F74" s="75">
        <v>1</v>
      </c>
      <c r="G74" s="75">
        <v>1</v>
      </c>
      <c r="H74" s="75">
        <v>1</v>
      </c>
      <c r="I74" s="75">
        <v>1</v>
      </c>
      <c r="J74" s="75">
        <v>1</v>
      </c>
      <c r="K74" s="75">
        <v>1</v>
      </c>
      <c r="L74" s="75">
        <v>1</v>
      </c>
      <c r="M74" s="75">
        <v>1</v>
      </c>
      <c r="N74" s="75">
        <v>1</v>
      </c>
      <c r="O74" s="75">
        <v>1</v>
      </c>
      <c r="P74" s="75">
        <v>1</v>
      </c>
      <c r="Q74" s="75">
        <v>1</v>
      </c>
      <c r="R74" s="75">
        <v>1</v>
      </c>
      <c r="S74" s="75">
        <v>1</v>
      </c>
      <c r="T74" s="75">
        <v>1</v>
      </c>
      <c r="U74" s="75">
        <v>1</v>
      </c>
      <c r="V74" s="75">
        <v>1</v>
      </c>
      <c r="W74" s="75">
        <v>1</v>
      </c>
      <c r="X74" s="75">
        <v>1</v>
      </c>
      <c r="Y74" s="75">
        <v>1</v>
      </c>
      <c r="Z74" s="75">
        <v>1</v>
      </c>
      <c r="AA74" s="75">
        <v>1</v>
      </c>
      <c r="AB74" s="75">
        <v>1</v>
      </c>
      <c r="AC74" s="75">
        <v>1</v>
      </c>
      <c r="AD74" s="75">
        <v>1</v>
      </c>
      <c r="AE74" s="75">
        <v>1</v>
      </c>
      <c r="AF74" s="75">
        <f t="shared" ref="AF74:AO74" si="99">AE74</f>
        <v>1</v>
      </c>
      <c r="AG74" s="75">
        <f t="shared" si="99"/>
        <v>1</v>
      </c>
      <c r="AH74" s="75">
        <f t="shared" si="99"/>
        <v>1</v>
      </c>
      <c r="AI74" s="75">
        <f t="shared" si="99"/>
        <v>1</v>
      </c>
      <c r="AJ74" s="75">
        <f t="shared" si="99"/>
        <v>1</v>
      </c>
      <c r="AK74" s="75">
        <f t="shared" si="99"/>
        <v>1</v>
      </c>
      <c r="AL74" s="75">
        <f t="shared" si="99"/>
        <v>1</v>
      </c>
      <c r="AM74" s="75">
        <f t="shared" si="99"/>
        <v>1</v>
      </c>
      <c r="AN74" s="75">
        <f t="shared" si="99"/>
        <v>1</v>
      </c>
      <c r="AO74" s="75">
        <f t="shared" si="99"/>
        <v>1</v>
      </c>
    </row>
    <row r="75" spans="1:41" x14ac:dyDescent="0.35">
      <c r="A75" s="67" t="s">
        <v>52</v>
      </c>
      <c r="B75" s="72" t="s">
        <v>17</v>
      </c>
      <c r="C75" s="73" t="s">
        <v>42</v>
      </c>
      <c r="D75" s="73" t="s">
        <v>69</v>
      </c>
      <c r="E75" s="73">
        <v>1</v>
      </c>
      <c r="F75" s="73">
        <v>1</v>
      </c>
      <c r="G75" s="73">
        <v>1</v>
      </c>
      <c r="H75" s="73">
        <v>1</v>
      </c>
      <c r="I75" s="73">
        <v>1</v>
      </c>
      <c r="J75" s="73">
        <v>1</v>
      </c>
      <c r="K75" s="73">
        <v>1</v>
      </c>
      <c r="L75" s="73">
        <v>1</v>
      </c>
      <c r="M75" s="73">
        <v>1</v>
      </c>
      <c r="N75" s="73">
        <v>1</v>
      </c>
      <c r="O75" s="73">
        <v>1</v>
      </c>
      <c r="P75" s="73">
        <v>1</v>
      </c>
      <c r="Q75" s="73">
        <v>1</v>
      </c>
      <c r="R75" s="73">
        <v>1</v>
      </c>
      <c r="S75" s="73">
        <v>1</v>
      </c>
      <c r="T75" s="73">
        <v>1</v>
      </c>
      <c r="U75" s="73">
        <v>1</v>
      </c>
      <c r="V75" s="73">
        <v>1</v>
      </c>
      <c r="W75" s="73">
        <v>1</v>
      </c>
      <c r="X75" s="73">
        <v>1</v>
      </c>
      <c r="Y75" s="73">
        <v>1</v>
      </c>
      <c r="Z75" s="73">
        <v>1</v>
      </c>
      <c r="AA75" s="73">
        <v>1</v>
      </c>
      <c r="AB75" s="73">
        <v>1</v>
      </c>
      <c r="AC75" s="73">
        <v>1</v>
      </c>
      <c r="AD75" s="73">
        <v>1</v>
      </c>
      <c r="AE75" s="73">
        <v>1</v>
      </c>
      <c r="AF75" s="75">
        <f t="shared" ref="AF75:AO75" si="100">AE75</f>
        <v>1</v>
      </c>
      <c r="AG75" s="75">
        <f t="shared" si="100"/>
        <v>1</v>
      </c>
      <c r="AH75" s="75">
        <f t="shared" si="100"/>
        <v>1</v>
      </c>
      <c r="AI75" s="75">
        <f t="shared" si="100"/>
        <v>1</v>
      </c>
      <c r="AJ75" s="75">
        <f t="shared" si="100"/>
        <v>1</v>
      </c>
      <c r="AK75" s="75">
        <f t="shared" si="100"/>
        <v>1</v>
      </c>
      <c r="AL75" s="75">
        <f t="shared" si="100"/>
        <v>1</v>
      </c>
      <c r="AM75" s="75">
        <f t="shared" si="100"/>
        <v>1</v>
      </c>
      <c r="AN75" s="75">
        <f t="shared" si="100"/>
        <v>1</v>
      </c>
      <c r="AO75" s="75">
        <f t="shared" si="100"/>
        <v>1</v>
      </c>
    </row>
    <row r="76" spans="1:41" x14ac:dyDescent="0.35">
      <c r="A76" s="67" t="s">
        <v>52</v>
      </c>
      <c r="B76" s="68" t="s">
        <v>17</v>
      </c>
      <c r="C76" s="75" t="s">
        <v>42</v>
      </c>
      <c r="D76" s="75" t="s">
        <v>69</v>
      </c>
      <c r="E76" s="75">
        <v>1</v>
      </c>
      <c r="F76" s="75">
        <v>1</v>
      </c>
      <c r="G76" s="75">
        <v>1</v>
      </c>
      <c r="H76" s="75">
        <v>1</v>
      </c>
      <c r="I76" s="75">
        <v>1</v>
      </c>
      <c r="J76" s="75">
        <v>1</v>
      </c>
      <c r="K76" s="75">
        <v>1</v>
      </c>
      <c r="L76" s="75">
        <v>1</v>
      </c>
      <c r="M76" s="75">
        <v>1</v>
      </c>
      <c r="N76" s="75">
        <v>1</v>
      </c>
      <c r="O76" s="75">
        <v>1</v>
      </c>
      <c r="P76" s="75">
        <v>1</v>
      </c>
      <c r="Q76" s="75">
        <v>1</v>
      </c>
      <c r="R76" s="75">
        <v>1</v>
      </c>
      <c r="S76" s="75">
        <v>1</v>
      </c>
      <c r="T76" s="75">
        <v>1</v>
      </c>
      <c r="U76" s="75">
        <v>1</v>
      </c>
      <c r="V76" s="75">
        <v>1</v>
      </c>
      <c r="W76" s="75">
        <v>1</v>
      </c>
      <c r="X76" s="75">
        <v>1</v>
      </c>
      <c r="Y76" s="75">
        <v>1</v>
      </c>
      <c r="Z76" s="75">
        <v>1</v>
      </c>
      <c r="AA76" s="75">
        <v>1</v>
      </c>
      <c r="AB76" s="75">
        <v>1</v>
      </c>
      <c r="AC76" s="75">
        <v>1</v>
      </c>
      <c r="AD76" s="75">
        <v>1</v>
      </c>
      <c r="AE76" s="75">
        <v>1</v>
      </c>
      <c r="AF76" s="75">
        <f t="shared" ref="AF76:AO76" si="101">AE76</f>
        <v>1</v>
      </c>
      <c r="AG76" s="75">
        <f t="shared" si="101"/>
        <v>1</v>
      </c>
      <c r="AH76" s="75">
        <f t="shared" si="101"/>
        <v>1</v>
      </c>
      <c r="AI76" s="75">
        <f t="shared" si="101"/>
        <v>1</v>
      </c>
      <c r="AJ76" s="75">
        <f t="shared" si="101"/>
        <v>1</v>
      </c>
      <c r="AK76" s="75">
        <f t="shared" si="101"/>
        <v>1</v>
      </c>
      <c r="AL76" s="75">
        <f t="shared" si="101"/>
        <v>1</v>
      </c>
      <c r="AM76" s="75">
        <f t="shared" si="101"/>
        <v>1</v>
      </c>
      <c r="AN76" s="75">
        <f t="shared" si="101"/>
        <v>1</v>
      </c>
      <c r="AO76" s="75">
        <f t="shared" si="101"/>
        <v>1</v>
      </c>
    </row>
    <row r="77" spans="1:41" x14ac:dyDescent="0.35">
      <c r="A77" s="67" t="s">
        <v>52</v>
      </c>
      <c r="B77" s="72" t="s">
        <v>54</v>
      </c>
      <c r="C77" s="73" t="s">
        <v>43</v>
      </c>
      <c r="D77" s="73" t="s">
        <v>69</v>
      </c>
      <c r="E77" s="73">
        <v>0.5</v>
      </c>
      <c r="F77" s="73">
        <v>0.5</v>
      </c>
      <c r="G77" s="73">
        <v>0.5</v>
      </c>
      <c r="H77" s="73">
        <v>0.5</v>
      </c>
      <c r="I77" s="73">
        <v>0.5</v>
      </c>
      <c r="J77" s="73">
        <v>0.5</v>
      </c>
      <c r="K77" s="73">
        <v>0.5</v>
      </c>
      <c r="L77" s="73">
        <v>0.5</v>
      </c>
      <c r="M77" s="73">
        <v>0.5</v>
      </c>
      <c r="N77" s="73">
        <v>0.5</v>
      </c>
      <c r="O77" s="73">
        <v>0.5</v>
      </c>
      <c r="P77" s="73">
        <v>0.5</v>
      </c>
      <c r="Q77" s="73">
        <v>0.5</v>
      </c>
      <c r="R77" s="73">
        <v>0.5</v>
      </c>
      <c r="S77" s="73">
        <v>0.5</v>
      </c>
      <c r="T77" s="73">
        <v>0.5</v>
      </c>
      <c r="U77" s="73">
        <v>0.5</v>
      </c>
      <c r="V77" s="73">
        <v>0.5</v>
      </c>
      <c r="W77" s="73">
        <v>0.5</v>
      </c>
      <c r="X77" s="73">
        <v>0.5</v>
      </c>
      <c r="Y77" s="73">
        <v>0.5</v>
      </c>
      <c r="Z77" s="73">
        <v>0.5</v>
      </c>
      <c r="AA77" s="73">
        <v>0.5</v>
      </c>
      <c r="AB77" s="73">
        <v>0.5</v>
      </c>
      <c r="AC77" s="73">
        <v>0.5</v>
      </c>
      <c r="AD77" s="73">
        <v>0.5</v>
      </c>
      <c r="AE77" s="73">
        <v>0.5</v>
      </c>
      <c r="AF77" s="75">
        <f t="shared" ref="AF77:AO77" si="102">AE77</f>
        <v>0.5</v>
      </c>
      <c r="AG77" s="75">
        <f t="shared" si="102"/>
        <v>0.5</v>
      </c>
      <c r="AH77" s="75">
        <f t="shared" si="102"/>
        <v>0.5</v>
      </c>
      <c r="AI77" s="75">
        <f t="shared" si="102"/>
        <v>0.5</v>
      </c>
      <c r="AJ77" s="75">
        <f t="shared" si="102"/>
        <v>0.5</v>
      </c>
      <c r="AK77" s="75">
        <f t="shared" si="102"/>
        <v>0.5</v>
      </c>
      <c r="AL77" s="75">
        <f t="shared" si="102"/>
        <v>0.5</v>
      </c>
      <c r="AM77" s="75">
        <f t="shared" si="102"/>
        <v>0.5</v>
      </c>
      <c r="AN77" s="75">
        <f t="shared" si="102"/>
        <v>0.5</v>
      </c>
      <c r="AO77" s="75">
        <f t="shared" si="102"/>
        <v>0.5</v>
      </c>
    </row>
    <row r="78" spans="1:41" x14ac:dyDescent="0.35">
      <c r="A78" s="67" t="s">
        <v>52</v>
      </c>
      <c r="B78" s="68" t="s">
        <v>55</v>
      </c>
      <c r="C78" s="75" t="s">
        <v>43</v>
      </c>
      <c r="D78" s="75" t="s">
        <v>69</v>
      </c>
      <c r="E78" s="75">
        <v>1</v>
      </c>
      <c r="F78" s="75">
        <v>1</v>
      </c>
      <c r="G78" s="75">
        <v>1</v>
      </c>
      <c r="H78" s="75">
        <v>1</v>
      </c>
      <c r="I78" s="75">
        <v>1</v>
      </c>
      <c r="J78" s="75">
        <v>1</v>
      </c>
      <c r="K78" s="75">
        <v>1</v>
      </c>
      <c r="L78" s="75">
        <v>1</v>
      </c>
      <c r="M78" s="75">
        <v>1</v>
      </c>
      <c r="N78" s="75">
        <v>1</v>
      </c>
      <c r="O78" s="75">
        <v>1</v>
      </c>
      <c r="P78" s="75">
        <v>1</v>
      </c>
      <c r="Q78" s="75">
        <v>1</v>
      </c>
      <c r="R78" s="75">
        <v>1</v>
      </c>
      <c r="S78" s="75">
        <v>1</v>
      </c>
      <c r="T78" s="75">
        <v>1</v>
      </c>
      <c r="U78" s="75">
        <v>1</v>
      </c>
      <c r="V78" s="75">
        <v>1</v>
      </c>
      <c r="W78" s="75">
        <v>1</v>
      </c>
      <c r="X78" s="75">
        <v>1</v>
      </c>
      <c r="Y78" s="75">
        <v>1</v>
      </c>
      <c r="Z78" s="75">
        <v>1</v>
      </c>
      <c r="AA78" s="75">
        <v>1</v>
      </c>
      <c r="AB78" s="75">
        <v>1</v>
      </c>
      <c r="AC78" s="75">
        <v>1</v>
      </c>
      <c r="AD78" s="75">
        <v>1</v>
      </c>
      <c r="AE78" s="75">
        <v>1</v>
      </c>
      <c r="AF78" s="75">
        <f t="shared" ref="AF78:AO78" si="103">AE78</f>
        <v>1</v>
      </c>
      <c r="AG78" s="75">
        <f t="shared" si="103"/>
        <v>1</v>
      </c>
      <c r="AH78" s="75">
        <f t="shared" si="103"/>
        <v>1</v>
      </c>
      <c r="AI78" s="75">
        <f t="shared" si="103"/>
        <v>1</v>
      </c>
      <c r="AJ78" s="75">
        <f t="shared" si="103"/>
        <v>1</v>
      </c>
      <c r="AK78" s="75">
        <f t="shared" si="103"/>
        <v>1</v>
      </c>
      <c r="AL78" s="75">
        <f t="shared" si="103"/>
        <v>1</v>
      </c>
      <c r="AM78" s="75">
        <f t="shared" si="103"/>
        <v>1</v>
      </c>
      <c r="AN78" s="75">
        <f t="shared" si="103"/>
        <v>1</v>
      </c>
      <c r="AO78" s="75">
        <f t="shared" si="103"/>
        <v>1</v>
      </c>
    </row>
    <row r="79" spans="1:41" x14ac:dyDescent="0.35">
      <c r="A79" s="67" t="s">
        <v>52</v>
      </c>
      <c r="B79" s="72" t="s">
        <v>56</v>
      </c>
      <c r="C79" s="73" t="s">
        <v>43</v>
      </c>
      <c r="D79" s="73" t="s">
        <v>69</v>
      </c>
      <c r="E79" s="73">
        <v>1</v>
      </c>
      <c r="F79" s="73">
        <v>1</v>
      </c>
      <c r="G79" s="73">
        <v>1</v>
      </c>
      <c r="H79" s="73">
        <v>1</v>
      </c>
      <c r="I79" s="73">
        <v>1</v>
      </c>
      <c r="J79" s="73">
        <v>1</v>
      </c>
      <c r="K79" s="73">
        <v>1</v>
      </c>
      <c r="L79" s="73">
        <v>1</v>
      </c>
      <c r="M79" s="73">
        <v>1</v>
      </c>
      <c r="N79" s="73">
        <v>1</v>
      </c>
      <c r="O79" s="73">
        <v>1</v>
      </c>
      <c r="P79" s="73">
        <v>1</v>
      </c>
      <c r="Q79" s="73">
        <v>1</v>
      </c>
      <c r="R79" s="73">
        <v>1</v>
      </c>
      <c r="S79" s="73">
        <v>1</v>
      </c>
      <c r="T79" s="73">
        <v>1</v>
      </c>
      <c r="U79" s="73">
        <v>1</v>
      </c>
      <c r="V79" s="73">
        <v>1</v>
      </c>
      <c r="W79" s="73">
        <v>1</v>
      </c>
      <c r="X79" s="73">
        <v>1</v>
      </c>
      <c r="Y79" s="73">
        <v>1</v>
      </c>
      <c r="Z79" s="73">
        <v>1</v>
      </c>
      <c r="AA79" s="73">
        <v>1</v>
      </c>
      <c r="AB79" s="73">
        <v>1</v>
      </c>
      <c r="AC79" s="73">
        <v>1</v>
      </c>
      <c r="AD79" s="73">
        <v>1</v>
      </c>
      <c r="AE79" s="73">
        <v>1</v>
      </c>
      <c r="AF79" s="75">
        <f t="shared" ref="AF79:AO79" si="104">AE79</f>
        <v>1</v>
      </c>
      <c r="AG79" s="75">
        <f t="shared" si="104"/>
        <v>1</v>
      </c>
      <c r="AH79" s="75">
        <f t="shared" si="104"/>
        <v>1</v>
      </c>
      <c r="AI79" s="75">
        <f t="shared" si="104"/>
        <v>1</v>
      </c>
      <c r="AJ79" s="75">
        <f t="shared" si="104"/>
        <v>1</v>
      </c>
      <c r="AK79" s="75">
        <f t="shared" si="104"/>
        <v>1</v>
      </c>
      <c r="AL79" s="75">
        <f t="shared" si="104"/>
        <v>1</v>
      </c>
      <c r="AM79" s="75">
        <f t="shared" si="104"/>
        <v>1</v>
      </c>
      <c r="AN79" s="75">
        <f t="shared" si="104"/>
        <v>1</v>
      </c>
      <c r="AO79" s="75">
        <f t="shared" si="104"/>
        <v>1</v>
      </c>
    </row>
    <row r="80" spans="1:41" x14ac:dyDescent="0.35">
      <c r="A80" s="67" t="s">
        <v>52</v>
      </c>
      <c r="B80" s="68" t="s">
        <v>57</v>
      </c>
      <c r="C80" s="75" t="s">
        <v>43</v>
      </c>
      <c r="D80" s="75" t="s">
        <v>69</v>
      </c>
      <c r="E80" s="75">
        <v>1</v>
      </c>
      <c r="F80" s="75">
        <v>1</v>
      </c>
      <c r="G80" s="75">
        <v>1</v>
      </c>
      <c r="H80" s="75">
        <v>1</v>
      </c>
      <c r="I80" s="75">
        <v>1</v>
      </c>
      <c r="J80" s="75">
        <v>1</v>
      </c>
      <c r="K80" s="75">
        <v>1</v>
      </c>
      <c r="L80" s="75">
        <v>1</v>
      </c>
      <c r="M80" s="75">
        <v>1</v>
      </c>
      <c r="N80" s="75">
        <v>1</v>
      </c>
      <c r="O80" s="75">
        <v>1</v>
      </c>
      <c r="P80" s="75">
        <v>1</v>
      </c>
      <c r="Q80" s="75">
        <v>1</v>
      </c>
      <c r="R80" s="75">
        <v>1</v>
      </c>
      <c r="S80" s="75">
        <v>1</v>
      </c>
      <c r="T80" s="75">
        <v>1</v>
      </c>
      <c r="U80" s="75">
        <v>1</v>
      </c>
      <c r="V80" s="75">
        <v>1</v>
      </c>
      <c r="W80" s="75">
        <v>1</v>
      </c>
      <c r="X80" s="75">
        <v>1</v>
      </c>
      <c r="Y80" s="75">
        <v>1</v>
      </c>
      <c r="Z80" s="75">
        <v>1</v>
      </c>
      <c r="AA80" s="75">
        <v>1</v>
      </c>
      <c r="AB80" s="75">
        <v>1</v>
      </c>
      <c r="AC80" s="75">
        <v>1</v>
      </c>
      <c r="AD80" s="75">
        <v>1</v>
      </c>
      <c r="AE80" s="75">
        <v>1</v>
      </c>
      <c r="AF80" s="75">
        <f t="shared" ref="AF80:AO80" si="105">AE80</f>
        <v>1</v>
      </c>
      <c r="AG80" s="75">
        <f t="shared" si="105"/>
        <v>1</v>
      </c>
      <c r="AH80" s="75">
        <f t="shared" si="105"/>
        <v>1</v>
      </c>
      <c r="AI80" s="75">
        <f t="shared" si="105"/>
        <v>1</v>
      </c>
      <c r="AJ80" s="75">
        <f t="shared" si="105"/>
        <v>1</v>
      </c>
      <c r="AK80" s="75">
        <f t="shared" si="105"/>
        <v>1</v>
      </c>
      <c r="AL80" s="75">
        <f t="shared" si="105"/>
        <v>1</v>
      </c>
      <c r="AM80" s="75">
        <f t="shared" si="105"/>
        <v>1</v>
      </c>
      <c r="AN80" s="75">
        <f t="shared" si="105"/>
        <v>1</v>
      </c>
      <c r="AO80" s="75">
        <f t="shared" si="105"/>
        <v>1</v>
      </c>
    </row>
    <row r="81" spans="1:41" x14ac:dyDescent="0.35">
      <c r="A81" s="67" t="s">
        <v>52</v>
      </c>
      <c r="B81" s="72" t="s">
        <v>15</v>
      </c>
      <c r="C81" s="73" t="s">
        <v>43</v>
      </c>
      <c r="D81" s="73" t="s">
        <v>69</v>
      </c>
      <c r="E81" s="73">
        <v>0.5</v>
      </c>
      <c r="F81" s="73">
        <v>0.5</v>
      </c>
      <c r="G81" s="73">
        <v>0.5</v>
      </c>
      <c r="H81" s="73">
        <v>0.5</v>
      </c>
      <c r="I81" s="73">
        <v>0.5</v>
      </c>
      <c r="J81" s="73">
        <v>0.5</v>
      </c>
      <c r="K81" s="73">
        <v>0.5</v>
      </c>
      <c r="L81" s="73">
        <v>0.5</v>
      </c>
      <c r="M81" s="73">
        <v>0.5</v>
      </c>
      <c r="N81" s="73">
        <v>0.5</v>
      </c>
      <c r="O81" s="73">
        <v>0.5</v>
      </c>
      <c r="P81" s="73">
        <v>0.5</v>
      </c>
      <c r="Q81" s="73">
        <v>0.5</v>
      </c>
      <c r="R81" s="73">
        <v>0.5</v>
      </c>
      <c r="S81" s="73">
        <v>0.5</v>
      </c>
      <c r="T81" s="73">
        <v>0.5</v>
      </c>
      <c r="U81" s="73">
        <v>0.5</v>
      </c>
      <c r="V81" s="73">
        <v>0.5</v>
      </c>
      <c r="W81" s="73">
        <v>0.5</v>
      </c>
      <c r="X81" s="73">
        <v>0.5</v>
      </c>
      <c r="Y81" s="73">
        <v>0.5</v>
      </c>
      <c r="Z81" s="73">
        <v>0.5</v>
      </c>
      <c r="AA81" s="73">
        <v>0.5</v>
      </c>
      <c r="AB81" s="73">
        <v>0.5</v>
      </c>
      <c r="AC81" s="73">
        <v>0.5</v>
      </c>
      <c r="AD81" s="73">
        <v>0.5</v>
      </c>
      <c r="AE81" s="73">
        <v>0.5</v>
      </c>
      <c r="AF81" s="75">
        <f t="shared" ref="AF81:AO81" si="106">AE81</f>
        <v>0.5</v>
      </c>
      <c r="AG81" s="75">
        <f t="shared" si="106"/>
        <v>0.5</v>
      </c>
      <c r="AH81" s="75">
        <f t="shared" si="106"/>
        <v>0.5</v>
      </c>
      <c r="AI81" s="75">
        <f t="shared" si="106"/>
        <v>0.5</v>
      </c>
      <c r="AJ81" s="75">
        <f t="shared" si="106"/>
        <v>0.5</v>
      </c>
      <c r="AK81" s="75">
        <f t="shared" si="106"/>
        <v>0.5</v>
      </c>
      <c r="AL81" s="75">
        <f t="shared" si="106"/>
        <v>0.5</v>
      </c>
      <c r="AM81" s="75">
        <f t="shared" si="106"/>
        <v>0.5</v>
      </c>
      <c r="AN81" s="75">
        <f t="shared" si="106"/>
        <v>0.5</v>
      </c>
      <c r="AO81" s="75">
        <f t="shared" si="106"/>
        <v>0.5</v>
      </c>
    </row>
    <row r="82" spans="1:41" x14ac:dyDescent="0.35">
      <c r="A82" s="67" t="s">
        <v>52</v>
      </c>
      <c r="B82" s="68" t="s">
        <v>25</v>
      </c>
      <c r="C82" s="75" t="s">
        <v>43</v>
      </c>
      <c r="D82" s="75" t="s">
        <v>69</v>
      </c>
      <c r="E82" s="75">
        <v>0.5</v>
      </c>
      <c r="F82" s="75">
        <v>0.5</v>
      </c>
      <c r="G82" s="75">
        <v>0.5</v>
      </c>
      <c r="H82" s="75">
        <v>0.5</v>
      </c>
      <c r="I82" s="75">
        <v>0.5</v>
      </c>
      <c r="J82" s="75">
        <v>0.5</v>
      </c>
      <c r="K82" s="75">
        <v>0.5</v>
      </c>
      <c r="L82" s="75">
        <v>0.5</v>
      </c>
      <c r="M82" s="75">
        <v>0.5</v>
      </c>
      <c r="N82" s="75">
        <v>0.5</v>
      </c>
      <c r="O82" s="75">
        <v>0.5</v>
      </c>
      <c r="P82" s="75">
        <v>0.5</v>
      </c>
      <c r="Q82" s="75">
        <v>0.5</v>
      </c>
      <c r="R82" s="75">
        <v>0.5</v>
      </c>
      <c r="S82" s="75">
        <v>0.5</v>
      </c>
      <c r="T82" s="75">
        <v>0.5</v>
      </c>
      <c r="U82" s="75">
        <v>0.5</v>
      </c>
      <c r="V82" s="75">
        <v>0.5</v>
      </c>
      <c r="W82" s="75">
        <v>0.5</v>
      </c>
      <c r="X82" s="75">
        <v>0.5</v>
      </c>
      <c r="Y82" s="75">
        <v>0.5</v>
      </c>
      <c r="Z82" s="75">
        <v>0.5</v>
      </c>
      <c r="AA82" s="75">
        <v>0.5</v>
      </c>
      <c r="AB82" s="75">
        <v>0.5</v>
      </c>
      <c r="AC82" s="75">
        <v>0.5</v>
      </c>
      <c r="AD82" s="75">
        <v>0.5</v>
      </c>
      <c r="AE82" s="75">
        <v>0.5</v>
      </c>
      <c r="AF82" s="75">
        <f t="shared" ref="AF82:AO82" si="107">AE82</f>
        <v>0.5</v>
      </c>
      <c r="AG82" s="75">
        <f t="shared" si="107"/>
        <v>0.5</v>
      </c>
      <c r="AH82" s="75">
        <f t="shared" si="107"/>
        <v>0.5</v>
      </c>
      <c r="AI82" s="75">
        <f t="shared" si="107"/>
        <v>0.5</v>
      </c>
      <c r="AJ82" s="75">
        <f t="shared" si="107"/>
        <v>0.5</v>
      </c>
      <c r="AK82" s="75">
        <f t="shared" si="107"/>
        <v>0.5</v>
      </c>
      <c r="AL82" s="75">
        <f t="shared" si="107"/>
        <v>0.5</v>
      </c>
      <c r="AM82" s="75">
        <f t="shared" si="107"/>
        <v>0.5</v>
      </c>
      <c r="AN82" s="75">
        <f t="shared" si="107"/>
        <v>0.5</v>
      </c>
      <c r="AO82" s="75">
        <f t="shared" si="107"/>
        <v>0.5</v>
      </c>
    </row>
    <row r="83" spans="1:41" x14ac:dyDescent="0.35">
      <c r="A83" s="67" t="s">
        <v>52</v>
      </c>
      <c r="B83" s="72" t="s">
        <v>26</v>
      </c>
      <c r="C83" s="73" t="s">
        <v>43</v>
      </c>
      <c r="D83" s="73" t="s">
        <v>69</v>
      </c>
      <c r="E83" s="73">
        <v>0.15</v>
      </c>
      <c r="F83" s="73">
        <v>0.15</v>
      </c>
      <c r="G83" s="73">
        <v>0.15</v>
      </c>
      <c r="H83" s="73">
        <v>0.15</v>
      </c>
      <c r="I83" s="73">
        <v>0.15</v>
      </c>
      <c r="J83" s="73">
        <v>0.15</v>
      </c>
      <c r="K83" s="73">
        <v>0.15</v>
      </c>
      <c r="L83" s="73">
        <v>0.15</v>
      </c>
      <c r="M83" s="73">
        <v>0.15</v>
      </c>
      <c r="N83" s="73">
        <v>0.15</v>
      </c>
      <c r="O83" s="73">
        <v>0.15</v>
      </c>
      <c r="P83" s="73">
        <v>0.15</v>
      </c>
      <c r="Q83" s="73">
        <v>0.15</v>
      </c>
      <c r="R83" s="73">
        <v>0.15</v>
      </c>
      <c r="S83" s="73">
        <v>0.15</v>
      </c>
      <c r="T83" s="73">
        <v>0.15</v>
      </c>
      <c r="U83" s="73">
        <v>0.15</v>
      </c>
      <c r="V83" s="73">
        <v>0.15</v>
      </c>
      <c r="W83" s="73">
        <v>0.15</v>
      </c>
      <c r="X83" s="73">
        <v>0.15</v>
      </c>
      <c r="Y83" s="73">
        <v>0.15</v>
      </c>
      <c r="Z83" s="73">
        <v>0.15</v>
      </c>
      <c r="AA83" s="73">
        <v>0.15</v>
      </c>
      <c r="AB83" s="73">
        <v>0.15</v>
      </c>
      <c r="AC83" s="73">
        <v>0.15</v>
      </c>
      <c r="AD83" s="73">
        <v>0.15</v>
      </c>
      <c r="AE83" s="73">
        <v>0.15</v>
      </c>
      <c r="AF83" s="75">
        <f t="shared" ref="AF83:AO83" si="108">AE83</f>
        <v>0.15</v>
      </c>
      <c r="AG83" s="75">
        <f t="shared" si="108"/>
        <v>0.15</v>
      </c>
      <c r="AH83" s="75">
        <f t="shared" si="108"/>
        <v>0.15</v>
      </c>
      <c r="AI83" s="75">
        <f t="shared" si="108"/>
        <v>0.15</v>
      </c>
      <c r="AJ83" s="75">
        <f t="shared" si="108"/>
        <v>0.15</v>
      </c>
      <c r="AK83" s="75">
        <f t="shared" si="108"/>
        <v>0.15</v>
      </c>
      <c r="AL83" s="75">
        <f t="shared" si="108"/>
        <v>0.15</v>
      </c>
      <c r="AM83" s="75">
        <f t="shared" si="108"/>
        <v>0.15</v>
      </c>
      <c r="AN83" s="75">
        <f t="shared" si="108"/>
        <v>0.15</v>
      </c>
      <c r="AO83" s="75">
        <f t="shared" si="108"/>
        <v>0.15</v>
      </c>
    </row>
    <row r="84" spans="1:41" x14ac:dyDescent="0.35">
      <c r="A84" s="67" t="s">
        <v>52</v>
      </c>
      <c r="B84" s="68" t="s">
        <v>23</v>
      </c>
      <c r="C84" s="75" t="s">
        <v>43</v>
      </c>
      <c r="D84" s="75" t="s">
        <v>69</v>
      </c>
      <c r="E84" s="75">
        <v>1</v>
      </c>
      <c r="F84" s="75">
        <v>1</v>
      </c>
      <c r="G84" s="75">
        <v>1</v>
      </c>
      <c r="H84" s="75">
        <v>1</v>
      </c>
      <c r="I84" s="75">
        <v>1</v>
      </c>
      <c r="J84" s="75">
        <v>1</v>
      </c>
      <c r="K84" s="75">
        <v>1</v>
      </c>
      <c r="L84" s="75">
        <v>1</v>
      </c>
      <c r="M84" s="75">
        <v>1</v>
      </c>
      <c r="N84" s="75">
        <v>1</v>
      </c>
      <c r="O84" s="75">
        <v>1</v>
      </c>
      <c r="P84" s="75">
        <v>1</v>
      </c>
      <c r="Q84" s="75">
        <v>1</v>
      </c>
      <c r="R84" s="75">
        <v>1</v>
      </c>
      <c r="S84" s="75">
        <v>1</v>
      </c>
      <c r="T84" s="75">
        <v>1</v>
      </c>
      <c r="U84" s="75">
        <v>1</v>
      </c>
      <c r="V84" s="75">
        <v>1</v>
      </c>
      <c r="W84" s="75">
        <v>1</v>
      </c>
      <c r="X84" s="75">
        <v>1</v>
      </c>
      <c r="Y84" s="75">
        <v>1</v>
      </c>
      <c r="Z84" s="75">
        <v>1</v>
      </c>
      <c r="AA84" s="75">
        <v>1</v>
      </c>
      <c r="AB84" s="75">
        <v>1</v>
      </c>
      <c r="AC84" s="75">
        <v>1</v>
      </c>
      <c r="AD84" s="75">
        <v>1</v>
      </c>
      <c r="AE84" s="75">
        <v>1</v>
      </c>
      <c r="AF84" s="75">
        <f t="shared" ref="AF84:AO84" si="109">AE84</f>
        <v>1</v>
      </c>
      <c r="AG84" s="75">
        <f t="shared" si="109"/>
        <v>1</v>
      </c>
      <c r="AH84" s="75">
        <f t="shared" si="109"/>
        <v>1</v>
      </c>
      <c r="AI84" s="75">
        <f t="shared" si="109"/>
        <v>1</v>
      </c>
      <c r="AJ84" s="75">
        <f t="shared" si="109"/>
        <v>1</v>
      </c>
      <c r="AK84" s="75">
        <f t="shared" si="109"/>
        <v>1</v>
      </c>
      <c r="AL84" s="75">
        <f t="shared" si="109"/>
        <v>1</v>
      </c>
      <c r="AM84" s="75">
        <f t="shared" si="109"/>
        <v>1</v>
      </c>
      <c r="AN84" s="75">
        <f t="shared" si="109"/>
        <v>1</v>
      </c>
      <c r="AO84" s="75">
        <f t="shared" si="109"/>
        <v>1</v>
      </c>
    </row>
    <row r="85" spans="1:41" x14ac:dyDescent="0.35">
      <c r="A85" s="67" t="s">
        <v>52</v>
      </c>
      <c r="B85" s="72" t="s">
        <v>17</v>
      </c>
      <c r="C85" s="73" t="s">
        <v>43</v>
      </c>
      <c r="D85" s="73" t="s">
        <v>69</v>
      </c>
      <c r="E85" s="73">
        <v>1</v>
      </c>
      <c r="F85" s="73">
        <v>1</v>
      </c>
      <c r="G85" s="73">
        <v>1</v>
      </c>
      <c r="H85" s="73">
        <v>1</v>
      </c>
      <c r="I85" s="73">
        <v>1</v>
      </c>
      <c r="J85" s="73">
        <v>1</v>
      </c>
      <c r="K85" s="73">
        <v>1</v>
      </c>
      <c r="L85" s="73">
        <v>1</v>
      </c>
      <c r="M85" s="73">
        <v>1</v>
      </c>
      <c r="N85" s="73">
        <v>1</v>
      </c>
      <c r="O85" s="73">
        <v>1</v>
      </c>
      <c r="P85" s="73">
        <v>1</v>
      </c>
      <c r="Q85" s="73">
        <v>1</v>
      </c>
      <c r="R85" s="73">
        <v>1</v>
      </c>
      <c r="S85" s="73">
        <v>1</v>
      </c>
      <c r="T85" s="73">
        <v>1</v>
      </c>
      <c r="U85" s="73">
        <v>1</v>
      </c>
      <c r="V85" s="73">
        <v>1</v>
      </c>
      <c r="W85" s="73">
        <v>1</v>
      </c>
      <c r="X85" s="73">
        <v>1</v>
      </c>
      <c r="Y85" s="73">
        <v>1</v>
      </c>
      <c r="Z85" s="73">
        <v>1</v>
      </c>
      <c r="AA85" s="73">
        <v>1</v>
      </c>
      <c r="AB85" s="73">
        <v>1</v>
      </c>
      <c r="AC85" s="73">
        <v>1</v>
      </c>
      <c r="AD85" s="73">
        <v>1</v>
      </c>
      <c r="AE85" s="73">
        <v>1</v>
      </c>
      <c r="AF85" s="75">
        <f t="shared" ref="AF85:AO85" si="110">AE85</f>
        <v>1</v>
      </c>
      <c r="AG85" s="75">
        <f t="shared" si="110"/>
        <v>1</v>
      </c>
      <c r="AH85" s="75">
        <f t="shared" si="110"/>
        <v>1</v>
      </c>
      <c r="AI85" s="75">
        <f t="shared" si="110"/>
        <v>1</v>
      </c>
      <c r="AJ85" s="75">
        <f t="shared" si="110"/>
        <v>1</v>
      </c>
      <c r="AK85" s="75">
        <f t="shared" si="110"/>
        <v>1</v>
      </c>
      <c r="AL85" s="75">
        <f t="shared" si="110"/>
        <v>1</v>
      </c>
      <c r="AM85" s="75">
        <f t="shared" si="110"/>
        <v>1</v>
      </c>
      <c r="AN85" s="75">
        <f t="shared" si="110"/>
        <v>1</v>
      </c>
      <c r="AO85" s="75">
        <f t="shared" si="110"/>
        <v>1</v>
      </c>
    </row>
    <row r="86" spans="1:41" x14ac:dyDescent="0.35">
      <c r="A86" s="67" t="s">
        <v>52</v>
      </c>
      <c r="B86" s="68" t="s">
        <v>18</v>
      </c>
      <c r="C86" s="75" t="s">
        <v>43</v>
      </c>
      <c r="D86" s="75" t="s">
        <v>69</v>
      </c>
      <c r="E86" s="75">
        <v>1</v>
      </c>
      <c r="F86" s="75">
        <v>1</v>
      </c>
      <c r="G86" s="75">
        <v>1</v>
      </c>
      <c r="H86" s="75">
        <v>1</v>
      </c>
      <c r="I86" s="75">
        <v>1</v>
      </c>
      <c r="J86" s="75">
        <v>1</v>
      </c>
      <c r="K86" s="75">
        <v>1</v>
      </c>
      <c r="L86" s="75">
        <v>1</v>
      </c>
      <c r="M86" s="75">
        <v>1</v>
      </c>
      <c r="N86" s="75">
        <v>1</v>
      </c>
      <c r="O86" s="75">
        <v>1</v>
      </c>
      <c r="P86" s="75">
        <v>1</v>
      </c>
      <c r="Q86" s="75">
        <v>1</v>
      </c>
      <c r="R86" s="75">
        <v>1</v>
      </c>
      <c r="S86" s="75">
        <v>1</v>
      </c>
      <c r="T86" s="75">
        <v>1</v>
      </c>
      <c r="U86" s="75">
        <v>1</v>
      </c>
      <c r="V86" s="75">
        <v>1</v>
      </c>
      <c r="W86" s="75">
        <v>1</v>
      </c>
      <c r="X86" s="75">
        <v>1</v>
      </c>
      <c r="Y86" s="75">
        <v>1</v>
      </c>
      <c r="Z86" s="75">
        <v>1</v>
      </c>
      <c r="AA86" s="75">
        <v>1</v>
      </c>
      <c r="AB86" s="75">
        <v>1</v>
      </c>
      <c r="AC86" s="75">
        <v>1</v>
      </c>
      <c r="AD86" s="75">
        <v>1</v>
      </c>
      <c r="AE86" s="75">
        <v>1</v>
      </c>
      <c r="AF86" s="75">
        <f t="shared" ref="AF86:AO86" si="111">AE86</f>
        <v>1</v>
      </c>
      <c r="AG86" s="75">
        <f t="shared" si="111"/>
        <v>1</v>
      </c>
      <c r="AH86" s="75">
        <f t="shared" si="111"/>
        <v>1</v>
      </c>
      <c r="AI86" s="75">
        <f t="shared" si="111"/>
        <v>1</v>
      </c>
      <c r="AJ86" s="75">
        <f t="shared" si="111"/>
        <v>1</v>
      </c>
      <c r="AK86" s="75">
        <f t="shared" si="111"/>
        <v>1</v>
      </c>
      <c r="AL86" s="75">
        <f t="shared" si="111"/>
        <v>1</v>
      </c>
      <c r="AM86" s="75">
        <f t="shared" si="111"/>
        <v>1</v>
      </c>
      <c r="AN86" s="75">
        <f t="shared" si="111"/>
        <v>1</v>
      </c>
      <c r="AO86" s="75">
        <f t="shared" si="111"/>
        <v>1</v>
      </c>
    </row>
    <row r="87" spans="1:41" x14ac:dyDescent="0.35">
      <c r="A87" s="67" t="s">
        <v>52</v>
      </c>
      <c r="B87" s="72" t="s">
        <v>19</v>
      </c>
      <c r="C87" s="73" t="s">
        <v>43</v>
      </c>
      <c r="D87" s="73" t="s">
        <v>69</v>
      </c>
      <c r="E87" s="73">
        <v>1</v>
      </c>
      <c r="F87" s="73">
        <v>1</v>
      </c>
      <c r="G87" s="73">
        <v>1</v>
      </c>
      <c r="H87" s="73">
        <v>1</v>
      </c>
      <c r="I87" s="73">
        <v>1</v>
      </c>
      <c r="J87" s="73">
        <v>1</v>
      </c>
      <c r="K87" s="73">
        <v>1</v>
      </c>
      <c r="L87" s="73">
        <v>1</v>
      </c>
      <c r="M87" s="73">
        <v>1</v>
      </c>
      <c r="N87" s="73">
        <v>1</v>
      </c>
      <c r="O87" s="73">
        <v>1</v>
      </c>
      <c r="P87" s="73">
        <v>1</v>
      </c>
      <c r="Q87" s="73">
        <v>1</v>
      </c>
      <c r="R87" s="73">
        <v>1</v>
      </c>
      <c r="S87" s="73">
        <v>1</v>
      </c>
      <c r="T87" s="73">
        <v>1</v>
      </c>
      <c r="U87" s="73">
        <v>1</v>
      </c>
      <c r="V87" s="73">
        <v>1</v>
      </c>
      <c r="W87" s="73">
        <v>1</v>
      </c>
      <c r="X87" s="73">
        <v>1</v>
      </c>
      <c r="Y87" s="73">
        <v>1</v>
      </c>
      <c r="Z87" s="73">
        <v>1</v>
      </c>
      <c r="AA87" s="73">
        <v>1</v>
      </c>
      <c r="AB87" s="73">
        <v>1</v>
      </c>
      <c r="AC87" s="73">
        <v>1</v>
      </c>
      <c r="AD87" s="73">
        <v>1</v>
      </c>
      <c r="AE87" s="73">
        <v>1</v>
      </c>
      <c r="AF87" s="75">
        <f t="shared" ref="AF87:AO87" si="112">AE87</f>
        <v>1</v>
      </c>
      <c r="AG87" s="75">
        <f t="shared" si="112"/>
        <v>1</v>
      </c>
      <c r="AH87" s="75">
        <f t="shared" si="112"/>
        <v>1</v>
      </c>
      <c r="AI87" s="75">
        <f t="shared" si="112"/>
        <v>1</v>
      </c>
      <c r="AJ87" s="75">
        <f t="shared" si="112"/>
        <v>1</v>
      </c>
      <c r="AK87" s="75">
        <f t="shared" si="112"/>
        <v>1</v>
      </c>
      <c r="AL87" s="75">
        <f t="shared" si="112"/>
        <v>1</v>
      </c>
      <c r="AM87" s="75">
        <f t="shared" si="112"/>
        <v>1</v>
      </c>
      <c r="AN87" s="75">
        <f t="shared" si="112"/>
        <v>1</v>
      </c>
      <c r="AO87" s="75">
        <f t="shared" si="112"/>
        <v>1</v>
      </c>
    </row>
    <row r="88" spans="1:41" x14ac:dyDescent="0.35">
      <c r="A88" s="67" t="s">
        <v>52</v>
      </c>
      <c r="B88" s="68" t="s">
        <v>20</v>
      </c>
      <c r="C88" s="75" t="s">
        <v>43</v>
      </c>
      <c r="D88" s="75" t="s">
        <v>69</v>
      </c>
      <c r="E88" s="75">
        <v>1</v>
      </c>
      <c r="F88" s="75">
        <v>1</v>
      </c>
      <c r="G88" s="75">
        <v>1</v>
      </c>
      <c r="H88" s="75">
        <v>1</v>
      </c>
      <c r="I88" s="75">
        <v>1</v>
      </c>
      <c r="J88" s="75">
        <v>1</v>
      </c>
      <c r="K88" s="75">
        <v>1</v>
      </c>
      <c r="L88" s="75">
        <v>1</v>
      </c>
      <c r="M88" s="75">
        <v>1</v>
      </c>
      <c r="N88" s="75">
        <v>1</v>
      </c>
      <c r="O88" s="75">
        <v>1</v>
      </c>
      <c r="P88" s="75">
        <v>1</v>
      </c>
      <c r="Q88" s="75">
        <v>1</v>
      </c>
      <c r="R88" s="75">
        <v>1</v>
      </c>
      <c r="S88" s="75">
        <v>1</v>
      </c>
      <c r="T88" s="75">
        <v>1</v>
      </c>
      <c r="U88" s="75">
        <v>1</v>
      </c>
      <c r="V88" s="75">
        <v>1</v>
      </c>
      <c r="W88" s="75">
        <v>1</v>
      </c>
      <c r="X88" s="75">
        <v>1</v>
      </c>
      <c r="Y88" s="75">
        <v>1</v>
      </c>
      <c r="Z88" s="75">
        <v>1</v>
      </c>
      <c r="AA88" s="75">
        <v>1</v>
      </c>
      <c r="AB88" s="75">
        <v>1</v>
      </c>
      <c r="AC88" s="75">
        <v>1</v>
      </c>
      <c r="AD88" s="75">
        <v>1</v>
      </c>
      <c r="AE88" s="75">
        <v>1</v>
      </c>
      <c r="AF88" s="75">
        <f t="shared" ref="AF88:AO88" si="113">AE88</f>
        <v>1</v>
      </c>
      <c r="AG88" s="75">
        <f t="shared" si="113"/>
        <v>1</v>
      </c>
      <c r="AH88" s="75">
        <f t="shared" si="113"/>
        <v>1</v>
      </c>
      <c r="AI88" s="75">
        <f t="shared" si="113"/>
        <v>1</v>
      </c>
      <c r="AJ88" s="75">
        <f t="shared" si="113"/>
        <v>1</v>
      </c>
      <c r="AK88" s="75">
        <f t="shared" si="113"/>
        <v>1</v>
      </c>
      <c r="AL88" s="75">
        <f t="shared" si="113"/>
        <v>1</v>
      </c>
      <c r="AM88" s="75">
        <f t="shared" si="113"/>
        <v>1</v>
      </c>
      <c r="AN88" s="75">
        <f t="shared" si="113"/>
        <v>1</v>
      </c>
      <c r="AO88" s="75">
        <f t="shared" si="113"/>
        <v>1</v>
      </c>
    </row>
    <row r="89" spans="1:41" x14ac:dyDescent="0.35">
      <c r="A89" s="67" t="s">
        <v>52</v>
      </c>
      <c r="B89" s="72" t="s">
        <v>21</v>
      </c>
      <c r="C89" s="73" t="s">
        <v>43</v>
      </c>
      <c r="D89" s="73" t="s">
        <v>69</v>
      </c>
      <c r="E89" s="73">
        <v>1</v>
      </c>
      <c r="F89" s="73">
        <v>1</v>
      </c>
      <c r="G89" s="73">
        <v>1</v>
      </c>
      <c r="H89" s="73">
        <v>1</v>
      </c>
      <c r="I89" s="73">
        <v>1</v>
      </c>
      <c r="J89" s="73">
        <v>1</v>
      </c>
      <c r="K89" s="73">
        <v>1</v>
      </c>
      <c r="L89" s="73">
        <v>1</v>
      </c>
      <c r="M89" s="73">
        <v>1</v>
      </c>
      <c r="N89" s="73">
        <v>1</v>
      </c>
      <c r="O89" s="73">
        <v>1</v>
      </c>
      <c r="P89" s="73">
        <v>1</v>
      </c>
      <c r="Q89" s="73">
        <v>1</v>
      </c>
      <c r="R89" s="73">
        <v>1</v>
      </c>
      <c r="S89" s="73">
        <v>1</v>
      </c>
      <c r="T89" s="73">
        <v>1</v>
      </c>
      <c r="U89" s="73">
        <v>1</v>
      </c>
      <c r="V89" s="73">
        <v>1</v>
      </c>
      <c r="W89" s="73">
        <v>1</v>
      </c>
      <c r="X89" s="73">
        <v>1</v>
      </c>
      <c r="Y89" s="73">
        <v>1</v>
      </c>
      <c r="Z89" s="73">
        <v>1</v>
      </c>
      <c r="AA89" s="73">
        <v>1</v>
      </c>
      <c r="AB89" s="73">
        <v>1</v>
      </c>
      <c r="AC89" s="73">
        <v>1</v>
      </c>
      <c r="AD89" s="73">
        <v>1</v>
      </c>
      <c r="AE89" s="73">
        <v>1</v>
      </c>
      <c r="AF89" s="75">
        <f t="shared" ref="AF89:AO89" si="114">AE89</f>
        <v>1</v>
      </c>
      <c r="AG89" s="75">
        <f t="shared" si="114"/>
        <v>1</v>
      </c>
      <c r="AH89" s="75">
        <f t="shared" si="114"/>
        <v>1</v>
      </c>
      <c r="AI89" s="75">
        <f t="shared" si="114"/>
        <v>1</v>
      </c>
      <c r="AJ89" s="75">
        <f t="shared" si="114"/>
        <v>1</v>
      </c>
      <c r="AK89" s="75">
        <f t="shared" si="114"/>
        <v>1</v>
      </c>
      <c r="AL89" s="75">
        <f t="shared" si="114"/>
        <v>1</v>
      </c>
      <c r="AM89" s="75">
        <f t="shared" si="114"/>
        <v>1</v>
      </c>
      <c r="AN89" s="75">
        <f t="shared" si="114"/>
        <v>1</v>
      </c>
      <c r="AO89" s="75">
        <f t="shared" si="114"/>
        <v>1</v>
      </c>
    </row>
    <row r="90" spans="1:41" x14ac:dyDescent="0.35">
      <c r="A90" s="67" t="s">
        <v>52</v>
      </c>
      <c r="B90" s="68" t="s">
        <v>22</v>
      </c>
      <c r="C90" s="75" t="s">
        <v>43</v>
      </c>
      <c r="D90" s="75" t="s">
        <v>69</v>
      </c>
      <c r="E90" s="75">
        <v>1</v>
      </c>
      <c r="F90" s="75">
        <v>1</v>
      </c>
      <c r="G90" s="75">
        <v>1</v>
      </c>
      <c r="H90" s="75">
        <v>1</v>
      </c>
      <c r="I90" s="75">
        <v>1</v>
      </c>
      <c r="J90" s="75">
        <v>1</v>
      </c>
      <c r="K90" s="75">
        <v>1</v>
      </c>
      <c r="L90" s="75">
        <v>1</v>
      </c>
      <c r="M90" s="75">
        <v>1</v>
      </c>
      <c r="N90" s="75">
        <v>1</v>
      </c>
      <c r="O90" s="75">
        <v>1</v>
      </c>
      <c r="P90" s="75">
        <v>1</v>
      </c>
      <c r="Q90" s="75">
        <v>1</v>
      </c>
      <c r="R90" s="75">
        <v>1</v>
      </c>
      <c r="S90" s="75">
        <v>1</v>
      </c>
      <c r="T90" s="75">
        <v>1</v>
      </c>
      <c r="U90" s="75">
        <v>1</v>
      </c>
      <c r="V90" s="75">
        <v>1</v>
      </c>
      <c r="W90" s="75">
        <v>1</v>
      </c>
      <c r="X90" s="75">
        <v>1</v>
      </c>
      <c r="Y90" s="75">
        <v>1</v>
      </c>
      <c r="Z90" s="75">
        <v>1</v>
      </c>
      <c r="AA90" s="75">
        <v>1</v>
      </c>
      <c r="AB90" s="75">
        <v>1</v>
      </c>
      <c r="AC90" s="75">
        <v>1</v>
      </c>
      <c r="AD90" s="75">
        <v>1</v>
      </c>
      <c r="AE90" s="75">
        <v>1</v>
      </c>
      <c r="AF90" s="75">
        <f t="shared" ref="AF90:AO90" si="115">AE90</f>
        <v>1</v>
      </c>
      <c r="AG90" s="75">
        <f t="shared" si="115"/>
        <v>1</v>
      </c>
      <c r="AH90" s="75">
        <f t="shared" si="115"/>
        <v>1</v>
      </c>
      <c r="AI90" s="75">
        <f t="shared" si="115"/>
        <v>1</v>
      </c>
      <c r="AJ90" s="75">
        <f t="shared" si="115"/>
        <v>1</v>
      </c>
      <c r="AK90" s="75">
        <f t="shared" si="115"/>
        <v>1</v>
      </c>
      <c r="AL90" s="75">
        <f t="shared" si="115"/>
        <v>1</v>
      </c>
      <c r="AM90" s="75">
        <f t="shared" si="115"/>
        <v>1</v>
      </c>
      <c r="AN90" s="75">
        <f t="shared" si="115"/>
        <v>1</v>
      </c>
      <c r="AO90" s="75">
        <f t="shared" si="115"/>
        <v>1</v>
      </c>
    </row>
    <row r="91" spans="1:41" x14ac:dyDescent="0.35">
      <c r="A91" s="67" t="s">
        <v>52</v>
      </c>
      <c r="B91" s="72" t="s">
        <v>30</v>
      </c>
      <c r="C91" s="73" t="s">
        <v>38</v>
      </c>
      <c r="D91" s="73" t="s">
        <v>70</v>
      </c>
      <c r="E91" s="73">
        <v>1</v>
      </c>
      <c r="F91" s="73">
        <v>1</v>
      </c>
      <c r="G91" s="73">
        <v>1</v>
      </c>
      <c r="H91" s="73">
        <v>1</v>
      </c>
      <c r="I91" s="73">
        <v>1</v>
      </c>
      <c r="J91" s="73">
        <v>1</v>
      </c>
      <c r="K91" s="73">
        <v>1</v>
      </c>
      <c r="L91" s="73">
        <v>1</v>
      </c>
      <c r="M91" s="73">
        <v>1</v>
      </c>
      <c r="N91" s="73">
        <v>1</v>
      </c>
      <c r="O91" s="73">
        <v>1</v>
      </c>
      <c r="P91" s="73">
        <v>1</v>
      </c>
      <c r="Q91" s="73">
        <v>1</v>
      </c>
      <c r="R91" s="73">
        <v>1</v>
      </c>
      <c r="S91" s="73">
        <v>1</v>
      </c>
      <c r="T91" s="73">
        <v>1</v>
      </c>
      <c r="U91" s="73">
        <v>1</v>
      </c>
      <c r="V91" s="73">
        <v>1</v>
      </c>
      <c r="W91" s="73">
        <v>1</v>
      </c>
      <c r="X91" s="73">
        <v>1</v>
      </c>
      <c r="Y91" s="73">
        <v>1</v>
      </c>
      <c r="Z91" s="73">
        <v>1</v>
      </c>
      <c r="AA91" s="73">
        <v>1</v>
      </c>
      <c r="AB91" s="73">
        <v>1</v>
      </c>
      <c r="AC91" s="73">
        <v>1</v>
      </c>
      <c r="AD91" s="73">
        <v>1</v>
      </c>
      <c r="AE91" s="73">
        <v>1</v>
      </c>
      <c r="AF91" s="75">
        <f t="shared" ref="AF91:AO91" si="116">AE91</f>
        <v>1</v>
      </c>
      <c r="AG91" s="75">
        <f t="shared" si="116"/>
        <v>1</v>
      </c>
      <c r="AH91" s="75">
        <f t="shared" si="116"/>
        <v>1</v>
      </c>
      <c r="AI91" s="75">
        <f t="shared" si="116"/>
        <v>1</v>
      </c>
      <c r="AJ91" s="75">
        <f t="shared" si="116"/>
        <v>1</v>
      </c>
      <c r="AK91" s="75">
        <f t="shared" si="116"/>
        <v>1</v>
      </c>
      <c r="AL91" s="75">
        <f t="shared" si="116"/>
        <v>1</v>
      </c>
      <c r="AM91" s="75">
        <f t="shared" si="116"/>
        <v>1</v>
      </c>
      <c r="AN91" s="75">
        <f t="shared" si="116"/>
        <v>1</v>
      </c>
      <c r="AO91" s="75">
        <f t="shared" si="116"/>
        <v>1</v>
      </c>
    </row>
    <row r="92" spans="1:41" x14ac:dyDescent="0.35">
      <c r="A92" s="67" t="s">
        <v>52</v>
      </c>
      <c r="B92" s="68" t="s">
        <v>32</v>
      </c>
      <c r="C92" s="75" t="s">
        <v>38</v>
      </c>
      <c r="D92" s="75" t="s">
        <v>70</v>
      </c>
      <c r="E92" s="75">
        <v>4</v>
      </c>
      <c r="F92" s="75">
        <v>4</v>
      </c>
      <c r="G92" s="75">
        <v>4</v>
      </c>
      <c r="H92" s="75">
        <v>4</v>
      </c>
      <c r="I92" s="75">
        <v>4</v>
      </c>
      <c r="J92" s="75">
        <v>4</v>
      </c>
      <c r="K92" s="75">
        <v>4</v>
      </c>
      <c r="L92" s="75">
        <v>4</v>
      </c>
      <c r="M92" s="75">
        <v>4</v>
      </c>
      <c r="N92" s="75">
        <v>4</v>
      </c>
      <c r="O92" s="75">
        <v>4</v>
      </c>
      <c r="P92" s="75">
        <v>4</v>
      </c>
      <c r="Q92" s="75">
        <v>4</v>
      </c>
      <c r="R92" s="75">
        <v>4</v>
      </c>
      <c r="S92" s="75">
        <v>4</v>
      </c>
      <c r="T92" s="75">
        <v>4</v>
      </c>
      <c r="U92" s="75">
        <v>4</v>
      </c>
      <c r="V92" s="75">
        <v>4</v>
      </c>
      <c r="W92" s="75">
        <v>4</v>
      </c>
      <c r="X92" s="75">
        <v>4</v>
      </c>
      <c r="Y92" s="75">
        <v>4</v>
      </c>
      <c r="Z92" s="75">
        <v>4</v>
      </c>
      <c r="AA92" s="75">
        <v>4</v>
      </c>
      <c r="AB92" s="75">
        <v>4</v>
      </c>
      <c r="AC92" s="75">
        <v>4</v>
      </c>
      <c r="AD92" s="75">
        <v>4</v>
      </c>
      <c r="AE92" s="75">
        <v>4</v>
      </c>
      <c r="AF92" s="75">
        <f t="shared" ref="AF92:AO92" si="117">AE92</f>
        <v>4</v>
      </c>
      <c r="AG92" s="75">
        <f t="shared" si="117"/>
        <v>4</v>
      </c>
      <c r="AH92" s="75">
        <f t="shared" si="117"/>
        <v>4</v>
      </c>
      <c r="AI92" s="75">
        <f t="shared" si="117"/>
        <v>4</v>
      </c>
      <c r="AJ92" s="75">
        <f t="shared" si="117"/>
        <v>4</v>
      </c>
      <c r="AK92" s="75">
        <f t="shared" si="117"/>
        <v>4</v>
      </c>
      <c r="AL92" s="75">
        <f t="shared" si="117"/>
        <v>4</v>
      </c>
      <c r="AM92" s="75">
        <f t="shared" si="117"/>
        <v>4</v>
      </c>
      <c r="AN92" s="75">
        <f t="shared" si="117"/>
        <v>4</v>
      </c>
      <c r="AO92" s="75">
        <f t="shared" si="117"/>
        <v>4</v>
      </c>
    </row>
    <row r="93" spans="1:41" x14ac:dyDescent="0.35">
      <c r="A93" s="67" t="s">
        <v>52</v>
      </c>
      <c r="B93" s="72" t="s">
        <v>33</v>
      </c>
      <c r="C93" s="73" t="s">
        <v>38</v>
      </c>
      <c r="D93" s="73" t="s">
        <v>70</v>
      </c>
      <c r="E93" s="73">
        <v>8</v>
      </c>
      <c r="F93" s="73">
        <v>8</v>
      </c>
      <c r="G93" s="73">
        <v>8</v>
      </c>
      <c r="H93" s="73">
        <v>8</v>
      </c>
      <c r="I93" s="73">
        <v>8</v>
      </c>
      <c r="J93" s="73">
        <v>8</v>
      </c>
      <c r="K93" s="73">
        <v>8</v>
      </c>
      <c r="L93" s="73">
        <v>8</v>
      </c>
      <c r="M93" s="73">
        <v>8</v>
      </c>
      <c r="N93" s="73">
        <v>8</v>
      </c>
      <c r="O93" s="73">
        <v>8</v>
      </c>
      <c r="P93" s="73">
        <v>8</v>
      </c>
      <c r="Q93" s="73">
        <v>8</v>
      </c>
      <c r="R93" s="73">
        <v>8</v>
      </c>
      <c r="S93" s="73">
        <v>8</v>
      </c>
      <c r="T93" s="73">
        <v>8</v>
      </c>
      <c r="U93" s="73">
        <v>8</v>
      </c>
      <c r="V93" s="73">
        <v>8</v>
      </c>
      <c r="W93" s="73">
        <v>8</v>
      </c>
      <c r="X93" s="73">
        <v>8</v>
      </c>
      <c r="Y93" s="73">
        <v>8</v>
      </c>
      <c r="Z93" s="73">
        <v>8</v>
      </c>
      <c r="AA93" s="73">
        <v>8</v>
      </c>
      <c r="AB93" s="73">
        <v>8</v>
      </c>
      <c r="AC93" s="73">
        <v>8</v>
      </c>
      <c r="AD93" s="73">
        <v>8</v>
      </c>
      <c r="AE93" s="73">
        <v>8</v>
      </c>
      <c r="AF93" s="75">
        <f t="shared" ref="AF93:AO93" si="118">AE93</f>
        <v>8</v>
      </c>
      <c r="AG93" s="75">
        <f t="shared" si="118"/>
        <v>8</v>
      </c>
      <c r="AH93" s="75">
        <f t="shared" si="118"/>
        <v>8</v>
      </c>
      <c r="AI93" s="75">
        <f t="shared" si="118"/>
        <v>8</v>
      </c>
      <c r="AJ93" s="75">
        <f t="shared" si="118"/>
        <v>8</v>
      </c>
      <c r="AK93" s="75">
        <f t="shared" si="118"/>
        <v>8</v>
      </c>
      <c r="AL93" s="75">
        <f t="shared" si="118"/>
        <v>8</v>
      </c>
      <c r="AM93" s="75">
        <f t="shared" si="118"/>
        <v>8</v>
      </c>
      <c r="AN93" s="75">
        <f t="shared" si="118"/>
        <v>8</v>
      </c>
      <c r="AO93" s="75">
        <f t="shared" si="118"/>
        <v>8</v>
      </c>
    </row>
    <row r="94" spans="1:41" x14ac:dyDescent="0.35">
      <c r="A94" s="67" t="s">
        <v>52</v>
      </c>
      <c r="B94" s="68" t="s">
        <v>28</v>
      </c>
      <c r="C94" s="75" t="s">
        <v>38</v>
      </c>
      <c r="D94" s="75" t="s">
        <v>70</v>
      </c>
      <c r="E94" s="75">
        <v>20</v>
      </c>
      <c r="F94" s="75">
        <v>20</v>
      </c>
      <c r="G94" s="75">
        <v>20</v>
      </c>
      <c r="H94" s="75">
        <v>20</v>
      </c>
      <c r="I94" s="75">
        <v>20</v>
      </c>
      <c r="J94" s="75">
        <v>20</v>
      </c>
      <c r="K94" s="75">
        <v>20</v>
      </c>
      <c r="L94" s="75">
        <v>20</v>
      </c>
      <c r="M94" s="75">
        <v>20</v>
      </c>
      <c r="N94" s="75">
        <v>20</v>
      </c>
      <c r="O94" s="75">
        <v>20</v>
      </c>
      <c r="P94" s="75">
        <v>20</v>
      </c>
      <c r="Q94" s="75">
        <v>20</v>
      </c>
      <c r="R94" s="75">
        <v>20</v>
      </c>
      <c r="S94" s="75">
        <v>20</v>
      </c>
      <c r="T94" s="75">
        <v>20</v>
      </c>
      <c r="U94" s="75">
        <v>20</v>
      </c>
      <c r="V94" s="75">
        <v>20</v>
      </c>
      <c r="W94" s="75">
        <v>20</v>
      </c>
      <c r="X94" s="75">
        <v>20</v>
      </c>
      <c r="Y94" s="75">
        <v>20</v>
      </c>
      <c r="Z94" s="75">
        <v>20</v>
      </c>
      <c r="AA94" s="75">
        <v>20</v>
      </c>
      <c r="AB94" s="75">
        <v>20</v>
      </c>
      <c r="AC94" s="75">
        <v>20</v>
      </c>
      <c r="AD94" s="75">
        <v>20</v>
      </c>
      <c r="AE94" s="75">
        <v>20</v>
      </c>
      <c r="AF94" s="75">
        <f t="shared" ref="AF94:AO94" si="119">AE94</f>
        <v>20</v>
      </c>
      <c r="AG94" s="75">
        <f t="shared" si="119"/>
        <v>20</v>
      </c>
      <c r="AH94" s="75">
        <f t="shared" si="119"/>
        <v>20</v>
      </c>
      <c r="AI94" s="75">
        <f t="shared" si="119"/>
        <v>20</v>
      </c>
      <c r="AJ94" s="75">
        <f t="shared" si="119"/>
        <v>20</v>
      </c>
      <c r="AK94" s="75">
        <f t="shared" si="119"/>
        <v>20</v>
      </c>
      <c r="AL94" s="75">
        <f t="shared" si="119"/>
        <v>20</v>
      </c>
      <c r="AM94" s="75">
        <f t="shared" si="119"/>
        <v>20</v>
      </c>
      <c r="AN94" s="75">
        <f t="shared" si="119"/>
        <v>20</v>
      </c>
      <c r="AO94" s="75">
        <f t="shared" si="119"/>
        <v>20</v>
      </c>
    </row>
    <row r="95" spans="1:41" x14ac:dyDescent="0.35">
      <c r="A95" s="67" t="s">
        <v>52</v>
      </c>
      <c r="B95" s="72" t="s">
        <v>30</v>
      </c>
      <c r="C95" s="73" t="s">
        <v>37</v>
      </c>
      <c r="D95" s="73" t="s">
        <v>71</v>
      </c>
      <c r="E95" s="73">
        <v>15</v>
      </c>
      <c r="F95" s="73">
        <v>15</v>
      </c>
      <c r="G95" s="73">
        <v>15</v>
      </c>
      <c r="H95" s="73">
        <v>15</v>
      </c>
      <c r="I95" s="73">
        <v>15</v>
      </c>
      <c r="J95" s="73">
        <v>15</v>
      </c>
      <c r="K95" s="73">
        <v>15</v>
      </c>
      <c r="L95" s="73">
        <v>15</v>
      </c>
      <c r="M95" s="73">
        <v>15</v>
      </c>
      <c r="N95" s="73">
        <v>15</v>
      </c>
      <c r="O95" s="73">
        <v>15</v>
      </c>
      <c r="P95" s="73">
        <v>15</v>
      </c>
      <c r="Q95" s="73">
        <v>15</v>
      </c>
      <c r="R95" s="73">
        <v>15</v>
      </c>
      <c r="S95" s="73">
        <v>15</v>
      </c>
      <c r="T95" s="73">
        <v>15</v>
      </c>
      <c r="U95" s="73">
        <v>15</v>
      </c>
      <c r="V95" s="73">
        <v>15</v>
      </c>
      <c r="W95" s="73">
        <v>15</v>
      </c>
      <c r="X95" s="73">
        <v>15</v>
      </c>
      <c r="Y95" s="73">
        <v>15</v>
      </c>
      <c r="Z95" s="73">
        <v>15</v>
      </c>
      <c r="AA95" s="73">
        <v>15</v>
      </c>
      <c r="AB95" s="73">
        <v>15</v>
      </c>
      <c r="AC95" s="73">
        <v>15</v>
      </c>
      <c r="AD95" s="73">
        <v>15</v>
      </c>
      <c r="AE95" s="73">
        <v>15</v>
      </c>
      <c r="AF95" s="75">
        <f t="shared" ref="AF95:AO95" si="120">AE95</f>
        <v>15</v>
      </c>
      <c r="AG95" s="75">
        <f t="shared" si="120"/>
        <v>15</v>
      </c>
      <c r="AH95" s="75">
        <f t="shared" si="120"/>
        <v>15</v>
      </c>
      <c r="AI95" s="75">
        <f t="shared" si="120"/>
        <v>15</v>
      </c>
      <c r="AJ95" s="75">
        <f t="shared" si="120"/>
        <v>15</v>
      </c>
      <c r="AK95" s="75">
        <f t="shared" si="120"/>
        <v>15</v>
      </c>
      <c r="AL95" s="75">
        <f t="shared" si="120"/>
        <v>15</v>
      </c>
      <c r="AM95" s="75">
        <f t="shared" si="120"/>
        <v>15</v>
      </c>
      <c r="AN95" s="75">
        <f t="shared" si="120"/>
        <v>15</v>
      </c>
      <c r="AO95" s="75">
        <f t="shared" si="120"/>
        <v>15</v>
      </c>
    </row>
    <row r="96" spans="1:41" x14ac:dyDescent="0.35">
      <c r="A96" s="67" t="s">
        <v>52</v>
      </c>
      <c r="B96" s="68" t="s">
        <v>32</v>
      </c>
      <c r="C96" s="75" t="s">
        <v>37</v>
      </c>
      <c r="D96" s="75" t="s">
        <v>71</v>
      </c>
      <c r="E96" s="75">
        <v>15</v>
      </c>
      <c r="F96" s="75">
        <v>15</v>
      </c>
      <c r="G96" s="75">
        <v>15</v>
      </c>
      <c r="H96" s="75">
        <v>15</v>
      </c>
      <c r="I96" s="75">
        <v>15</v>
      </c>
      <c r="J96" s="75">
        <v>15</v>
      </c>
      <c r="K96" s="75">
        <v>15</v>
      </c>
      <c r="L96" s="75">
        <v>15</v>
      </c>
      <c r="M96" s="75">
        <v>15</v>
      </c>
      <c r="N96" s="75">
        <v>15</v>
      </c>
      <c r="O96" s="75">
        <v>15</v>
      </c>
      <c r="P96" s="75">
        <v>15</v>
      </c>
      <c r="Q96" s="75">
        <v>15</v>
      </c>
      <c r="R96" s="75">
        <v>15</v>
      </c>
      <c r="S96" s="75">
        <v>15</v>
      </c>
      <c r="T96" s="75">
        <v>15</v>
      </c>
      <c r="U96" s="75">
        <v>15</v>
      </c>
      <c r="V96" s="75">
        <v>15</v>
      </c>
      <c r="W96" s="75">
        <v>15</v>
      </c>
      <c r="X96" s="75">
        <v>15</v>
      </c>
      <c r="Y96" s="75">
        <v>15</v>
      </c>
      <c r="Z96" s="75">
        <v>15</v>
      </c>
      <c r="AA96" s="75">
        <v>15</v>
      </c>
      <c r="AB96" s="75">
        <v>15</v>
      </c>
      <c r="AC96" s="75">
        <v>15</v>
      </c>
      <c r="AD96" s="75">
        <v>15</v>
      </c>
      <c r="AE96" s="75">
        <v>15</v>
      </c>
      <c r="AF96" s="75">
        <f t="shared" ref="AF96:AO96" si="121">AE96</f>
        <v>15</v>
      </c>
      <c r="AG96" s="75">
        <f t="shared" si="121"/>
        <v>15</v>
      </c>
      <c r="AH96" s="75">
        <f t="shared" si="121"/>
        <v>15</v>
      </c>
      <c r="AI96" s="75">
        <f t="shared" si="121"/>
        <v>15</v>
      </c>
      <c r="AJ96" s="75">
        <f t="shared" si="121"/>
        <v>15</v>
      </c>
      <c r="AK96" s="75">
        <f t="shared" si="121"/>
        <v>15</v>
      </c>
      <c r="AL96" s="75">
        <f t="shared" si="121"/>
        <v>15</v>
      </c>
      <c r="AM96" s="75">
        <f t="shared" si="121"/>
        <v>15</v>
      </c>
      <c r="AN96" s="75">
        <f t="shared" si="121"/>
        <v>15</v>
      </c>
      <c r="AO96" s="75">
        <f t="shared" si="121"/>
        <v>15</v>
      </c>
    </row>
    <row r="97" spans="1:41" x14ac:dyDescent="0.35">
      <c r="A97" s="67" t="s">
        <v>52</v>
      </c>
      <c r="B97" s="72" t="s">
        <v>33</v>
      </c>
      <c r="C97" s="73" t="s">
        <v>37</v>
      </c>
      <c r="D97" s="73" t="s">
        <v>71</v>
      </c>
      <c r="E97" s="73">
        <v>15</v>
      </c>
      <c r="F97" s="73">
        <v>15</v>
      </c>
      <c r="G97" s="73">
        <v>15</v>
      </c>
      <c r="H97" s="73">
        <v>15</v>
      </c>
      <c r="I97" s="73">
        <v>15</v>
      </c>
      <c r="J97" s="73">
        <v>15</v>
      </c>
      <c r="K97" s="73">
        <v>15</v>
      </c>
      <c r="L97" s="73">
        <v>15</v>
      </c>
      <c r="M97" s="73">
        <v>15</v>
      </c>
      <c r="N97" s="73">
        <v>15</v>
      </c>
      <c r="O97" s="73">
        <v>15</v>
      </c>
      <c r="P97" s="73">
        <v>15</v>
      </c>
      <c r="Q97" s="73">
        <v>15</v>
      </c>
      <c r="R97" s="73">
        <v>15</v>
      </c>
      <c r="S97" s="73">
        <v>15</v>
      </c>
      <c r="T97" s="73">
        <v>15</v>
      </c>
      <c r="U97" s="73">
        <v>15</v>
      </c>
      <c r="V97" s="73">
        <v>15</v>
      </c>
      <c r="W97" s="73">
        <v>15</v>
      </c>
      <c r="X97" s="73">
        <v>15</v>
      </c>
      <c r="Y97" s="73">
        <v>15</v>
      </c>
      <c r="Z97" s="73">
        <v>15</v>
      </c>
      <c r="AA97" s="73">
        <v>15</v>
      </c>
      <c r="AB97" s="73">
        <v>15</v>
      </c>
      <c r="AC97" s="73">
        <v>15</v>
      </c>
      <c r="AD97" s="73">
        <v>15</v>
      </c>
      <c r="AE97" s="73">
        <v>15</v>
      </c>
      <c r="AF97" s="75">
        <f t="shared" ref="AF97:AO97" si="122">AE97</f>
        <v>15</v>
      </c>
      <c r="AG97" s="75">
        <f t="shared" si="122"/>
        <v>15</v>
      </c>
      <c r="AH97" s="75">
        <f t="shared" si="122"/>
        <v>15</v>
      </c>
      <c r="AI97" s="75">
        <f t="shared" si="122"/>
        <v>15</v>
      </c>
      <c r="AJ97" s="75">
        <f t="shared" si="122"/>
        <v>15</v>
      </c>
      <c r="AK97" s="75">
        <f t="shared" si="122"/>
        <v>15</v>
      </c>
      <c r="AL97" s="75">
        <f t="shared" si="122"/>
        <v>15</v>
      </c>
      <c r="AM97" s="75">
        <f t="shared" si="122"/>
        <v>15</v>
      </c>
      <c r="AN97" s="75">
        <f t="shared" si="122"/>
        <v>15</v>
      </c>
      <c r="AO97" s="75">
        <f t="shared" si="122"/>
        <v>15</v>
      </c>
    </row>
    <row r="98" spans="1:41" x14ac:dyDescent="0.35">
      <c r="A98" s="67" t="s">
        <v>52</v>
      </c>
      <c r="B98" s="68" t="s">
        <v>54</v>
      </c>
      <c r="C98" s="75" t="s">
        <v>37</v>
      </c>
      <c r="D98" s="75" t="s">
        <v>71</v>
      </c>
      <c r="E98" s="75">
        <v>30</v>
      </c>
      <c r="F98" s="75">
        <v>30</v>
      </c>
      <c r="G98" s="75">
        <v>30</v>
      </c>
      <c r="H98" s="75">
        <v>30</v>
      </c>
      <c r="I98" s="75">
        <v>30</v>
      </c>
      <c r="J98" s="75">
        <v>30</v>
      </c>
      <c r="K98" s="75">
        <v>30</v>
      </c>
      <c r="L98" s="75">
        <v>30</v>
      </c>
      <c r="M98" s="75">
        <v>30</v>
      </c>
      <c r="N98" s="75">
        <v>30</v>
      </c>
      <c r="O98" s="75">
        <v>30</v>
      </c>
      <c r="P98" s="75">
        <v>30</v>
      </c>
      <c r="Q98" s="75">
        <v>30</v>
      </c>
      <c r="R98" s="75">
        <v>30</v>
      </c>
      <c r="S98" s="75">
        <v>30</v>
      </c>
      <c r="T98" s="75">
        <v>30</v>
      </c>
      <c r="U98" s="75">
        <v>30</v>
      </c>
      <c r="V98" s="75">
        <v>30</v>
      </c>
      <c r="W98" s="75">
        <v>30</v>
      </c>
      <c r="X98" s="75">
        <v>30</v>
      </c>
      <c r="Y98" s="75">
        <v>30</v>
      </c>
      <c r="Z98" s="75">
        <v>30</v>
      </c>
      <c r="AA98" s="75">
        <v>30</v>
      </c>
      <c r="AB98" s="75">
        <v>30</v>
      </c>
      <c r="AC98" s="75">
        <v>30</v>
      </c>
      <c r="AD98" s="75">
        <v>30</v>
      </c>
      <c r="AE98" s="75">
        <v>30</v>
      </c>
      <c r="AF98" s="75">
        <f t="shared" ref="AF98:AO98" si="123">AE98</f>
        <v>30</v>
      </c>
      <c r="AG98" s="75">
        <f t="shared" si="123"/>
        <v>30</v>
      </c>
      <c r="AH98" s="75">
        <f t="shared" si="123"/>
        <v>30</v>
      </c>
      <c r="AI98" s="75">
        <f t="shared" si="123"/>
        <v>30</v>
      </c>
      <c r="AJ98" s="75">
        <f t="shared" si="123"/>
        <v>30</v>
      </c>
      <c r="AK98" s="75">
        <f t="shared" si="123"/>
        <v>30</v>
      </c>
      <c r="AL98" s="75">
        <f t="shared" si="123"/>
        <v>30</v>
      </c>
      <c r="AM98" s="75">
        <f t="shared" si="123"/>
        <v>30</v>
      </c>
      <c r="AN98" s="75">
        <f t="shared" si="123"/>
        <v>30</v>
      </c>
      <c r="AO98" s="75">
        <f t="shared" si="123"/>
        <v>30</v>
      </c>
    </row>
    <row r="99" spans="1:41" x14ac:dyDescent="0.35">
      <c r="A99" s="67" t="s">
        <v>52</v>
      </c>
      <c r="B99" s="72" t="s">
        <v>55</v>
      </c>
      <c r="C99" s="73" t="s">
        <v>37</v>
      </c>
      <c r="D99" s="73" t="s">
        <v>71</v>
      </c>
      <c r="E99" s="73">
        <v>30</v>
      </c>
      <c r="F99" s="73">
        <v>30</v>
      </c>
      <c r="G99" s="73">
        <v>30</v>
      </c>
      <c r="H99" s="73">
        <v>30</v>
      </c>
      <c r="I99" s="73">
        <v>30</v>
      </c>
      <c r="J99" s="73">
        <v>30</v>
      </c>
      <c r="K99" s="73">
        <v>30</v>
      </c>
      <c r="L99" s="73">
        <v>30</v>
      </c>
      <c r="M99" s="73">
        <v>30</v>
      </c>
      <c r="N99" s="73">
        <v>30</v>
      </c>
      <c r="O99" s="73">
        <v>30</v>
      </c>
      <c r="P99" s="73">
        <v>30</v>
      </c>
      <c r="Q99" s="73">
        <v>30</v>
      </c>
      <c r="R99" s="73">
        <v>30</v>
      </c>
      <c r="S99" s="73">
        <v>30</v>
      </c>
      <c r="T99" s="73">
        <v>30</v>
      </c>
      <c r="U99" s="73">
        <v>30</v>
      </c>
      <c r="V99" s="73">
        <v>30</v>
      </c>
      <c r="W99" s="73">
        <v>30</v>
      </c>
      <c r="X99" s="73">
        <v>30</v>
      </c>
      <c r="Y99" s="73">
        <v>30</v>
      </c>
      <c r="Z99" s="73">
        <v>30</v>
      </c>
      <c r="AA99" s="73">
        <v>30</v>
      </c>
      <c r="AB99" s="73">
        <v>30</v>
      </c>
      <c r="AC99" s="73">
        <v>30</v>
      </c>
      <c r="AD99" s="73">
        <v>30</v>
      </c>
      <c r="AE99" s="73">
        <v>30</v>
      </c>
      <c r="AF99" s="75">
        <f t="shared" ref="AF99:AO99" si="124">AE99</f>
        <v>30</v>
      </c>
      <c r="AG99" s="75">
        <f t="shared" si="124"/>
        <v>30</v>
      </c>
      <c r="AH99" s="75">
        <f t="shared" si="124"/>
        <v>30</v>
      </c>
      <c r="AI99" s="75">
        <f t="shared" si="124"/>
        <v>30</v>
      </c>
      <c r="AJ99" s="75">
        <f t="shared" si="124"/>
        <v>30</v>
      </c>
      <c r="AK99" s="75">
        <f t="shared" si="124"/>
        <v>30</v>
      </c>
      <c r="AL99" s="75">
        <f t="shared" si="124"/>
        <v>30</v>
      </c>
      <c r="AM99" s="75">
        <f t="shared" si="124"/>
        <v>30</v>
      </c>
      <c r="AN99" s="75">
        <f t="shared" si="124"/>
        <v>30</v>
      </c>
      <c r="AO99" s="75">
        <f t="shared" si="124"/>
        <v>30</v>
      </c>
    </row>
    <row r="100" spans="1:41" x14ac:dyDescent="0.35">
      <c r="A100" s="67" t="s">
        <v>52</v>
      </c>
      <c r="B100" s="68" t="s">
        <v>56</v>
      </c>
      <c r="C100" s="75" t="s">
        <v>37</v>
      </c>
      <c r="D100" s="75" t="s">
        <v>71</v>
      </c>
      <c r="E100" s="75">
        <v>30</v>
      </c>
      <c r="F100" s="75">
        <v>30</v>
      </c>
      <c r="G100" s="75">
        <v>30</v>
      </c>
      <c r="H100" s="75">
        <v>30</v>
      </c>
      <c r="I100" s="75">
        <v>30</v>
      </c>
      <c r="J100" s="75">
        <v>30</v>
      </c>
      <c r="K100" s="75">
        <v>30</v>
      </c>
      <c r="L100" s="75">
        <v>30</v>
      </c>
      <c r="M100" s="75">
        <v>30</v>
      </c>
      <c r="N100" s="75">
        <v>30</v>
      </c>
      <c r="O100" s="75">
        <v>30</v>
      </c>
      <c r="P100" s="75">
        <v>30</v>
      </c>
      <c r="Q100" s="75">
        <v>30</v>
      </c>
      <c r="R100" s="75">
        <v>30</v>
      </c>
      <c r="S100" s="75">
        <v>30</v>
      </c>
      <c r="T100" s="75">
        <v>30</v>
      </c>
      <c r="U100" s="75">
        <v>30</v>
      </c>
      <c r="V100" s="75">
        <v>30</v>
      </c>
      <c r="W100" s="75">
        <v>30</v>
      </c>
      <c r="X100" s="75">
        <v>30</v>
      </c>
      <c r="Y100" s="75">
        <v>30</v>
      </c>
      <c r="Z100" s="75">
        <v>30</v>
      </c>
      <c r="AA100" s="75">
        <v>30</v>
      </c>
      <c r="AB100" s="75">
        <v>30</v>
      </c>
      <c r="AC100" s="75">
        <v>30</v>
      </c>
      <c r="AD100" s="75">
        <v>30</v>
      </c>
      <c r="AE100" s="75">
        <v>30</v>
      </c>
      <c r="AF100" s="75">
        <f t="shared" ref="AF100:AO100" si="125">AE100</f>
        <v>30</v>
      </c>
      <c r="AG100" s="75">
        <f t="shared" si="125"/>
        <v>30</v>
      </c>
      <c r="AH100" s="75">
        <f t="shared" si="125"/>
        <v>30</v>
      </c>
      <c r="AI100" s="75">
        <f t="shared" si="125"/>
        <v>30</v>
      </c>
      <c r="AJ100" s="75">
        <f t="shared" si="125"/>
        <v>30</v>
      </c>
      <c r="AK100" s="75">
        <f t="shared" si="125"/>
        <v>30</v>
      </c>
      <c r="AL100" s="75">
        <f t="shared" si="125"/>
        <v>30</v>
      </c>
      <c r="AM100" s="75">
        <f t="shared" si="125"/>
        <v>30</v>
      </c>
      <c r="AN100" s="75">
        <f t="shared" si="125"/>
        <v>30</v>
      </c>
      <c r="AO100" s="75">
        <f t="shared" si="125"/>
        <v>30</v>
      </c>
    </row>
    <row r="101" spans="1:41" x14ac:dyDescent="0.35">
      <c r="A101" s="67" t="s">
        <v>52</v>
      </c>
      <c r="B101" s="72" t="s">
        <v>57</v>
      </c>
      <c r="C101" s="73" t="s">
        <v>37</v>
      </c>
      <c r="D101" s="73" t="s">
        <v>71</v>
      </c>
      <c r="E101" s="73">
        <v>30</v>
      </c>
      <c r="F101" s="73">
        <v>30</v>
      </c>
      <c r="G101" s="73">
        <v>30</v>
      </c>
      <c r="H101" s="73">
        <v>30</v>
      </c>
      <c r="I101" s="73">
        <v>30</v>
      </c>
      <c r="J101" s="73">
        <v>30</v>
      </c>
      <c r="K101" s="73">
        <v>30</v>
      </c>
      <c r="L101" s="73">
        <v>30</v>
      </c>
      <c r="M101" s="73">
        <v>30</v>
      </c>
      <c r="N101" s="73">
        <v>30</v>
      </c>
      <c r="O101" s="73">
        <v>30</v>
      </c>
      <c r="P101" s="73">
        <v>30</v>
      </c>
      <c r="Q101" s="73">
        <v>30</v>
      </c>
      <c r="R101" s="73">
        <v>30</v>
      </c>
      <c r="S101" s="73">
        <v>30</v>
      </c>
      <c r="T101" s="73">
        <v>30</v>
      </c>
      <c r="U101" s="73">
        <v>30</v>
      </c>
      <c r="V101" s="73">
        <v>30</v>
      </c>
      <c r="W101" s="73">
        <v>30</v>
      </c>
      <c r="X101" s="73">
        <v>30</v>
      </c>
      <c r="Y101" s="73">
        <v>30</v>
      </c>
      <c r="Z101" s="73">
        <v>30</v>
      </c>
      <c r="AA101" s="73">
        <v>30</v>
      </c>
      <c r="AB101" s="73">
        <v>30</v>
      </c>
      <c r="AC101" s="73">
        <v>30</v>
      </c>
      <c r="AD101" s="73">
        <v>30</v>
      </c>
      <c r="AE101" s="73">
        <v>30</v>
      </c>
      <c r="AF101" s="75">
        <f t="shared" ref="AF101:AO101" si="126">AE101</f>
        <v>30</v>
      </c>
      <c r="AG101" s="75">
        <f t="shared" si="126"/>
        <v>30</v>
      </c>
      <c r="AH101" s="75">
        <f t="shared" si="126"/>
        <v>30</v>
      </c>
      <c r="AI101" s="75">
        <f t="shared" si="126"/>
        <v>30</v>
      </c>
      <c r="AJ101" s="75">
        <f t="shared" si="126"/>
        <v>30</v>
      </c>
      <c r="AK101" s="75">
        <f t="shared" si="126"/>
        <v>30</v>
      </c>
      <c r="AL101" s="75">
        <f t="shared" si="126"/>
        <v>30</v>
      </c>
      <c r="AM101" s="75">
        <f t="shared" si="126"/>
        <v>30</v>
      </c>
      <c r="AN101" s="75">
        <f t="shared" si="126"/>
        <v>30</v>
      </c>
      <c r="AO101" s="75">
        <f t="shared" si="126"/>
        <v>30</v>
      </c>
    </row>
    <row r="102" spans="1:41" x14ac:dyDescent="0.35">
      <c r="A102" s="67" t="s">
        <v>52</v>
      </c>
      <c r="B102" s="68" t="s">
        <v>15</v>
      </c>
      <c r="C102" s="75" t="s">
        <v>37</v>
      </c>
      <c r="D102" s="75" t="s">
        <v>71</v>
      </c>
      <c r="E102" s="75">
        <v>30</v>
      </c>
      <c r="F102" s="75">
        <v>30</v>
      </c>
      <c r="G102" s="75">
        <v>30</v>
      </c>
      <c r="H102" s="75">
        <v>30</v>
      </c>
      <c r="I102" s="75">
        <v>30</v>
      </c>
      <c r="J102" s="75">
        <v>30</v>
      </c>
      <c r="K102" s="75">
        <v>30</v>
      </c>
      <c r="L102" s="75">
        <v>30</v>
      </c>
      <c r="M102" s="75">
        <v>30</v>
      </c>
      <c r="N102" s="75">
        <v>30</v>
      </c>
      <c r="O102" s="75">
        <v>30</v>
      </c>
      <c r="P102" s="75">
        <v>30</v>
      </c>
      <c r="Q102" s="75">
        <v>30</v>
      </c>
      <c r="R102" s="75">
        <v>30</v>
      </c>
      <c r="S102" s="75">
        <v>30</v>
      </c>
      <c r="T102" s="75">
        <v>30</v>
      </c>
      <c r="U102" s="75">
        <v>30</v>
      </c>
      <c r="V102" s="75">
        <v>30</v>
      </c>
      <c r="W102" s="75">
        <v>30</v>
      </c>
      <c r="X102" s="75">
        <v>30</v>
      </c>
      <c r="Y102" s="75">
        <v>30</v>
      </c>
      <c r="Z102" s="75">
        <v>30</v>
      </c>
      <c r="AA102" s="75">
        <v>30</v>
      </c>
      <c r="AB102" s="75">
        <v>30</v>
      </c>
      <c r="AC102" s="75">
        <v>30</v>
      </c>
      <c r="AD102" s="75">
        <v>30</v>
      </c>
      <c r="AE102" s="75">
        <v>30</v>
      </c>
      <c r="AF102" s="75">
        <f t="shared" ref="AF102:AO102" si="127">AE102</f>
        <v>30</v>
      </c>
      <c r="AG102" s="75">
        <f t="shared" si="127"/>
        <v>30</v>
      </c>
      <c r="AH102" s="75">
        <f t="shared" si="127"/>
        <v>30</v>
      </c>
      <c r="AI102" s="75">
        <f t="shared" si="127"/>
        <v>30</v>
      </c>
      <c r="AJ102" s="75">
        <f t="shared" si="127"/>
        <v>30</v>
      </c>
      <c r="AK102" s="75">
        <f t="shared" si="127"/>
        <v>30</v>
      </c>
      <c r="AL102" s="75">
        <f t="shared" si="127"/>
        <v>30</v>
      </c>
      <c r="AM102" s="75">
        <f t="shared" si="127"/>
        <v>30</v>
      </c>
      <c r="AN102" s="75">
        <f t="shared" si="127"/>
        <v>30</v>
      </c>
      <c r="AO102" s="75">
        <f t="shared" si="127"/>
        <v>30</v>
      </c>
    </row>
    <row r="103" spans="1:41" x14ac:dyDescent="0.35">
      <c r="A103" s="67" t="s">
        <v>52</v>
      </c>
      <c r="B103" s="72" t="s">
        <v>25</v>
      </c>
      <c r="C103" s="73" t="s">
        <v>37</v>
      </c>
      <c r="D103" s="73" t="s">
        <v>71</v>
      </c>
      <c r="E103" s="73">
        <v>50</v>
      </c>
      <c r="F103" s="73">
        <f t="shared" ref="F103:AE103" si="128">E103</f>
        <v>50</v>
      </c>
      <c r="G103" s="73">
        <f t="shared" si="128"/>
        <v>50</v>
      </c>
      <c r="H103" s="73">
        <f t="shared" si="128"/>
        <v>50</v>
      </c>
      <c r="I103" s="73">
        <f t="shared" si="128"/>
        <v>50</v>
      </c>
      <c r="J103" s="73">
        <f t="shared" si="128"/>
        <v>50</v>
      </c>
      <c r="K103" s="73">
        <f t="shared" si="128"/>
        <v>50</v>
      </c>
      <c r="L103" s="73">
        <f t="shared" si="128"/>
        <v>50</v>
      </c>
      <c r="M103" s="73">
        <f t="shared" si="128"/>
        <v>50</v>
      </c>
      <c r="N103" s="73">
        <f t="shared" si="128"/>
        <v>50</v>
      </c>
      <c r="O103" s="73">
        <f t="shared" si="128"/>
        <v>50</v>
      </c>
      <c r="P103" s="73">
        <f t="shared" si="128"/>
        <v>50</v>
      </c>
      <c r="Q103" s="73">
        <f t="shared" si="128"/>
        <v>50</v>
      </c>
      <c r="R103" s="73">
        <f t="shared" si="128"/>
        <v>50</v>
      </c>
      <c r="S103" s="73">
        <f t="shared" si="128"/>
        <v>50</v>
      </c>
      <c r="T103" s="73">
        <f t="shared" si="128"/>
        <v>50</v>
      </c>
      <c r="U103" s="73">
        <f t="shared" si="128"/>
        <v>50</v>
      </c>
      <c r="V103" s="73">
        <f t="shared" si="128"/>
        <v>50</v>
      </c>
      <c r="W103" s="73">
        <f t="shared" si="128"/>
        <v>50</v>
      </c>
      <c r="X103" s="73">
        <f t="shared" si="128"/>
        <v>50</v>
      </c>
      <c r="Y103" s="73">
        <f t="shared" si="128"/>
        <v>50</v>
      </c>
      <c r="Z103" s="73">
        <f t="shared" si="128"/>
        <v>50</v>
      </c>
      <c r="AA103" s="73">
        <f t="shared" si="128"/>
        <v>50</v>
      </c>
      <c r="AB103" s="73">
        <f t="shared" si="128"/>
        <v>50</v>
      </c>
      <c r="AC103" s="73">
        <f t="shared" si="128"/>
        <v>50</v>
      </c>
      <c r="AD103" s="73">
        <f t="shared" si="128"/>
        <v>50</v>
      </c>
      <c r="AE103" s="73">
        <f t="shared" si="128"/>
        <v>50</v>
      </c>
      <c r="AF103" s="75">
        <f t="shared" ref="AF103:AO103" si="129">AE103</f>
        <v>50</v>
      </c>
      <c r="AG103" s="75">
        <f t="shared" si="129"/>
        <v>50</v>
      </c>
      <c r="AH103" s="75">
        <f t="shared" si="129"/>
        <v>50</v>
      </c>
      <c r="AI103" s="75">
        <f t="shared" si="129"/>
        <v>50</v>
      </c>
      <c r="AJ103" s="75">
        <f t="shared" si="129"/>
        <v>50</v>
      </c>
      <c r="AK103" s="75">
        <f t="shared" si="129"/>
        <v>50</v>
      </c>
      <c r="AL103" s="75">
        <f t="shared" si="129"/>
        <v>50</v>
      </c>
      <c r="AM103" s="75">
        <f t="shared" si="129"/>
        <v>50</v>
      </c>
      <c r="AN103" s="75">
        <f t="shared" si="129"/>
        <v>50</v>
      </c>
      <c r="AO103" s="75">
        <f t="shared" si="129"/>
        <v>50</v>
      </c>
    </row>
    <row r="104" spans="1:41" x14ac:dyDescent="0.35">
      <c r="A104" s="67" t="s">
        <v>52</v>
      </c>
      <c r="B104" s="68" t="s">
        <v>12</v>
      </c>
      <c r="C104" s="75" t="s">
        <v>37</v>
      </c>
      <c r="D104" s="75" t="s">
        <v>71</v>
      </c>
      <c r="E104" s="75">
        <v>30</v>
      </c>
      <c r="F104" s="75">
        <v>30</v>
      </c>
      <c r="G104" s="75">
        <v>30</v>
      </c>
      <c r="H104" s="75">
        <v>30</v>
      </c>
      <c r="I104" s="75">
        <v>30</v>
      </c>
      <c r="J104" s="75">
        <v>30</v>
      </c>
      <c r="K104" s="75">
        <v>30</v>
      </c>
      <c r="L104" s="75">
        <v>30</v>
      </c>
      <c r="M104" s="75">
        <v>30</v>
      </c>
      <c r="N104" s="75">
        <v>30</v>
      </c>
      <c r="O104" s="75">
        <v>30</v>
      </c>
      <c r="P104" s="75">
        <v>30</v>
      </c>
      <c r="Q104" s="75">
        <v>30</v>
      </c>
      <c r="R104" s="75">
        <v>30</v>
      </c>
      <c r="S104" s="75">
        <v>30</v>
      </c>
      <c r="T104" s="75">
        <v>30</v>
      </c>
      <c r="U104" s="75">
        <v>30</v>
      </c>
      <c r="V104" s="75">
        <v>30</v>
      </c>
      <c r="W104" s="75">
        <v>30</v>
      </c>
      <c r="X104" s="75">
        <v>30</v>
      </c>
      <c r="Y104" s="75">
        <v>30</v>
      </c>
      <c r="Z104" s="75">
        <v>30</v>
      </c>
      <c r="AA104" s="75">
        <v>30</v>
      </c>
      <c r="AB104" s="75">
        <v>30</v>
      </c>
      <c r="AC104" s="75">
        <v>30</v>
      </c>
      <c r="AD104" s="75">
        <v>30</v>
      </c>
      <c r="AE104" s="75">
        <v>30</v>
      </c>
      <c r="AF104" s="75">
        <f t="shared" ref="AF104:AO104" si="130">AE104</f>
        <v>30</v>
      </c>
      <c r="AG104" s="75">
        <f t="shared" si="130"/>
        <v>30</v>
      </c>
      <c r="AH104" s="75">
        <f t="shared" si="130"/>
        <v>30</v>
      </c>
      <c r="AI104" s="75">
        <f t="shared" si="130"/>
        <v>30</v>
      </c>
      <c r="AJ104" s="75">
        <f t="shared" si="130"/>
        <v>30</v>
      </c>
      <c r="AK104" s="75">
        <f t="shared" si="130"/>
        <v>30</v>
      </c>
      <c r="AL104" s="75">
        <f t="shared" si="130"/>
        <v>30</v>
      </c>
      <c r="AM104" s="75">
        <f t="shared" si="130"/>
        <v>30</v>
      </c>
      <c r="AN104" s="75">
        <f t="shared" si="130"/>
        <v>30</v>
      </c>
      <c r="AO104" s="75">
        <f t="shared" si="130"/>
        <v>30</v>
      </c>
    </row>
    <row r="105" spans="1:41" x14ac:dyDescent="0.35">
      <c r="A105" s="67" t="s">
        <v>52</v>
      </c>
      <c r="B105" s="72" t="s">
        <v>72</v>
      </c>
      <c r="C105" s="73" t="s">
        <v>37</v>
      </c>
      <c r="D105" s="73" t="s">
        <v>71</v>
      </c>
      <c r="E105" s="73">
        <v>40</v>
      </c>
      <c r="F105" s="73">
        <v>40</v>
      </c>
      <c r="G105" s="73">
        <v>40</v>
      </c>
      <c r="H105" s="73">
        <v>40</v>
      </c>
      <c r="I105" s="73">
        <v>40</v>
      </c>
      <c r="J105" s="73">
        <v>40</v>
      </c>
      <c r="K105" s="73">
        <v>40</v>
      </c>
      <c r="L105" s="73">
        <v>40</v>
      </c>
      <c r="M105" s="73">
        <v>40</v>
      </c>
      <c r="N105" s="73">
        <v>40</v>
      </c>
      <c r="O105" s="73">
        <v>40</v>
      </c>
      <c r="P105" s="73">
        <v>40</v>
      </c>
      <c r="Q105" s="73">
        <v>40</v>
      </c>
      <c r="R105" s="73">
        <v>40</v>
      </c>
      <c r="S105" s="73">
        <v>40</v>
      </c>
      <c r="T105" s="73">
        <v>40</v>
      </c>
      <c r="U105" s="73">
        <v>40</v>
      </c>
      <c r="V105" s="73">
        <v>40</v>
      </c>
      <c r="W105" s="73">
        <v>40</v>
      </c>
      <c r="X105" s="73">
        <v>40</v>
      </c>
      <c r="Y105" s="73">
        <v>40</v>
      </c>
      <c r="Z105" s="73">
        <v>40</v>
      </c>
      <c r="AA105" s="73">
        <v>40</v>
      </c>
      <c r="AB105" s="73">
        <v>40</v>
      </c>
      <c r="AC105" s="73">
        <v>40</v>
      </c>
      <c r="AD105" s="73">
        <v>40</v>
      </c>
      <c r="AE105" s="73">
        <v>40</v>
      </c>
      <c r="AF105" s="75">
        <f t="shared" ref="AF105:AO105" si="131">AE105</f>
        <v>40</v>
      </c>
      <c r="AG105" s="75">
        <f t="shared" si="131"/>
        <v>40</v>
      </c>
      <c r="AH105" s="75">
        <f t="shared" si="131"/>
        <v>40</v>
      </c>
      <c r="AI105" s="75">
        <f t="shared" si="131"/>
        <v>40</v>
      </c>
      <c r="AJ105" s="75">
        <f t="shared" si="131"/>
        <v>40</v>
      </c>
      <c r="AK105" s="75">
        <f t="shared" si="131"/>
        <v>40</v>
      </c>
      <c r="AL105" s="75">
        <f t="shared" si="131"/>
        <v>40</v>
      </c>
      <c r="AM105" s="75">
        <f t="shared" si="131"/>
        <v>40</v>
      </c>
      <c r="AN105" s="75">
        <f t="shared" si="131"/>
        <v>40</v>
      </c>
      <c r="AO105" s="75">
        <f t="shared" si="131"/>
        <v>40</v>
      </c>
    </row>
    <row r="106" spans="1:41" x14ac:dyDescent="0.35">
      <c r="A106" s="67" t="s">
        <v>52</v>
      </c>
      <c r="B106" s="68" t="s">
        <v>73</v>
      </c>
      <c r="C106" s="75" t="s">
        <v>37</v>
      </c>
      <c r="D106" s="75" t="s">
        <v>71</v>
      </c>
      <c r="E106" s="75">
        <v>40</v>
      </c>
      <c r="F106" s="75">
        <v>40</v>
      </c>
      <c r="G106" s="75">
        <v>40</v>
      </c>
      <c r="H106" s="75">
        <v>40</v>
      </c>
      <c r="I106" s="75">
        <v>40</v>
      </c>
      <c r="J106" s="75">
        <v>40</v>
      </c>
      <c r="K106" s="75">
        <v>40</v>
      </c>
      <c r="L106" s="75">
        <v>40</v>
      </c>
      <c r="M106" s="75">
        <v>40</v>
      </c>
      <c r="N106" s="75">
        <v>40</v>
      </c>
      <c r="O106" s="75">
        <v>40</v>
      </c>
      <c r="P106" s="75">
        <v>40</v>
      </c>
      <c r="Q106" s="75">
        <v>40</v>
      </c>
      <c r="R106" s="75">
        <v>40</v>
      </c>
      <c r="S106" s="75">
        <v>40</v>
      </c>
      <c r="T106" s="75">
        <v>40</v>
      </c>
      <c r="U106" s="75">
        <v>40</v>
      </c>
      <c r="V106" s="75">
        <v>40</v>
      </c>
      <c r="W106" s="75">
        <v>40</v>
      </c>
      <c r="X106" s="75">
        <v>40</v>
      </c>
      <c r="Y106" s="75">
        <v>40</v>
      </c>
      <c r="Z106" s="75">
        <v>40</v>
      </c>
      <c r="AA106" s="75">
        <v>40</v>
      </c>
      <c r="AB106" s="75">
        <v>40</v>
      </c>
      <c r="AC106" s="75">
        <v>40</v>
      </c>
      <c r="AD106" s="75">
        <v>40</v>
      </c>
      <c r="AE106" s="75">
        <v>40</v>
      </c>
      <c r="AF106" s="75">
        <f t="shared" ref="AF106:AO106" si="132">AE106</f>
        <v>40</v>
      </c>
      <c r="AG106" s="75">
        <f t="shared" si="132"/>
        <v>40</v>
      </c>
      <c r="AH106" s="75">
        <f t="shared" si="132"/>
        <v>40</v>
      </c>
      <c r="AI106" s="75">
        <f t="shared" si="132"/>
        <v>40</v>
      </c>
      <c r="AJ106" s="75">
        <f t="shared" si="132"/>
        <v>40</v>
      </c>
      <c r="AK106" s="75">
        <f t="shared" si="132"/>
        <v>40</v>
      </c>
      <c r="AL106" s="75">
        <f t="shared" si="132"/>
        <v>40</v>
      </c>
      <c r="AM106" s="75">
        <f t="shared" si="132"/>
        <v>40</v>
      </c>
      <c r="AN106" s="75">
        <f t="shared" si="132"/>
        <v>40</v>
      </c>
      <c r="AO106" s="75">
        <f t="shared" si="132"/>
        <v>40</v>
      </c>
    </row>
    <row r="107" spans="1:41" x14ac:dyDescent="0.35">
      <c r="A107" s="67" t="s">
        <v>52</v>
      </c>
      <c r="B107" s="72" t="s">
        <v>74</v>
      </c>
      <c r="C107" s="73" t="s">
        <v>37</v>
      </c>
      <c r="D107" s="73" t="s">
        <v>71</v>
      </c>
      <c r="E107" s="73">
        <v>40</v>
      </c>
      <c r="F107" s="73">
        <v>40</v>
      </c>
      <c r="G107" s="73">
        <v>40</v>
      </c>
      <c r="H107" s="73">
        <v>40</v>
      </c>
      <c r="I107" s="73">
        <v>40</v>
      </c>
      <c r="J107" s="73">
        <v>40</v>
      </c>
      <c r="K107" s="73">
        <v>40</v>
      </c>
      <c r="L107" s="73">
        <v>40</v>
      </c>
      <c r="M107" s="73">
        <v>40</v>
      </c>
      <c r="N107" s="73">
        <v>40</v>
      </c>
      <c r="O107" s="73">
        <v>40</v>
      </c>
      <c r="P107" s="73">
        <v>40</v>
      </c>
      <c r="Q107" s="73">
        <v>40</v>
      </c>
      <c r="R107" s="73">
        <v>40</v>
      </c>
      <c r="S107" s="73">
        <v>40</v>
      </c>
      <c r="T107" s="73">
        <v>40</v>
      </c>
      <c r="U107" s="73">
        <v>40</v>
      </c>
      <c r="V107" s="73">
        <v>40</v>
      </c>
      <c r="W107" s="73">
        <v>40</v>
      </c>
      <c r="X107" s="73">
        <v>40</v>
      </c>
      <c r="Y107" s="73">
        <v>40</v>
      </c>
      <c r="Z107" s="73">
        <v>40</v>
      </c>
      <c r="AA107" s="73">
        <v>40</v>
      </c>
      <c r="AB107" s="73">
        <v>40</v>
      </c>
      <c r="AC107" s="73">
        <v>40</v>
      </c>
      <c r="AD107" s="73">
        <v>40</v>
      </c>
      <c r="AE107" s="73">
        <v>40</v>
      </c>
      <c r="AF107" s="75">
        <f t="shared" ref="AF107:AO107" si="133">AE107</f>
        <v>40</v>
      </c>
      <c r="AG107" s="75">
        <f t="shared" si="133"/>
        <v>40</v>
      </c>
      <c r="AH107" s="75">
        <f t="shared" si="133"/>
        <v>40</v>
      </c>
      <c r="AI107" s="75">
        <f t="shared" si="133"/>
        <v>40</v>
      </c>
      <c r="AJ107" s="75">
        <f t="shared" si="133"/>
        <v>40</v>
      </c>
      <c r="AK107" s="75">
        <f t="shared" si="133"/>
        <v>40</v>
      </c>
      <c r="AL107" s="75">
        <f t="shared" si="133"/>
        <v>40</v>
      </c>
      <c r="AM107" s="75">
        <f t="shared" si="133"/>
        <v>40</v>
      </c>
      <c r="AN107" s="75">
        <f t="shared" si="133"/>
        <v>40</v>
      </c>
      <c r="AO107" s="75">
        <f t="shared" si="133"/>
        <v>40</v>
      </c>
    </row>
    <row r="108" spans="1:41" x14ac:dyDescent="0.35">
      <c r="A108" s="67" t="s">
        <v>52</v>
      </c>
      <c r="B108" s="68" t="s">
        <v>75</v>
      </c>
      <c r="C108" s="75" t="s">
        <v>37</v>
      </c>
      <c r="D108" s="75" t="s">
        <v>71</v>
      </c>
      <c r="E108" s="75">
        <v>40</v>
      </c>
      <c r="F108" s="75">
        <v>40</v>
      </c>
      <c r="G108" s="75">
        <v>40</v>
      </c>
      <c r="H108" s="75">
        <v>40</v>
      </c>
      <c r="I108" s="75">
        <v>40</v>
      </c>
      <c r="J108" s="75">
        <v>40</v>
      </c>
      <c r="K108" s="75">
        <v>40</v>
      </c>
      <c r="L108" s="75">
        <v>40</v>
      </c>
      <c r="M108" s="75">
        <v>40</v>
      </c>
      <c r="N108" s="75">
        <v>40</v>
      </c>
      <c r="O108" s="75">
        <v>40</v>
      </c>
      <c r="P108" s="75">
        <v>40</v>
      </c>
      <c r="Q108" s="75">
        <v>40</v>
      </c>
      <c r="R108" s="75">
        <v>40</v>
      </c>
      <c r="S108" s="75">
        <v>40</v>
      </c>
      <c r="T108" s="75">
        <v>40</v>
      </c>
      <c r="U108" s="75">
        <v>40</v>
      </c>
      <c r="V108" s="75">
        <v>40</v>
      </c>
      <c r="W108" s="75">
        <v>40</v>
      </c>
      <c r="X108" s="75">
        <v>40</v>
      </c>
      <c r="Y108" s="75">
        <v>40</v>
      </c>
      <c r="Z108" s="75">
        <v>40</v>
      </c>
      <c r="AA108" s="75">
        <v>40</v>
      </c>
      <c r="AB108" s="75">
        <v>40</v>
      </c>
      <c r="AC108" s="75">
        <v>40</v>
      </c>
      <c r="AD108" s="75">
        <v>40</v>
      </c>
      <c r="AE108" s="75">
        <v>40</v>
      </c>
      <c r="AF108" s="75">
        <f t="shared" ref="AF108:AO108" si="134">AE108</f>
        <v>40</v>
      </c>
      <c r="AG108" s="75">
        <f t="shared" si="134"/>
        <v>40</v>
      </c>
      <c r="AH108" s="75">
        <f t="shared" si="134"/>
        <v>40</v>
      </c>
      <c r="AI108" s="75">
        <f t="shared" si="134"/>
        <v>40</v>
      </c>
      <c r="AJ108" s="75">
        <f t="shared" si="134"/>
        <v>40</v>
      </c>
      <c r="AK108" s="75">
        <f t="shared" si="134"/>
        <v>40</v>
      </c>
      <c r="AL108" s="75">
        <f t="shared" si="134"/>
        <v>40</v>
      </c>
      <c r="AM108" s="75">
        <f t="shared" si="134"/>
        <v>40</v>
      </c>
      <c r="AN108" s="75">
        <f t="shared" si="134"/>
        <v>40</v>
      </c>
      <c r="AO108" s="75">
        <f t="shared" si="134"/>
        <v>40</v>
      </c>
    </row>
    <row r="109" spans="1:41" x14ac:dyDescent="0.35">
      <c r="A109" s="67" t="s">
        <v>52</v>
      </c>
      <c r="B109" s="72" t="s">
        <v>26</v>
      </c>
      <c r="C109" s="73" t="s">
        <v>37</v>
      </c>
      <c r="D109" s="73" t="s">
        <v>71</v>
      </c>
      <c r="E109" s="73">
        <v>60</v>
      </c>
      <c r="F109" s="73">
        <v>60</v>
      </c>
      <c r="G109" s="73">
        <v>60</v>
      </c>
      <c r="H109" s="73">
        <v>60</v>
      </c>
      <c r="I109" s="73">
        <v>60</v>
      </c>
      <c r="J109" s="73">
        <v>60</v>
      </c>
      <c r="K109" s="73">
        <v>60</v>
      </c>
      <c r="L109" s="73">
        <v>60</v>
      </c>
      <c r="M109" s="73">
        <v>60</v>
      </c>
      <c r="N109" s="73">
        <v>60</v>
      </c>
      <c r="O109" s="73">
        <v>60</v>
      </c>
      <c r="P109" s="73">
        <v>60</v>
      </c>
      <c r="Q109" s="73">
        <v>60</v>
      </c>
      <c r="R109" s="73">
        <v>60</v>
      </c>
      <c r="S109" s="73">
        <v>60</v>
      </c>
      <c r="T109" s="73">
        <v>60</v>
      </c>
      <c r="U109" s="73">
        <v>60</v>
      </c>
      <c r="V109" s="73">
        <v>60</v>
      </c>
      <c r="W109" s="73">
        <v>60</v>
      </c>
      <c r="X109" s="73">
        <v>60</v>
      </c>
      <c r="Y109" s="73">
        <v>60</v>
      </c>
      <c r="Z109" s="73">
        <v>60</v>
      </c>
      <c r="AA109" s="73">
        <v>60</v>
      </c>
      <c r="AB109" s="73">
        <v>60</v>
      </c>
      <c r="AC109" s="73">
        <v>60</v>
      </c>
      <c r="AD109" s="73">
        <v>60</v>
      </c>
      <c r="AE109" s="73">
        <v>60</v>
      </c>
      <c r="AF109" s="75">
        <f t="shared" ref="AF109:AO109" si="135">AE109</f>
        <v>60</v>
      </c>
      <c r="AG109" s="75">
        <f t="shared" si="135"/>
        <v>60</v>
      </c>
      <c r="AH109" s="75">
        <f t="shared" si="135"/>
        <v>60</v>
      </c>
      <c r="AI109" s="75">
        <f t="shared" si="135"/>
        <v>60</v>
      </c>
      <c r="AJ109" s="75">
        <f t="shared" si="135"/>
        <v>60</v>
      </c>
      <c r="AK109" s="75">
        <f t="shared" si="135"/>
        <v>60</v>
      </c>
      <c r="AL109" s="75">
        <f t="shared" si="135"/>
        <v>60</v>
      </c>
      <c r="AM109" s="75">
        <f t="shared" si="135"/>
        <v>60</v>
      </c>
      <c r="AN109" s="75">
        <f t="shared" si="135"/>
        <v>60</v>
      </c>
      <c r="AO109" s="75">
        <f t="shared" si="135"/>
        <v>60</v>
      </c>
    </row>
    <row r="110" spans="1:41" x14ac:dyDescent="0.35">
      <c r="A110" s="67" t="s">
        <v>52</v>
      </c>
      <c r="B110" s="68" t="s">
        <v>23</v>
      </c>
      <c r="C110" s="75" t="s">
        <v>37</v>
      </c>
      <c r="D110" s="75" t="s">
        <v>71</v>
      </c>
      <c r="E110" s="75">
        <v>30</v>
      </c>
      <c r="F110" s="75">
        <v>30</v>
      </c>
      <c r="G110" s="75">
        <v>30</v>
      </c>
      <c r="H110" s="75">
        <v>30</v>
      </c>
      <c r="I110" s="75">
        <v>30</v>
      </c>
      <c r="J110" s="75">
        <v>30</v>
      </c>
      <c r="K110" s="75">
        <v>30</v>
      </c>
      <c r="L110" s="75">
        <v>30</v>
      </c>
      <c r="M110" s="75">
        <v>30</v>
      </c>
      <c r="N110" s="75">
        <v>30</v>
      </c>
      <c r="O110" s="75">
        <v>30</v>
      </c>
      <c r="P110" s="75">
        <v>30</v>
      </c>
      <c r="Q110" s="75">
        <v>30</v>
      </c>
      <c r="R110" s="75">
        <v>30</v>
      </c>
      <c r="S110" s="75">
        <v>30</v>
      </c>
      <c r="T110" s="75">
        <v>30</v>
      </c>
      <c r="U110" s="75">
        <v>30</v>
      </c>
      <c r="V110" s="75">
        <v>30</v>
      </c>
      <c r="W110" s="75">
        <v>30</v>
      </c>
      <c r="X110" s="75">
        <v>30</v>
      </c>
      <c r="Y110" s="75">
        <v>30</v>
      </c>
      <c r="Z110" s="75">
        <v>30</v>
      </c>
      <c r="AA110" s="75">
        <v>30</v>
      </c>
      <c r="AB110" s="75">
        <v>30</v>
      </c>
      <c r="AC110" s="75">
        <v>30</v>
      </c>
      <c r="AD110" s="75">
        <v>30</v>
      </c>
      <c r="AE110" s="75">
        <v>30</v>
      </c>
      <c r="AF110" s="75">
        <f t="shared" ref="AF110:AO110" si="136">AE110</f>
        <v>30</v>
      </c>
      <c r="AG110" s="75">
        <f t="shared" si="136"/>
        <v>30</v>
      </c>
      <c r="AH110" s="75">
        <f t="shared" si="136"/>
        <v>30</v>
      </c>
      <c r="AI110" s="75">
        <f t="shared" si="136"/>
        <v>30</v>
      </c>
      <c r="AJ110" s="75">
        <f t="shared" si="136"/>
        <v>30</v>
      </c>
      <c r="AK110" s="75">
        <f t="shared" si="136"/>
        <v>30</v>
      </c>
      <c r="AL110" s="75">
        <f t="shared" si="136"/>
        <v>30</v>
      </c>
      <c r="AM110" s="75">
        <f t="shared" si="136"/>
        <v>30</v>
      </c>
      <c r="AN110" s="75">
        <f t="shared" si="136"/>
        <v>30</v>
      </c>
      <c r="AO110" s="75">
        <f t="shared" si="136"/>
        <v>30</v>
      </c>
    </row>
    <row r="111" spans="1:41" x14ac:dyDescent="0.35">
      <c r="A111" s="67" t="s">
        <v>52</v>
      </c>
      <c r="B111" s="72" t="s">
        <v>24</v>
      </c>
      <c r="C111" s="73" t="s">
        <v>37</v>
      </c>
      <c r="D111" s="73" t="s">
        <v>71</v>
      </c>
      <c r="E111" s="73">
        <v>10</v>
      </c>
      <c r="F111" s="73">
        <f t="shared" ref="F111:AE111" si="137">E111</f>
        <v>10</v>
      </c>
      <c r="G111" s="73">
        <f t="shared" si="137"/>
        <v>10</v>
      </c>
      <c r="H111" s="73">
        <f t="shared" si="137"/>
        <v>10</v>
      </c>
      <c r="I111" s="73">
        <f t="shared" si="137"/>
        <v>10</v>
      </c>
      <c r="J111" s="73">
        <f t="shared" si="137"/>
        <v>10</v>
      </c>
      <c r="K111" s="73">
        <f t="shared" si="137"/>
        <v>10</v>
      </c>
      <c r="L111" s="73">
        <f t="shared" si="137"/>
        <v>10</v>
      </c>
      <c r="M111" s="73">
        <f t="shared" si="137"/>
        <v>10</v>
      </c>
      <c r="N111" s="73">
        <f t="shared" si="137"/>
        <v>10</v>
      </c>
      <c r="O111" s="73">
        <f t="shared" si="137"/>
        <v>10</v>
      </c>
      <c r="P111" s="73">
        <f t="shared" si="137"/>
        <v>10</v>
      </c>
      <c r="Q111" s="73">
        <f t="shared" si="137"/>
        <v>10</v>
      </c>
      <c r="R111" s="73">
        <f t="shared" si="137"/>
        <v>10</v>
      </c>
      <c r="S111" s="73">
        <f t="shared" si="137"/>
        <v>10</v>
      </c>
      <c r="T111" s="73">
        <f t="shared" si="137"/>
        <v>10</v>
      </c>
      <c r="U111" s="73">
        <f t="shared" si="137"/>
        <v>10</v>
      </c>
      <c r="V111" s="73">
        <f t="shared" si="137"/>
        <v>10</v>
      </c>
      <c r="W111" s="73">
        <f t="shared" si="137"/>
        <v>10</v>
      </c>
      <c r="X111" s="73">
        <f t="shared" si="137"/>
        <v>10</v>
      </c>
      <c r="Y111" s="73">
        <f t="shared" si="137"/>
        <v>10</v>
      </c>
      <c r="Z111" s="73">
        <f t="shared" si="137"/>
        <v>10</v>
      </c>
      <c r="AA111" s="73">
        <f t="shared" si="137"/>
        <v>10</v>
      </c>
      <c r="AB111" s="73">
        <f t="shared" si="137"/>
        <v>10</v>
      </c>
      <c r="AC111" s="73">
        <f t="shared" si="137"/>
        <v>10</v>
      </c>
      <c r="AD111" s="73">
        <f t="shared" si="137"/>
        <v>10</v>
      </c>
      <c r="AE111" s="73">
        <f t="shared" si="137"/>
        <v>10</v>
      </c>
      <c r="AF111" s="75">
        <f t="shared" ref="AF111:AO111" si="138">AE111</f>
        <v>10</v>
      </c>
      <c r="AG111" s="75">
        <f t="shared" si="138"/>
        <v>10</v>
      </c>
      <c r="AH111" s="75">
        <f t="shared" si="138"/>
        <v>10</v>
      </c>
      <c r="AI111" s="75">
        <f t="shared" si="138"/>
        <v>10</v>
      </c>
      <c r="AJ111" s="75">
        <f t="shared" si="138"/>
        <v>10</v>
      </c>
      <c r="AK111" s="75">
        <f t="shared" si="138"/>
        <v>10</v>
      </c>
      <c r="AL111" s="75">
        <f t="shared" si="138"/>
        <v>10</v>
      </c>
      <c r="AM111" s="75">
        <f t="shared" si="138"/>
        <v>10</v>
      </c>
      <c r="AN111" s="75">
        <f t="shared" si="138"/>
        <v>10</v>
      </c>
      <c r="AO111" s="75">
        <f t="shared" si="138"/>
        <v>10</v>
      </c>
    </row>
    <row r="112" spans="1:41" x14ac:dyDescent="0.35">
      <c r="A112" s="67" t="s">
        <v>52</v>
      </c>
      <c r="B112" s="68" t="s">
        <v>17</v>
      </c>
      <c r="C112" s="75" t="s">
        <v>37</v>
      </c>
      <c r="D112" s="75" t="s">
        <v>71</v>
      </c>
      <c r="E112" s="75">
        <v>30</v>
      </c>
      <c r="F112" s="75">
        <v>30</v>
      </c>
      <c r="G112" s="75">
        <v>30</v>
      </c>
      <c r="H112" s="75">
        <v>30</v>
      </c>
      <c r="I112" s="75">
        <v>30</v>
      </c>
      <c r="J112" s="75">
        <v>30</v>
      </c>
      <c r="K112" s="75">
        <v>30</v>
      </c>
      <c r="L112" s="75">
        <v>30</v>
      </c>
      <c r="M112" s="75">
        <v>30</v>
      </c>
      <c r="N112" s="75">
        <v>30</v>
      </c>
      <c r="O112" s="75">
        <v>30</v>
      </c>
      <c r="P112" s="75">
        <v>30</v>
      </c>
      <c r="Q112" s="75">
        <v>30</v>
      </c>
      <c r="R112" s="75">
        <v>30</v>
      </c>
      <c r="S112" s="75">
        <v>30</v>
      </c>
      <c r="T112" s="75">
        <v>30</v>
      </c>
      <c r="U112" s="75">
        <v>30</v>
      </c>
      <c r="V112" s="75">
        <v>30</v>
      </c>
      <c r="W112" s="75">
        <v>30</v>
      </c>
      <c r="X112" s="75">
        <v>30</v>
      </c>
      <c r="Y112" s="75">
        <v>30</v>
      </c>
      <c r="Z112" s="75">
        <v>30</v>
      </c>
      <c r="AA112" s="75">
        <v>30</v>
      </c>
      <c r="AB112" s="75">
        <v>30</v>
      </c>
      <c r="AC112" s="75">
        <v>30</v>
      </c>
      <c r="AD112" s="75">
        <v>30</v>
      </c>
      <c r="AE112" s="75">
        <v>30</v>
      </c>
      <c r="AF112" s="75">
        <f t="shared" ref="AF112:AO112" si="139">AE112</f>
        <v>30</v>
      </c>
      <c r="AG112" s="75">
        <f t="shared" si="139"/>
        <v>30</v>
      </c>
      <c r="AH112" s="75">
        <f t="shared" si="139"/>
        <v>30</v>
      </c>
      <c r="AI112" s="75">
        <f t="shared" si="139"/>
        <v>30</v>
      </c>
      <c r="AJ112" s="75">
        <f t="shared" si="139"/>
        <v>30</v>
      </c>
      <c r="AK112" s="75">
        <f t="shared" si="139"/>
        <v>30</v>
      </c>
      <c r="AL112" s="75">
        <f t="shared" si="139"/>
        <v>30</v>
      </c>
      <c r="AM112" s="75">
        <f t="shared" si="139"/>
        <v>30</v>
      </c>
      <c r="AN112" s="75">
        <f t="shared" si="139"/>
        <v>30</v>
      </c>
      <c r="AO112" s="75">
        <f t="shared" si="139"/>
        <v>30</v>
      </c>
    </row>
    <row r="113" spans="1:41" x14ac:dyDescent="0.35">
      <c r="A113" s="67" t="s">
        <v>52</v>
      </c>
      <c r="B113" s="72" t="s">
        <v>18</v>
      </c>
      <c r="C113" s="73" t="s">
        <v>37</v>
      </c>
      <c r="D113" s="73" t="s">
        <v>71</v>
      </c>
      <c r="E113" s="73">
        <v>30</v>
      </c>
      <c r="F113" s="73">
        <v>30</v>
      </c>
      <c r="G113" s="73">
        <v>30</v>
      </c>
      <c r="H113" s="73">
        <v>30</v>
      </c>
      <c r="I113" s="73">
        <v>30</v>
      </c>
      <c r="J113" s="73">
        <v>30</v>
      </c>
      <c r="K113" s="73">
        <v>30</v>
      </c>
      <c r="L113" s="73">
        <v>30</v>
      </c>
      <c r="M113" s="73">
        <v>30</v>
      </c>
      <c r="N113" s="73">
        <v>30</v>
      </c>
      <c r="O113" s="73">
        <v>30</v>
      </c>
      <c r="P113" s="73">
        <v>30</v>
      </c>
      <c r="Q113" s="73">
        <v>30</v>
      </c>
      <c r="R113" s="73">
        <v>30</v>
      </c>
      <c r="S113" s="73">
        <v>30</v>
      </c>
      <c r="T113" s="73">
        <v>30</v>
      </c>
      <c r="U113" s="73">
        <v>30</v>
      </c>
      <c r="V113" s="73">
        <v>30</v>
      </c>
      <c r="W113" s="73">
        <v>30</v>
      </c>
      <c r="X113" s="73">
        <v>30</v>
      </c>
      <c r="Y113" s="73">
        <v>30</v>
      </c>
      <c r="Z113" s="73">
        <v>30</v>
      </c>
      <c r="AA113" s="73">
        <v>30</v>
      </c>
      <c r="AB113" s="73">
        <v>30</v>
      </c>
      <c r="AC113" s="73">
        <v>30</v>
      </c>
      <c r="AD113" s="73">
        <v>30</v>
      </c>
      <c r="AE113" s="73">
        <v>30</v>
      </c>
      <c r="AF113" s="75">
        <f t="shared" ref="AF113:AO113" si="140">AE113</f>
        <v>30</v>
      </c>
      <c r="AG113" s="75">
        <f t="shared" si="140"/>
        <v>30</v>
      </c>
      <c r="AH113" s="75">
        <f t="shared" si="140"/>
        <v>30</v>
      </c>
      <c r="AI113" s="75">
        <f t="shared" si="140"/>
        <v>30</v>
      </c>
      <c r="AJ113" s="75">
        <f t="shared" si="140"/>
        <v>30</v>
      </c>
      <c r="AK113" s="75">
        <f t="shared" si="140"/>
        <v>30</v>
      </c>
      <c r="AL113" s="75">
        <f t="shared" si="140"/>
        <v>30</v>
      </c>
      <c r="AM113" s="75">
        <f t="shared" si="140"/>
        <v>30</v>
      </c>
      <c r="AN113" s="75">
        <f t="shared" si="140"/>
        <v>30</v>
      </c>
      <c r="AO113" s="75">
        <f t="shared" si="140"/>
        <v>30</v>
      </c>
    </row>
    <row r="114" spans="1:41" x14ac:dyDescent="0.35">
      <c r="A114" s="67" t="s">
        <v>52</v>
      </c>
      <c r="B114" s="68" t="s">
        <v>19</v>
      </c>
      <c r="C114" s="75" t="s">
        <v>37</v>
      </c>
      <c r="D114" s="75" t="s">
        <v>71</v>
      </c>
      <c r="E114" s="75">
        <v>30</v>
      </c>
      <c r="F114" s="75">
        <v>30</v>
      </c>
      <c r="G114" s="75">
        <v>30</v>
      </c>
      <c r="H114" s="75">
        <v>30</v>
      </c>
      <c r="I114" s="75">
        <v>30</v>
      </c>
      <c r="J114" s="75">
        <v>30</v>
      </c>
      <c r="K114" s="75">
        <v>30</v>
      </c>
      <c r="L114" s="75">
        <v>30</v>
      </c>
      <c r="M114" s="75">
        <v>30</v>
      </c>
      <c r="N114" s="75">
        <v>30</v>
      </c>
      <c r="O114" s="75">
        <v>30</v>
      </c>
      <c r="P114" s="75">
        <v>30</v>
      </c>
      <c r="Q114" s="75">
        <v>30</v>
      </c>
      <c r="R114" s="75">
        <v>30</v>
      </c>
      <c r="S114" s="75">
        <v>30</v>
      </c>
      <c r="T114" s="75">
        <v>30</v>
      </c>
      <c r="U114" s="75">
        <v>30</v>
      </c>
      <c r="V114" s="75">
        <v>30</v>
      </c>
      <c r="W114" s="75">
        <v>30</v>
      </c>
      <c r="X114" s="75">
        <v>30</v>
      </c>
      <c r="Y114" s="75">
        <v>30</v>
      </c>
      <c r="Z114" s="75">
        <v>30</v>
      </c>
      <c r="AA114" s="75">
        <v>30</v>
      </c>
      <c r="AB114" s="75">
        <v>30</v>
      </c>
      <c r="AC114" s="75">
        <v>30</v>
      </c>
      <c r="AD114" s="75">
        <v>30</v>
      </c>
      <c r="AE114" s="75">
        <v>30</v>
      </c>
      <c r="AF114" s="75">
        <f t="shared" ref="AF114:AO114" si="141">AE114</f>
        <v>30</v>
      </c>
      <c r="AG114" s="75">
        <f t="shared" si="141"/>
        <v>30</v>
      </c>
      <c r="AH114" s="75">
        <f t="shared" si="141"/>
        <v>30</v>
      </c>
      <c r="AI114" s="75">
        <f t="shared" si="141"/>
        <v>30</v>
      </c>
      <c r="AJ114" s="75">
        <f t="shared" si="141"/>
        <v>30</v>
      </c>
      <c r="AK114" s="75">
        <f t="shared" si="141"/>
        <v>30</v>
      </c>
      <c r="AL114" s="75">
        <f t="shared" si="141"/>
        <v>30</v>
      </c>
      <c r="AM114" s="75">
        <f t="shared" si="141"/>
        <v>30</v>
      </c>
      <c r="AN114" s="75">
        <f t="shared" si="141"/>
        <v>30</v>
      </c>
      <c r="AO114" s="75">
        <f t="shared" si="141"/>
        <v>30</v>
      </c>
    </row>
    <row r="115" spans="1:41" x14ac:dyDescent="0.35">
      <c r="A115" s="67" t="s">
        <v>52</v>
      </c>
      <c r="B115" s="72" t="s">
        <v>20</v>
      </c>
      <c r="C115" s="73" t="s">
        <v>37</v>
      </c>
      <c r="D115" s="73" t="s">
        <v>71</v>
      </c>
      <c r="E115" s="73">
        <v>30</v>
      </c>
      <c r="F115" s="73">
        <v>30</v>
      </c>
      <c r="G115" s="73">
        <v>30</v>
      </c>
      <c r="H115" s="73">
        <v>30</v>
      </c>
      <c r="I115" s="73">
        <v>30</v>
      </c>
      <c r="J115" s="73">
        <v>30</v>
      </c>
      <c r="K115" s="73">
        <v>30</v>
      </c>
      <c r="L115" s="73">
        <v>30</v>
      </c>
      <c r="M115" s="73">
        <v>30</v>
      </c>
      <c r="N115" s="73">
        <v>30</v>
      </c>
      <c r="O115" s="73">
        <v>30</v>
      </c>
      <c r="P115" s="73">
        <v>30</v>
      </c>
      <c r="Q115" s="73">
        <v>30</v>
      </c>
      <c r="R115" s="73">
        <v>30</v>
      </c>
      <c r="S115" s="73">
        <v>30</v>
      </c>
      <c r="T115" s="73">
        <v>30</v>
      </c>
      <c r="U115" s="73">
        <v>30</v>
      </c>
      <c r="V115" s="73">
        <v>30</v>
      </c>
      <c r="W115" s="73">
        <v>30</v>
      </c>
      <c r="X115" s="73">
        <v>30</v>
      </c>
      <c r="Y115" s="73">
        <v>30</v>
      </c>
      <c r="Z115" s="73">
        <v>30</v>
      </c>
      <c r="AA115" s="73">
        <v>30</v>
      </c>
      <c r="AB115" s="73">
        <v>30</v>
      </c>
      <c r="AC115" s="73">
        <v>30</v>
      </c>
      <c r="AD115" s="73">
        <v>30</v>
      </c>
      <c r="AE115" s="73">
        <v>30</v>
      </c>
      <c r="AF115" s="75">
        <f t="shared" ref="AF115:AO115" si="142">AE115</f>
        <v>30</v>
      </c>
      <c r="AG115" s="75">
        <f t="shared" si="142"/>
        <v>30</v>
      </c>
      <c r="AH115" s="75">
        <f t="shared" si="142"/>
        <v>30</v>
      </c>
      <c r="AI115" s="75">
        <f t="shared" si="142"/>
        <v>30</v>
      </c>
      <c r="AJ115" s="75">
        <f t="shared" si="142"/>
        <v>30</v>
      </c>
      <c r="AK115" s="75">
        <f t="shared" si="142"/>
        <v>30</v>
      </c>
      <c r="AL115" s="75">
        <f t="shared" si="142"/>
        <v>30</v>
      </c>
      <c r="AM115" s="75">
        <f t="shared" si="142"/>
        <v>30</v>
      </c>
      <c r="AN115" s="75">
        <f t="shared" si="142"/>
        <v>30</v>
      </c>
      <c r="AO115" s="75">
        <f t="shared" si="142"/>
        <v>30</v>
      </c>
    </row>
    <row r="116" spans="1:41" x14ac:dyDescent="0.35">
      <c r="A116" s="67" t="s">
        <v>52</v>
      </c>
      <c r="B116" s="68" t="s">
        <v>21</v>
      </c>
      <c r="C116" s="75" t="s">
        <v>37</v>
      </c>
      <c r="D116" s="75" t="s">
        <v>71</v>
      </c>
      <c r="E116" s="75">
        <v>30</v>
      </c>
      <c r="F116" s="75">
        <v>30</v>
      </c>
      <c r="G116" s="75">
        <v>30</v>
      </c>
      <c r="H116" s="75">
        <v>30</v>
      </c>
      <c r="I116" s="75">
        <v>30</v>
      </c>
      <c r="J116" s="75">
        <v>30</v>
      </c>
      <c r="K116" s="75">
        <v>30</v>
      </c>
      <c r="L116" s="75">
        <v>30</v>
      </c>
      <c r="M116" s="75">
        <v>30</v>
      </c>
      <c r="N116" s="75">
        <v>30</v>
      </c>
      <c r="O116" s="75">
        <v>30</v>
      </c>
      <c r="P116" s="75">
        <v>30</v>
      </c>
      <c r="Q116" s="75">
        <v>30</v>
      </c>
      <c r="R116" s="75">
        <v>30</v>
      </c>
      <c r="S116" s="75">
        <v>30</v>
      </c>
      <c r="T116" s="75">
        <v>30</v>
      </c>
      <c r="U116" s="75">
        <v>30</v>
      </c>
      <c r="V116" s="75">
        <v>30</v>
      </c>
      <c r="W116" s="75">
        <v>30</v>
      </c>
      <c r="X116" s="75">
        <v>30</v>
      </c>
      <c r="Y116" s="75">
        <v>30</v>
      </c>
      <c r="Z116" s="75">
        <v>30</v>
      </c>
      <c r="AA116" s="75">
        <v>30</v>
      </c>
      <c r="AB116" s="75">
        <v>30</v>
      </c>
      <c r="AC116" s="75">
        <v>30</v>
      </c>
      <c r="AD116" s="75">
        <v>30</v>
      </c>
      <c r="AE116" s="75">
        <v>30</v>
      </c>
      <c r="AF116" s="75">
        <f t="shared" ref="AF116:AO116" si="143">AE116</f>
        <v>30</v>
      </c>
      <c r="AG116" s="75">
        <f t="shared" si="143"/>
        <v>30</v>
      </c>
      <c r="AH116" s="75">
        <f t="shared" si="143"/>
        <v>30</v>
      </c>
      <c r="AI116" s="75">
        <f t="shared" si="143"/>
        <v>30</v>
      </c>
      <c r="AJ116" s="75">
        <f t="shared" si="143"/>
        <v>30</v>
      </c>
      <c r="AK116" s="75">
        <f t="shared" si="143"/>
        <v>30</v>
      </c>
      <c r="AL116" s="75">
        <f t="shared" si="143"/>
        <v>30</v>
      </c>
      <c r="AM116" s="75">
        <f t="shared" si="143"/>
        <v>30</v>
      </c>
      <c r="AN116" s="75">
        <f t="shared" si="143"/>
        <v>30</v>
      </c>
      <c r="AO116" s="75">
        <f t="shared" si="143"/>
        <v>30</v>
      </c>
    </row>
    <row r="117" spans="1:41" x14ac:dyDescent="0.35">
      <c r="A117" s="67" t="s">
        <v>52</v>
      </c>
      <c r="B117" s="72" t="s">
        <v>22</v>
      </c>
      <c r="C117" s="73" t="s">
        <v>37</v>
      </c>
      <c r="D117" s="73" t="s">
        <v>71</v>
      </c>
      <c r="E117" s="73">
        <v>30</v>
      </c>
      <c r="F117" s="73">
        <v>30</v>
      </c>
      <c r="G117" s="73">
        <v>30</v>
      </c>
      <c r="H117" s="73">
        <v>30</v>
      </c>
      <c r="I117" s="73">
        <v>30</v>
      </c>
      <c r="J117" s="73">
        <v>30</v>
      </c>
      <c r="K117" s="73">
        <v>30</v>
      </c>
      <c r="L117" s="73">
        <v>30</v>
      </c>
      <c r="M117" s="73">
        <v>30</v>
      </c>
      <c r="N117" s="73">
        <v>30</v>
      </c>
      <c r="O117" s="73">
        <v>30</v>
      </c>
      <c r="P117" s="73">
        <v>30</v>
      </c>
      <c r="Q117" s="73">
        <v>30</v>
      </c>
      <c r="R117" s="73">
        <v>30</v>
      </c>
      <c r="S117" s="73">
        <v>30</v>
      </c>
      <c r="T117" s="73">
        <v>30</v>
      </c>
      <c r="U117" s="73">
        <v>30</v>
      </c>
      <c r="V117" s="73">
        <v>30</v>
      </c>
      <c r="W117" s="73">
        <v>30</v>
      </c>
      <c r="X117" s="73">
        <v>30</v>
      </c>
      <c r="Y117" s="73">
        <v>30</v>
      </c>
      <c r="Z117" s="73">
        <v>30</v>
      </c>
      <c r="AA117" s="73">
        <v>30</v>
      </c>
      <c r="AB117" s="73">
        <v>30</v>
      </c>
      <c r="AC117" s="73">
        <v>30</v>
      </c>
      <c r="AD117" s="73">
        <v>30</v>
      </c>
      <c r="AE117" s="73">
        <v>30</v>
      </c>
      <c r="AF117" s="75">
        <f t="shared" ref="AF117:AO117" si="144">AE117</f>
        <v>30</v>
      </c>
      <c r="AG117" s="75">
        <f t="shared" si="144"/>
        <v>30</v>
      </c>
      <c r="AH117" s="75">
        <f t="shared" si="144"/>
        <v>30</v>
      </c>
      <c r="AI117" s="75">
        <f t="shared" si="144"/>
        <v>30</v>
      </c>
      <c r="AJ117" s="75">
        <f t="shared" si="144"/>
        <v>30</v>
      </c>
      <c r="AK117" s="75">
        <f t="shared" si="144"/>
        <v>30</v>
      </c>
      <c r="AL117" s="75">
        <f t="shared" si="144"/>
        <v>30</v>
      </c>
      <c r="AM117" s="75">
        <f t="shared" si="144"/>
        <v>30</v>
      </c>
      <c r="AN117" s="75">
        <f t="shared" si="144"/>
        <v>30</v>
      </c>
      <c r="AO117" s="75">
        <f t="shared" si="144"/>
        <v>30</v>
      </c>
    </row>
    <row r="118" spans="1:41" x14ac:dyDescent="0.35">
      <c r="A118" s="67" t="s">
        <v>52</v>
      </c>
      <c r="B118" s="72" t="s">
        <v>117</v>
      </c>
      <c r="C118" s="73" t="s">
        <v>37</v>
      </c>
      <c r="D118" s="73" t="s">
        <v>71</v>
      </c>
      <c r="E118" s="73">
        <v>30</v>
      </c>
      <c r="F118" s="73">
        <v>30</v>
      </c>
      <c r="G118" s="73">
        <v>30</v>
      </c>
      <c r="H118" s="73">
        <v>30</v>
      </c>
      <c r="I118" s="73">
        <v>30</v>
      </c>
      <c r="J118" s="73">
        <v>30</v>
      </c>
      <c r="K118" s="73">
        <v>30</v>
      </c>
      <c r="L118" s="73">
        <v>30</v>
      </c>
      <c r="M118" s="73">
        <v>30</v>
      </c>
      <c r="N118" s="73">
        <v>30</v>
      </c>
      <c r="O118" s="73">
        <v>30</v>
      </c>
      <c r="P118" s="73">
        <v>30</v>
      </c>
      <c r="Q118" s="73">
        <v>30</v>
      </c>
      <c r="R118" s="73">
        <v>30</v>
      </c>
      <c r="S118" s="73">
        <v>30</v>
      </c>
      <c r="T118" s="73">
        <v>30</v>
      </c>
      <c r="U118" s="73">
        <v>30</v>
      </c>
      <c r="V118" s="73">
        <v>30</v>
      </c>
      <c r="W118" s="73">
        <v>30</v>
      </c>
      <c r="X118" s="73">
        <v>30</v>
      </c>
      <c r="Y118" s="73">
        <v>30</v>
      </c>
      <c r="Z118" s="73">
        <v>30</v>
      </c>
      <c r="AA118" s="73">
        <v>30</v>
      </c>
      <c r="AB118" s="73">
        <v>30</v>
      </c>
      <c r="AC118" s="73">
        <v>30</v>
      </c>
      <c r="AD118" s="73">
        <v>30</v>
      </c>
      <c r="AE118" s="73">
        <v>30</v>
      </c>
      <c r="AF118" s="75">
        <f t="shared" ref="AF118" si="145">AE118</f>
        <v>30</v>
      </c>
      <c r="AG118" s="75">
        <f t="shared" ref="AG118" si="146">AF118</f>
        <v>30</v>
      </c>
      <c r="AH118" s="75">
        <f t="shared" ref="AH118" si="147">AG118</f>
        <v>30</v>
      </c>
      <c r="AI118" s="75">
        <f t="shared" ref="AI118" si="148">AH118</f>
        <v>30</v>
      </c>
      <c r="AJ118" s="75">
        <f t="shared" ref="AJ118" si="149">AI118</f>
        <v>30</v>
      </c>
      <c r="AK118" s="75">
        <f t="shared" ref="AK118" si="150">AJ118</f>
        <v>30</v>
      </c>
      <c r="AL118" s="75">
        <f t="shared" ref="AL118" si="151">AK118</f>
        <v>30</v>
      </c>
      <c r="AM118" s="75">
        <f t="shared" ref="AM118" si="152">AL118</f>
        <v>30</v>
      </c>
      <c r="AN118" s="75">
        <f t="shared" ref="AN118" si="153">AM118</f>
        <v>30</v>
      </c>
      <c r="AO118" s="75">
        <f t="shared" ref="AO118" si="154">AN118</f>
        <v>30</v>
      </c>
    </row>
    <row r="119" spans="1:41" x14ac:dyDescent="0.35">
      <c r="A119" s="67" t="s">
        <v>52</v>
      </c>
      <c r="B119" s="68" t="s">
        <v>13</v>
      </c>
      <c r="C119" s="75" t="s">
        <v>37</v>
      </c>
      <c r="D119" s="75" t="s">
        <v>71</v>
      </c>
      <c r="E119" s="75">
        <v>25</v>
      </c>
      <c r="F119" s="75">
        <v>25</v>
      </c>
      <c r="G119" s="75">
        <v>25</v>
      </c>
      <c r="H119" s="75">
        <v>25</v>
      </c>
      <c r="I119" s="75">
        <v>25</v>
      </c>
      <c r="J119" s="75">
        <v>25</v>
      </c>
      <c r="K119" s="75">
        <v>25</v>
      </c>
      <c r="L119" s="75">
        <v>25</v>
      </c>
      <c r="M119" s="75">
        <v>25</v>
      </c>
      <c r="N119" s="75">
        <v>25</v>
      </c>
      <c r="O119" s="75">
        <v>25</v>
      </c>
      <c r="P119" s="75">
        <v>25</v>
      </c>
      <c r="Q119" s="75">
        <v>25</v>
      </c>
      <c r="R119" s="75">
        <v>25</v>
      </c>
      <c r="S119" s="75">
        <v>25</v>
      </c>
      <c r="T119" s="75">
        <v>25</v>
      </c>
      <c r="U119" s="75">
        <v>25</v>
      </c>
      <c r="V119" s="75">
        <v>25</v>
      </c>
      <c r="W119" s="75">
        <v>25</v>
      </c>
      <c r="X119" s="75">
        <v>25</v>
      </c>
      <c r="Y119" s="75">
        <v>25</v>
      </c>
      <c r="Z119" s="75">
        <v>25</v>
      </c>
      <c r="AA119" s="75">
        <v>25</v>
      </c>
      <c r="AB119" s="75">
        <v>25</v>
      </c>
      <c r="AC119" s="75">
        <v>25</v>
      </c>
      <c r="AD119" s="75">
        <v>25</v>
      </c>
      <c r="AE119" s="75">
        <v>25</v>
      </c>
      <c r="AF119" s="75">
        <f t="shared" ref="AF119:AO119" si="155">AE119</f>
        <v>25</v>
      </c>
      <c r="AG119" s="75">
        <f t="shared" si="155"/>
        <v>25</v>
      </c>
      <c r="AH119" s="75">
        <f t="shared" si="155"/>
        <v>25</v>
      </c>
      <c r="AI119" s="75">
        <f t="shared" si="155"/>
        <v>25</v>
      </c>
      <c r="AJ119" s="75">
        <f t="shared" si="155"/>
        <v>25</v>
      </c>
      <c r="AK119" s="75">
        <f t="shared" si="155"/>
        <v>25</v>
      </c>
      <c r="AL119" s="75">
        <f t="shared" si="155"/>
        <v>25</v>
      </c>
      <c r="AM119" s="75">
        <f t="shared" si="155"/>
        <v>25</v>
      </c>
      <c r="AN119" s="75">
        <f t="shared" si="155"/>
        <v>25</v>
      </c>
      <c r="AO119" s="75">
        <f t="shared" si="155"/>
        <v>25</v>
      </c>
    </row>
    <row r="120" spans="1:41" x14ac:dyDescent="0.35">
      <c r="A120" s="67" t="s">
        <v>52</v>
      </c>
      <c r="B120" s="72" t="s">
        <v>14</v>
      </c>
      <c r="C120" s="73" t="s">
        <v>37</v>
      </c>
      <c r="D120" s="73" t="s">
        <v>71</v>
      </c>
      <c r="E120" s="73">
        <v>25</v>
      </c>
      <c r="F120" s="73">
        <v>25</v>
      </c>
      <c r="G120" s="73">
        <v>25</v>
      </c>
      <c r="H120" s="73">
        <v>25</v>
      </c>
      <c r="I120" s="73">
        <v>25</v>
      </c>
      <c r="J120" s="73">
        <v>25</v>
      </c>
      <c r="K120" s="73">
        <v>25</v>
      </c>
      <c r="L120" s="73">
        <v>25</v>
      </c>
      <c r="M120" s="73">
        <v>25</v>
      </c>
      <c r="N120" s="73">
        <v>25</v>
      </c>
      <c r="O120" s="73">
        <v>25</v>
      </c>
      <c r="P120" s="73">
        <v>25</v>
      </c>
      <c r="Q120" s="73">
        <v>25</v>
      </c>
      <c r="R120" s="73">
        <v>25</v>
      </c>
      <c r="S120" s="73">
        <v>25</v>
      </c>
      <c r="T120" s="73">
        <v>25</v>
      </c>
      <c r="U120" s="73">
        <v>25</v>
      </c>
      <c r="V120" s="73">
        <v>25</v>
      </c>
      <c r="W120" s="73">
        <v>25</v>
      </c>
      <c r="X120" s="73">
        <v>25</v>
      </c>
      <c r="Y120" s="73">
        <v>25</v>
      </c>
      <c r="Z120" s="73">
        <v>25</v>
      </c>
      <c r="AA120" s="73">
        <v>25</v>
      </c>
      <c r="AB120" s="73">
        <v>25</v>
      </c>
      <c r="AC120" s="73">
        <v>25</v>
      </c>
      <c r="AD120" s="73">
        <v>25</v>
      </c>
      <c r="AE120" s="73">
        <v>25</v>
      </c>
      <c r="AF120" s="75">
        <f t="shared" ref="AF120:AO120" si="156">AE120</f>
        <v>25</v>
      </c>
      <c r="AG120" s="75">
        <f t="shared" si="156"/>
        <v>25</v>
      </c>
      <c r="AH120" s="75">
        <f t="shared" si="156"/>
        <v>25</v>
      </c>
      <c r="AI120" s="75">
        <f t="shared" si="156"/>
        <v>25</v>
      </c>
      <c r="AJ120" s="75">
        <f t="shared" si="156"/>
        <v>25</v>
      </c>
      <c r="AK120" s="75">
        <f t="shared" si="156"/>
        <v>25</v>
      </c>
      <c r="AL120" s="75">
        <f t="shared" si="156"/>
        <v>25</v>
      </c>
      <c r="AM120" s="75">
        <f t="shared" si="156"/>
        <v>25</v>
      </c>
      <c r="AN120" s="75">
        <f t="shared" si="156"/>
        <v>25</v>
      </c>
      <c r="AO120" s="75">
        <f t="shared" si="156"/>
        <v>25</v>
      </c>
    </row>
    <row r="121" spans="1:41" x14ac:dyDescent="0.35">
      <c r="A121" s="67" t="s">
        <v>52</v>
      </c>
      <c r="B121" s="68" t="s">
        <v>28</v>
      </c>
      <c r="C121" s="75" t="s">
        <v>37</v>
      </c>
      <c r="D121" s="75" t="s">
        <v>71</v>
      </c>
      <c r="E121" s="75">
        <v>50</v>
      </c>
      <c r="F121" s="75">
        <v>50</v>
      </c>
      <c r="G121" s="75">
        <v>50</v>
      </c>
      <c r="H121" s="75">
        <v>50</v>
      </c>
      <c r="I121" s="75">
        <v>50</v>
      </c>
      <c r="J121" s="75">
        <v>50</v>
      </c>
      <c r="K121" s="75">
        <v>50</v>
      </c>
      <c r="L121" s="75">
        <v>50</v>
      </c>
      <c r="M121" s="75">
        <v>50</v>
      </c>
      <c r="N121" s="75">
        <v>50</v>
      </c>
      <c r="O121" s="75">
        <v>50</v>
      </c>
      <c r="P121" s="75">
        <v>50</v>
      </c>
      <c r="Q121" s="75">
        <v>50</v>
      </c>
      <c r="R121" s="75">
        <v>50</v>
      </c>
      <c r="S121" s="75">
        <v>50</v>
      </c>
      <c r="T121" s="75">
        <v>50</v>
      </c>
      <c r="U121" s="75">
        <v>50</v>
      </c>
      <c r="V121" s="75">
        <v>50</v>
      </c>
      <c r="W121" s="75">
        <v>50</v>
      </c>
      <c r="X121" s="75">
        <v>50</v>
      </c>
      <c r="Y121" s="75">
        <v>50</v>
      </c>
      <c r="Z121" s="75">
        <v>50</v>
      </c>
      <c r="AA121" s="75">
        <v>50</v>
      </c>
      <c r="AB121" s="75">
        <v>50</v>
      </c>
      <c r="AC121" s="75">
        <v>50</v>
      </c>
      <c r="AD121" s="75">
        <v>50</v>
      </c>
      <c r="AE121" s="75">
        <v>50</v>
      </c>
      <c r="AF121" s="75">
        <f t="shared" ref="AF121:AO121" si="157">AE121</f>
        <v>50</v>
      </c>
      <c r="AG121" s="75">
        <f t="shared" si="157"/>
        <v>50</v>
      </c>
      <c r="AH121" s="75">
        <f t="shared" si="157"/>
        <v>50</v>
      </c>
      <c r="AI121" s="75">
        <f t="shared" si="157"/>
        <v>50</v>
      </c>
      <c r="AJ121" s="75">
        <f t="shared" si="157"/>
        <v>50</v>
      </c>
      <c r="AK121" s="75">
        <f t="shared" si="157"/>
        <v>50</v>
      </c>
      <c r="AL121" s="75">
        <f t="shared" si="157"/>
        <v>50</v>
      </c>
      <c r="AM121" s="75">
        <f t="shared" si="157"/>
        <v>50</v>
      </c>
      <c r="AN121" s="75">
        <f t="shared" si="157"/>
        <v>50</v>
      </c>
      <c r="AO121" s="75">
        <f t="shared" si="157"/>
        <v>50</v>
      </c>
    </row>
    <row r="122" spans="1:41" x14ac:dyDescent="0.35">
      <c r="A122" s="67" t="s">
        <v>52</v>
      </c>
      <c r="B122" s="72" t="s">
        <v>10</v>
      </c>
      <c r="C122" s="73" t="s">
        <v>37</v>
      </c>
      <c r="D122" s="73" t="s">
        <v>71</v>
      </c>
      <c r="E122" s="73">
        <v>25</v>
      </c>
      <c r="F122" s="73">
        <v>25</v>
      </c>
      <c r="G122" s="73">
        <v>25</v>
      </c>
      <c r="H122" s="73">
        <v>25</v>
      </c>
      <c r="I122" s="73">
        <v>25</v>
      </c>
      <c r="J122" s="73">
        <v>25</v>
      </c>
      <c r="K122" s="73">
        <v>25</v>
      </c>
      <c r="L122" s="73">
        <v>25</v>
      </c>
      <c r="M122" s="73">
        <v>25</v>
      </c>
      <c r="N122" s="73">
        <v>25</v>
      </c>
      <c r="O122" s="73">
        <v>25</v>
      </c>
      <c r="P122" s="73">
        <v>25</v>
      </c>
      <c r="Q122" s="73">
        <v>25</v>
      </c>
      <c r="R122" s="73">
        <v>25</v>
      </c>
      <c r="S122" s="73">
        <v>25</v>
      </c>
      <c r="T122" s="73">
        <v>25</v>
      </c>
      <c r="U122" s="73">
        <v>25</v>
      </c>
      <c r="V122" s="73">
        <v>25</v>
      </c>
      <c r="W122" s="73">
        <v>25</v>
      </c>
      <c r="X122" s="73">
        <v>25</v>
      </c>
      <c r="Y122" s="73">
        <v>25</v>
      </c>
      <c r="Z122" s="73">
        <v>25</v>
      </c>
      <c r="AA122" s="73">
        <v>25</v>
      </c>
      <c r="AB122" s="73">
        <v>25</v>
      </c>
      <c r="AC122" s="73">
        <v>25</v>
      </c>
      <c r="AD122" s="73">
        <v>25</v>
      </c>
      <c r="AE122" s="73">
        <v>25</v>
      </c>
      <c r="AF122" s="75">
        <f t="shared" ref="AF122:AO122" si="158">AE122</f>
        <v>25</v>
      </c>
      <c r="AG122" s="75">
        <f t="shared" si="158"/>
        <v>25</v>
      </c>
      <c r="AH122" s="75">
        <f t="shared" si="158"/>
        <v>25</v>
      </c>
      <c r="AI122" s="75">
        <f t="shared" si="158"/>
        <v>25</v>
      </c>
      <c r="AJ122" s="75">
        <f t="shared" si="158"/>
        <v>25</v>
      </c>
      <c r="AK122" s="75">
        <f t="shared" si="158"/>
        <v>25</v>
      </c>
      <c r="AL122" s="75">
        <f t="shared" si="158"/>
        <v>25</v>
      </c>
      <c r="AM122" s="75">
        <f t="shared" si="158"/>
        <v>25</v>
      </c>
      <c r="AN122" s="75">
        <f t="shared" si="158"/>
        <v>25</v>
      </c>
      <c r="AO122" s="75">
        <f t="shared" si="158"/>
        <v>25</v>
      </c>
    </row>
    <row r="123" spans="1:41" x14ac:dyDescent="0.35">
      <c r="A123" s="67" t="s">
        <v>52</v>
      </c>
      <c r="B123" s="68" t="s">
        <v>8</v>
      </c>
      <c r="C123" s="75" t="s">
        <v>37</v>
      </c>
      <c r="D123" s="75" t="s">
        <v>71</v>
      </c>
      <c r="E123" s="75">
        <v>25</v>
      </c>
      <c r="F123" s="75">
        <v>25</v>
      </c>
      <c r="G123" s="75">
        <v>25</v>
      </c>
      <c r="H123" s="75">
        <v>25</v>
      </c>
      <c r="I123" s="75">
        <v>25</v>
      </c>
      <c r="J123" s="75">
        <v>25</v>
      </c>
      <c r="K123" s="75">
        <v>25</v>
      </c>
      <c r="L123" s="75">
        <v>25</v>
      </c>
      <c r="M123" s="75">
        <v>25</v>
      </c>
      <c r="N123" s="75">
        <v>25</v>
      </c>
      <c r="O123" s="75">
        <v>25</v>
      </c>
      <c r="P123" s="75">
        <v>25</v>
      </c>
      <c r="Q123" s="75">
        <v>25</v>
      </c>
      <c r="R123" s="75">
        <v>25</v>
      </c>
      <c r="S123" s="75">
        <v>25</v>
      </c>
      <c r="T123" s="75">
        <v>25</v>
      </c>
      <c r="U123" s="75">
        <v>25</v>
      </c>
      <c r="V123" s="75">
        <v>25</v>
      </c>
      <c r="W123" s="75">
        <v>25</v>
      </c>
      <c r="X123" s="75">
        <v>25</v>
      </c>
      <c r="Y123" s="75">
        <v>25</v>
      </c>
      <c r="Z123" s="75">
        <v>25</v>
      </c>
      <c r="AA123" s="75">
        <v>25</v>
      </c>
      <c r="AB123" s="75">
        <v>25</v>
      </c>
      <c r="AC123" s="75">
        <v>25</v>
      </c>
      <c r="AD123" s="75">
        <v>25</v>
      </c>
      <c r="AE123" s="75">
        <v>25</v>
      </c>
      <c r="AF123" s="75">
        <f t="shared" ref="AF123:AO123" si="159">AE123</f>
        <v>25</v>
      </c>
      <c r="AG123" s="75">
        <f t="shared" si="159"/>
        <v>25</v>
      </c>
      <c r="AH123" s="75">
        <f t="shared" si="159"/>
        <v>25</v>
      </c>
      <c r="AI123" s="75">
        <f t="shared" si="159"/>
        <v>25</v>
      </c>
      <c r="AJ123" s="75">
        <f t="shared" si="159"/>
        <v>25</v>
      </c>
      <c r="AK123" s="75">
        <f t="shared" si="159"/>
        <v>25</v>
      </c>
      <c r="AL123" s="75">
        <f t="shared" si="159"/>
        <v>25</v>
      </c>
      <c r="AM123" s="75">
        <f t="shared" si="159"/>
        <v>25</v>
      </c>
      <c r="AN123" s="75">
        <f t="shared" si="159"/>
        <v>25</v>
      </c>
      <c r="AO123" s="75">
        <f t="shared" si="159"/>
        <v>25</v>
      </c>
    </row>
    <row r="124" spans="1:41" x14ac:dyDescent="0.35">
      <c r="A124" s="67" t="s">
        <v>52</v>
      </c>
      <c r="B124" s="72" t="s">
        <v>11</v>
      </c>
      <c r="C124" s="73" t="s">
        <v>37</v>
      </c>
      <c r="D124" s="73" t="s">
        <v>71</v>
      </c>
      <c r="E124" s="73">
        <v>25</v>
      </c>
      <c r="F124" s="73">
        <v>25</v>
      </c>
      <c r="G124" s="73">
        <v>25</v>
      </c>
      <c r="H124" s="73">
        <v>25</v>
      </c>
      <c r="I124" s="73">
        <v>25</v>
      </c>
      <c r="J124" s="73">
        <v>25</v>
      </c>
      <c r="K124" s="73">
        <v>25</v>
      </c>
      <c r="L124" s="73">
        <v>25</v>
      </c>
      <c r="M124" s="73">
        <v>25</v>
      </c>
      <c r="N124" s="73">
        <v>25</v>
      </c>
      <c r="O124" s="73">
        <v>25</v>
      </c>
      <c r="P124" s="73">
        <v>25</v>
      </c>
      <c r="Q124" s="73">
        <v>25</v>
      </c>
      <c r="R124" s="73">
        <v>25</v>
      </c>
      <c r="S124" s="73">
        <v>25</v>
      </c>
      <c r="T124" s="73">
        <v>25</v>
      </c>
      <c r="U124" s="73">
        <v>25</v>
      </c>
      <c r="V124" s="73">
        <v>25</v>
      </c>
      <c r="W124" s="73">
        <v>25</v>
      </c>
      <c r="X124" s="73">
        <v>25</v>
      </c>
      <c r="Y124" s="73">
        <v>25</v>
      </c>
      <c r="Z124" s="73">
        <v>25</v>
      </c>
      <c r="AA124" s="73">
        <v>25</v>
      </c>
      <c r="AB124" s="73">
        <v>25</v>
      </c>
      <c r="AC124" s="73">
        <v>25</v>
      </c>
      <c r="AD124" s="73">
        <v>25</v>
      </c>
      <c r="AE124" s="73">
        <v>25</v>
      </c>
      <c r="AF124" s="75">
        <f t="shared" ref="AF124:AO124" si="160">AE124</f>
        <v>25</v>
      </c>
      <c r="AG124" s="75">
        <f t="shared" si="160"/>
        <v>25</v>
      </c>
      <c r="AH124" s="75">
        <f t="shared" si="160"/>
        <v>25</v>
      </c>
      <c r="AI124" s="75">
        <f t="shared" si="160"/>
        <v>25</v>
      </c>
      <c r="AJ124" s="75">
        <f t="shared" si="160"/>
        <v>25</v>
      </c>
      <c r="AK124" s="75">
        <f t="shared" si="160"/>
        <v>25</v>
      </c>
      <c r="AL124" s="75">
        <f t="shared" si="160"/>
        <v>25</v>
      </c>
      <c r="AM124" s="75">
        <f t="shared" si="160"/>
        <v>25</v>
      </c>
      <c r="AN124" s="75">
        <f t="shared" si="160"/>
        <v>25</v>
      </c>
      <c r="AO124" s="75">
        <f t="shared" si="160"/>
        <v>25</v>
      </c>
    </row>
    <row r="125" spans="1:41" x14ac:dyDescent="0.35">
      <c r="A125" s="67" t="s">
        <v>52</v>
      </c>
      <c r="B125" s="68" t="s">
        <v>55</v>
      </c>
      <c r="C125" s="75" t="s">
        <v>47</v>
      </c>
      <c r="D125" s="75" t="s">
        <v>77</v>
      </c>
      <c r="E125" s="75">
        <v>8.3000000000000004E-2</v>
      </c>
      <c r="F125" s="75">
        <v>8.3000000000000004E-2</v>
      </c>
      <c r="G125" s="75">
        <v>8.3000000000000004E-2</v>
      </c>
      <c r="H125" s="75">
        <v>8.3000000000000004E-2</v>
      </c>
      <c r="I125" s="75">
        <v>8.3000000000000004E-2</v>
      </c>
      <c r="J125" s="75">
        <v>8.3000000000000004E-2</v>
      </c>
      <c r="K125" s="75">
        <v>8.3000000000000004E-2</v>
      </c>
      <c r="L125" s="75">
        <v>8.3000000000000004E-2</v>
      </c>
      <c r="M125" s="75">
        <v>8.3000000000000004E-2</v>
      </c>
      <c r="N125" s="75">
        <v>8.3000000000000004E-2</v>
      </c>
      <c r="O125" s="75">
        <v>8.3000000000000004E-2</v>
      </c>
      <c r="P125" s="75">
        <v>8.3000000000000004E-2</v>
      </c>
      <c r="Q125" s="75">
        <v>8.3000000000000004E-2</v>
      </c>
      <c r="R125" s="75">
        <v>8.3000000000000004E-2</v>
      </c>
      <c r="S125" s="75">
        <v>8.3000000000000004E-2</v>
      </c>
      <c r="T125" s="75">
        <v>8.3000000000000004E-2</v>
      </c>
      <c r="U125" s="75">
        <v>8.3000000000000004E-2</v>
      </c>
      <c r="V125" s="75">
        <v>8.3000000000000004E-2</v>
      </c>
      <c r="W125" s="75">
        <v>8.3000000000000004E-2</v>
      </c>
      <c r="X125" s="75">
        <v>8.3000000000000004E-2</v>
      </c>
      <c r="Y125" s="75">
        <v>8.3000000000000004E-2</v>
      </c>
      <c r="Z125" s="75">
        <v>8.3000000000000004E-2</v>
      </c>
      <c r="AA125" s="75">
        <v>8.3000000000000004E-2</v>
      </c>
      <c r="AB125" s="75">
        <v>8.3000000000000004E-2</v>
      </c>
      <c r="AC125" s="75">
        <v>8.3000000000000004E-2</v>
      </c>
      <c r="AD125" s="75">
        <v>8.3000000000000004E-2</v>
      </c>
      <c r="AE125" s="75">
        <v>8.3000000000000004E-2</v>
      </c>
      <c r="AF125" s="75">
        <f t="shared" ref="AF125:AO125" si="161">AE125</f>
        <v>8.3000000000000004E-2</v>
      </c>
      <c r="AG125" s="75">
        <f t="shared" si="161"/>
        <v>8.3000000000000004E-2</v>
      </c>
      <c r="AH125" s="75">
        <f t="shared" si="161"/>
        <v>8.3000000000000004E-2</v>
      </c>
      <c r="AI125" s="75">
        <f t="shared" si="161"/>
        <v>8.3000000000000004E-2</v>
      </c>
      <c r="AJ125" s="75">
        <f t="shared" si="161"/>
        <v>8.3000000000000004E-2</v>
      </c>
      <c r="AK125" s="75">
        <f t="shared" si="161"/>
        <v>8.3000000000000004E-2</v>
      </c>
      <c r="AL125" s="75">
        <f t="shared" si="161"/>
        <v>8.3000000000000004E-2</v>
      </c>
      <c r="AM125" s="75">
        <f t="shared" si="161"/>
        <v>8.3000000000000004E-2</v>
      </c>
      <c r="AN125" s="75">
        <f t="shared" si="161"/>
        <v>8.3000000000000004E-2</v>
      </c>
      <c r="AO125" s="75">
        <f t="shared" si="161"/>
        <v>8.3000000000000004E-2</v>
      </c>
    </row>
    <row r="126" spans="1:41" x14ac:dyDescent="0.35">
      <c r="A126" s="67" t="s">
        <v>52</v>
      </c>
      <c r="B126" s="68" t="s">
        <v>56</v>
      </c>
      <c r="C126" s="75" t="s">
        <v>47</v>
      </c>
      <c r="D126" s="75" t="s">
        <v>77</v>
      </c>
      <c r="E126" s="75">
        <v>8.3000000000000004E-2</v>
      </c>
      <c r="F126" s="75">
        <v>8.3000000000000004E-2</v>
      </c>
      <c r="G126" s="75">
        <v>8.3000000000000004E-2</v>
      </c>
      <c r="H126" s="75">
        <v>8.3000000000000004E-2</v>
      </c>
      <c r="I126" s="75">
        <v>8.3000000000000004E-2</v>
      </c>
      <c r="J126" s="75">
        <v>8.3000000000000004E-2</v>
      </c>
      <c r="K126" s="75">
        <v>8.3000000000000004E-2</v>
      </c>
      <c r="L126" s="75">
        <v>8.3000000000000004E-2</v>
      </c>
      <c r="M126" s="75">
        <v>8.3000000000000004E-2</v>
      </c>
      <c r="N126" s="75">
        <v>8.3000000000000004E-2</v>
      </c>
      <c r="O126" s="75">
        <v>8.3000000000000004E-2</v>
      </c>
      <c r="P126" s="75">
        <v>8.3000000000000004E-2</v>
      </c>
      <c r="Q126" s="75">
        <v>8.3000000000000004E-2</v>
      </c>
      <c r="R126" s="75">
        <v>8.3000000000000004E-2</v>
      </c>
      <c r="S126" s="75">
        <v>8.3000000000000004E-2</v>
      </c>
      <c r="T126" s="75">
        <v>8.3000000000000004E-2</v>
      </c>
      <c r="U126" s="75">
        <v>8.3000000000000004E-2</v>
      </c>
      <c r="V126" s="75">
        <v>8.3000000000000004E-2</v>
      </c>
      <c r="W126" s="75">
        <v>8.3000000000000004E-2</v>
      </c>
      <c r="X126" s="75">
        <v>8.3000000000000004E-2</v>
      </c>
      <c r="Y126" s="75">
        <v>8.3000000000000004E-2</v>
      </c>
      <c r="Z126" s="75">
        <v>8.3000000000000004E-2</v>
      </c>
      <c r="AA126" s="75">
        <v>8.3000000000000004E-2</v>
      </c>
      <c r="AB126" s="75">
        <v>8.3000000000000004E-2</v>
      </c>
      <c r="AC126" s="75">
        <v>8.3000000000000004E-2</v>
      </c>
      <c r="AD126" s="75">
        <v>8.3000000000000004E-2</v>
      </c>
      <c r="AE126" s="75">
        <v>8.3000000000000004E-2</v>
      </c>
      <c r="AF126" s="75">
        <f t="shared" ref="AF126:AO126" si="162">AE126</f>
        <v>8.3000000000000004E-2</v>
      </c>
      <c r="AG126" s="75">
        <f t="shared" si="162"/>
        <v>8.3000000000000004E-2</v>
      </c>
      <c r="AH126" s="75">
        <f t="shared" si="162"/>
        <v>8.3000000000000004E-2</v>
      </c>
      <c r="AI126" s="75">
        <f t="shared" si="162"/>
        <v>8.3000000000000004E-2</v>
      </c>
      <c r="AJ126" s="75">
        <f t="shared" si="162"/>
        <v>8.3000000000000004E-2</v>
      </c>
      <c r="AK126" s="75">
        <f t="shared" si="162"/>
        <v>8.3000000000000004E-2</v>
      </c>
      <c r="AL126" s="75">
        <f t="shared" si="162"/>
        <v>8.3000000000000004E-2</v>
      </c>
      <c r="AM126" s="75">
        <f t="shared" si="162"/>
        <v>8.3000000000000004E-2</v>
      </c>
      <c r="AN126" s="75">
        <f t="shared" si="162"/>
        <v>8.3000000000000004E-2</v>
      </c>
      <c r="AO126" s="75">
        <f t="shared" si="162"/>
        <v>8.3000000000000004E-2</v>
      </c>
    </row>
    <row r="127" spans="1:41" x14ac:dyDescent="0.35">
      <c r="A127" s="67" t="s">
        <v>52</v>
      </c>
      <c r="B127" s="68" t="s">
        <v>25</v>
      </c>
      <c r="C127" s="75" t="s">
        <v>45</v>
      </c>
      <c r="D127" s="75" t="s">
        <v>69</v>
      </c>
      <c r="E127" s="75">
        <v>0.25</v>
      </c>
      <c r="F127" s="75">
        <v>0.25</v>
      </c>
      <c r="G127" s="75">
        <v>0.25</v>
      </c>
      <c r="H127" s="75">
        <v>0.25</v>
      </c>
      <c r="I127" s="75">
        <v>0.25</v>
      </c>
      <c r="J127" s="75">
        <v>0.25</v>
      </c>
      <c r="K127" s="75">
        <v>0.25</v>
      </c>
      <c r="L127" s="75">
        <v>0.25</v>
      </c>
      <c r="M127" s="75">
        <v>0.25</v>
      </c>
      <c r="N127" s="75">
        <v>0.25</v>
      </c>
      <c r="O127" s="75">
        <v>0.25</v>
      </c>
      <c r="P127" s="75">
        <v>0.25</v>
      </c>
      <c r="Q127" s="75">
        <v>0.25</v>
      </c>
      <c r="R127" s="75">
        <v>0.25</v>
      </c>
      <c r="S127" s="75">
        <v>0.25</v>
      </c>
      <c r="T127" s="75">
        <v>0.25</v>
      </c>
      <c r="U127" s="75">
        <v>0.25</v>
      </c>
      <c r="V127" s="75">
        <v>0.25</v>
      </c>
      <c r="W127" s="75">
        <v>0.25</v>
      </c>
      <c r="X127" s="75">
        <v>0.25</v>
      </c>
      <c r="Y127" s="75">
        <v>0.25</v>
      </c>
      <c r="Z127" s="75">
        <v>0.25</v>
      </c>
      <c r="AA127" s="75">
        <v>0.25</v>
      </c>
      <c r="AB127" s="75">
        <v>0.25</v>
      </c>
      <c r="AC127" s="75">
        <v>0.25</v>
      </c>
      <c r="AD127" s="75">
        <v>0.25</v>
      </c>
      <c r="AE127" s="75">
        <v>0.25</v>
      </c>
      <c r="AF127" s="75">
        <f t="shared" ref="AF127:AO127" si="163">AE127</f>
        <v>0.25</v>
      </c>
      <c r="AG127" s="75">
        <f t="shared" si="163"/>
        <v>0.25</v>
      </c>
      <c r="AH127" s="75">
        <f t="shared" si="163"/>
        <v>0.25</v>
      </c>
      <c r="AI127" s="75">
        <f t="shared" si="163"/>
        <v>0.25</v>
      </c>
      <c r="AJ127" s="75">
        <f t="shared" si="163"/>
        <v>0.25</v>
      </c>
      <c r="AK127" s="75">
        <f t="shared" si="163"/>
        <v>0.25</v>
      </c>
      <c r="AL127" s="75">
        <f t="shared" si="163"/>
        <v>0.25</v>
      </c>
      <c r="AM127" s="75">
        <f t="shared" si="163"/>
        <v>0.25</v>
      </c>
      <c r="AN127" s="75">
        <f t="shared" si="163"/>
        <v>0.25</v>
      </c>
      <c r="AO127" s="75">
        <f t="shared" si="163"/>
        <v>0.25</v>
      </c>
    </row>
    <row r="128" spans="1:41" x14ac:dyDescent="0.35">
      <c r="A128" s="67" t="s">
        <v>52</v>
      </c>
      <c r="B128" s="72" t="s">
        <v>26</v>
      </c>
      <c r="C128" s="73" t="s">
        <v>45</v>
      </c>
      <c r="D128" s="73" t="s">
        <v>69</v>
      </c>
      <c r="E128" s="73">
        <v>0.05</v>
      </c>
      <c r="F128" s="73">
        <f t="shared" ref="F128:AE128" si="164">E128</f>
        <v>0.05</v>
      </c>
      <c r="G128" s="73">
        <f t="shared" si="164"/>
        <v>0.05</v>
      </c>
      <c r="H128" s="73">
        <f t="shared" si="164"/>
        <v>0.05</v>
      </c>
      <c r="I128" s="73">
        <f t="shared" si="164"/>
        <v>0.05</v>
      </c>
      <c r="J128" s="73">
        <f t="shared" si="164"/>
        <v>0.05</v>
      </c>
      <c r="K128" s="73">
        <f t="shared" si="164"/>
        <v>0.05</v>
      </c>
      <c r="L128" s="73">
        <f t="shared" si="164"/>
        <v>0.05</v>
      </c>
      <c r="M128" s="73">
        <f t="shared" si="164"/>
        <v>0.05</v>
      </c>
      <c r="N128" s="73">
        <f t="shared" si="164"/>
        <v>0.05</v>
      </c>
      <c r="O128" s="73">
        <f t="shared" si="164"/>
        <v>0.05</v>
      </c>
      <c r="P128" s="73">
        <f t="shared" si="164"/>
        <v>0.05</v>
      </c>
      <c r="Q128" s="73">
        <f t="shared" si="164"/>
        <v>0.05</v>
      </c>
      <c r="R128" s="73">
        <f t="shared" si="164"/>
        <v>0.05</v>
      </c>
      <c r="S128" s="73">
        <f t="shared" si="164"/>
        <v>0.05</v>
      </c>
      <c r="T128" s="73">
        <f t="shared" si="164"/>
        <v>0.05</v>
      </c>
      <c r="U128" s="73">
        <f t="shared" si="164"/>
        <v>0.05</v>
      </c>
      <c r="V128" s="73">
        <f t="shared" si="164"/>
        <v>0.05</v>
      </c>
      <c r="W128" s="73">
        <f t="shared" si="164"/>
        <v>0.05</v>
      </c>
      <c r="X128" s="73">
        <f t="shared" si="164"/>
        <v>0.05</v>
      </c>
      <c r="Y128" s="73">
        <f t="shared" si="164"/>
        <v>0.05</v>
      </c>
      <c r="Z128" s="73">
        <f t="shared" si="164"/>
        <v>0.05</v>
      </c>
      <c r="AA128" s="73">
        <f t="shared" si="164"/>
        <v>0.05</v>
      </c>
      <c r="AB128" s="73">
        <f t="shared" si="164"/>
        <v>0.05</v>
      </c>
      <c r="AC128" s="73">
        <f t="shared" si="164"/>
        <v>0.05</v>
      </c>
      <c r="AD128" s="73">
        <f t="shared" si="164"/>
        <v>0.05</v>
      </c>
      <c r="AE128" s="73">
        <f t="shared" si="164"/>
        <v>0.05</v>
      </c>
      <c r="AF128" s="75">
        <f t="shared" ref="AF128:AO128" si="165">AE128</f>
        <v>0.05</v>
      </c>
      <c r="AG128" s="75">
        <f t="shared" si="165"/>
        <v>0.05</v>
      </c>
      <c r="AH128" s="75">
        <f t="shared" si="165"/>
        <v>0.05</v>
      </c>
      <c r="AI128" s="75">
        <f t="shared" si="165"/>
        <v>0.05</v>
      </c>
      <c r="AJ128" s="75">
        <f t="shared" si="165"/>
        <v>0.05</v>
      </c>
      <c r="AK128" s="75">
        <f t="shared" si="165"/>
        <v>0.05</v>
      </c>
      <c r="AL128" s="75">
        <f t="shared" si="165"/>
        <v>0.05</v>
      </c>
      <c r="AM128" s="75">
        <f t="shared" si="165"/>
        <v>0.05</v>
      </c>
      <c r="AN128" s="75">
        <f t="shared" si="165"/>
        <v>0.05</v>
      </c>
      <c r="AO128" s="75">
        <f t="shared" si="165"/>
        <v>0.05</v>
      </c>
    </row>
    <row r="129" spans="1:41" x14ac:dyDescent="0.35">
      <c r="A129" s="67" t="s">
        <v>52</v>
      </c>
      <c r="B129" s="68" t="s">
        <v>25</v>
      </c>
      <c r="C129" s="75" t="s">
        <v>46</v>
      </c>
      <c r="D129" s="75" t="s">
        <v>69</v>
      </c>
      <c r="E129" s="75">
        <v>0.25</v>
      </c>
      <c r="F129" s="75">
        <v>0.25</v>
      </c>
      <c r="G129" s="75">
        <v>0.25</v>
      </c>
      <c r="H129" s="75">
        <v>0.25</v>
      </c>
      <c r="I129" s="75">
        <v>0.25</v>
      </c>
      <c r="J129" s="75">
        <v>0.25</v>
      </c>
      <c r="K129" s="75">
        <v>0.25</v>
      </c>
      <c r="L129" s="75">
        <v>0.25</v>
      </c>
      <c r="M129" s="75">
        <v>0.25</v>
      </c>
      <c r="N129" s="75">
        <v>0.25</v>
      </c>
      <c r="O129" s="75">
        <v>0.25</v>
      </c>
      <c r="P129" s="75">
        <v>0.25</v>
      </c>
      <c r="Q129" s="75">
        <v>0.25</v>
      </c>
      <c r="R129" s="75">
        <v>0.25</v>
      </c>
      <c r="S129" s="75">
        <v>0.25</v>
      </c>
      <c r="T129" s="75">
        <v>0.25</v>
      </c>
      <c r="U129" s="75">
        <v>0.25</v>
      </c>
      <c r="V129" s="75">
        <v>0.25</v>
      </c>
      <c r="W129" s="75">
        <v>0.25</v>
      </c>
      <c r="X129" s="75">
        <v>0.25</v>
      </c>
      <c r="Y129" s="75">
        <v>0.25</v>
      </c>
      <c r="Z129" s="75">
        <v>0.25</v>
      </c>
      <c r="AA129" s="75">
        <v>0.25</v>
      </c>
      <c r="AB129" s="75">
        <v>0.25</v>
      </c>
      <c r="AC129" s="75">
        <v>0.25</v>
      </c>
      <c r="AD129" s="75">
        <v>0.25</v>
      </c>
      <c r="AE129" s="75">
        <v>0.25</v>
      </c>
      <c r="AF129" s="75">
        <f t="shared" ref="AF129:AO129" si="166">AE129</f>
        <v>0.25</v>
      </c>
      <c r="AG129" s="75">
        <f t="shared" si="166"/>
        <v>0.25</v>
      </c>
      <c r="AH129" s="75">
        <f t="shared" si="166"/>
        <v>0.25</v>
      </c>
      <c r="AI129" s="75">
        <f t="shared" si="166"/>
        <v>0.25</v>
      </c>
      <c r="AJ129" s="75">
        <f t="shared" si="166"/>
        <v>0.25</v>
      </c>
      <c r="AK129" s="75">
        <f t="shared" si="166"/>
        <v>0.25</v>
      </c>
      <c r="AL129" s="75">
        <f t="shared" si="166"/>
        <v>0.25</v>
      </c>
      <c r="AM129" s="75">
        <f t="shared" si="166"/>
        <v>0.25</v>
      </c>
      <c r="AN129" s="75">
        <f t="shared" si="166"/>
        <v>0.25</v>
      </c>
      <c r="AO129" s="75">
        <f t="shared" si="166"/>
        <v>0.25</v>
      </c>
    </row>
    <row r="130" spans="1:41" x14ac:dyDescent="0.35">
      <c r="A130" s="67" t="s">
        <v>52</v>
      </c>
      <c r="B130" s="72" t="s">
        <v>26</v>
      </c>
      <c r="C130" s="73" t="s">
        <v>46</v>
      </c>
      <c r="D130" s="73" t="s">
        <v>69</v>
      </c>
      <c r="E130" s="73">
        <v>0.05</v>
      </c>
      <c r="F130" s="73">
        <f t="shared" ref="F130:AE130" si="167">E130</f>
        <v>0.05</v>
      </c>
      <c r="G130" s="73">
        <f t="shared" si="167"/>
        <v>0.05</v>
      </c>
      <c r="H130" s="73">
        <f t="shared" si="167"/>
        <v>0.05</v>
      </c>
      <c r="I130" s="73">
        <f t="shared" si="167"/>
        <v>0.05</v>
      </c>
      <c r="J130" s="73">
        <f t="shared" si="167"/>
        <v>0.05</v>
      </c>
      <c r="K130" s="73">
        <f t="shared" si="167"/>
        <v>0.05</v>
      </c>
      <c r="L130" s="73">
        <f t="shared" si="167"/>
        <v>0.05</v>
      </c>
      <c r="M130" s="73">
        <f t="shared" si="167"/>
        <v>0.05</v>
      </c>
      <c r="N130" s="73">
        <f t="shared" si="167"/>
        <v>0.05</v>
      </c>
      <c r="O130" s="73">
        <f t="shared" si="167"/>
        <v>0.05</v>
      </c>
      <c r="P130" s="73">
        <f t="shared" si="167"/>
        <v>0.05</v>
      </c>
      <c r="Q130" s="73">
        <f t="shared" si="167"/>
        <v>0.05</v>
      </c>
      <c r="R130" s="73">
        <f t="shared" si="167"/>
        <v>0.05</v>
      </c>
      <c r="S130" s="73">
        <f t="shared" si="167"/>
        <v>0.05</v>
      </c>
      <c r="T130" s="73">
        <f t="shared" si="167"/>
        <v>0.05</v>
      </c>
      <c r="U130" s="73">
        <f t="shared" si="167"/>
        <v>0.05</v>
      </c>
      <c r="V130" s="73">
        <f t="shared" si="167"/>
        <v>0.05</v>
      </c>
      <c r="W130" s="73">
        <f t="shared" si="167"/>
        <v>0.05</v>
      </c>
      <c r="X130" s="73">
        <f t="shared" si="167"/>
        <v>0.05</v>
      </c>
      <c r="Y130" s="73">
        <f t="shared" si="167"/>
        <v>0.05</v>
      </c>
      <c r="Z130" s="73">
        <f t="shared" si="167"/>
        <v>0.05</v>
      </c>
      <c r="AA130" s="73">
        <f t="shared" si="167"/>
        <v>0.05</v>
      </c>
      <c r="AB130" s="73">
        <f t="shared" si="167"/>
        <v>0.05</v>
      </c>
      <c r="AC130" s="73">
        <f t="shared" si="167"/>
        <v>0.05</v>
      </c>
      <c r="AD130" s="73">
        <f t="shared" si="167"/>
        <v>0.05</v>
      </c>
      <c r="AE130" s="73">
        <f t="shared" si="167"/>
        <v>0.05</v>
      </c>
      <c r="AF130" s="75">
        <f t="shared" ref="AF130:AO130" si="168">AE130</f>
        <v>0.05</v>
      </c>
      <c r="AG130" s="75">
        <f t="shared" si="168"/>
        <v>0.05</v>
      </c>
      <c r="AH130" s="75">
        <f t="shared" si="168"/>
        <v>0.05</v>
      </c>
      <c r="AI130" s="75">
        <f t="shared" si="168"/>
        <v>0.05</v>
      </c>
      <c r="AJ130" s="75">
        <f t="shared" si="168"/>
        <v>0.05</v>
      </c>
      <c r="AK130" s="75">
        <f t="shared" si="168"/>
        <v>0.05</v>
      </c>
      <c r="AL130" s="75">
        <f t="shared" si="168"/>
        <v>0.05</v>
      </c>
      <c r="AM130" s="75">
        <f t="shared" si="168"/>
        <v>0.05</v>
      </c>
      <c r="AN130" s="75">
        <f t="shared" si="168"/>
        <v>0.05</v>
      </c>
      <c r="AO130" s="75">
        <f t="shared" si="168"/>
        <v>0.05</v>
      </c>
    </row>
    <row r="131" spans="1:41" x14ac:dyDescent="0.35">
      <c r="A131" s="67" t="s">
        <v>52</v>
      </c>
      <c r="B131" s="68" t="s">
        <v>25</v>
      </c>
      <c r="C131" s="75" t="s">
        <v>44</v>
      </c>
      <c r="D131" s="75"/>
      <c r="E131" s="77" t="b">
        <f>TRUE()</f>
        <v>1</v>
      </c>
      <c r="F131" s="77" t="b">
        <f t="shared" ref="F131:AE131" si="169">E131</f>
        <v>1</v>
      </c>
      <c r="G131" s="77" t="b">
        <f t="shared" si="169"/>
        <v>1</v>
      </c>
      <c r="H131" s="77" t="b">
        <f t="shared" si="169"/>
        <v>1</v>
      </c>
      <c r="I131" s="77" t="b">
        <f t="shared" si="169"/>
        <v>1</v>
      </c>
      <c r="J131" s="77" t="b">
        <f t="shared" si="169"/>
        <v>1</v>
      </c>
      <c r="K131" s="77" t="b">
        <f t="shared" si="169"/>
        <v>1</v>
      </c>
      <c r="L131" s="77" t="b">
        <f t="shared" si="169"/>
        <v>1</v>
      </c>
      <c r="M131" s="77" t="b">
        <f t="shared" si="169"/>
        <v>1</v>
      </c>
      <c r="N131" s="77" t="b">
        <f t="shared" si="169"/>
        <v>1</v>
      </c>
      <c r="O131" s="77" t="b">
        <f t="shared" si="169"/>
        <v>1</v>
      </c>
      <c r="P131" s="77" t="b">
        <f t="shared" si="169"/>
        <v>1</v>
      </c>
      <c r="Q131" s="77" t="b">
        <f t="shared" si="169"/>
        <v>1</v>
      </c>
      <c r="R131" s="77" t="b">
        <f t="shared" si="169"/>
        <v>1</v>
      </c>
      <c r="S131" s="77" t="b">
        <f t="shared" si="169"/>
        <v>1</v>
      </c>
      <c r="T131" s="77" t="b">
        <f t="shared" si="169"/>
        <v>1</v>
      </c>
      <c r="U131" s="77" t="b">
        <f t="shared" si="169"/>
        <v>1</v>
      </c>
      <c r="V131" s="77" t="b">
        <f t="shared" si="169"/>
        <v>1</v>
      </c>
      <c r="W131" s="77" t="b">
        <f t="shared" si="169"/>
        <v>1</v>
      </c>
      <c r="X131" s="77" t="b">
        <f t="shared" si="169"/>
        <v>1</v>
      </c>
      <c r="Y131" s="77" t="b">
        <f t="shared" si="169"/>
        <v>1</v>
      </c>
      <c r="Z131" s="77" t="b">
        <f t="shared" si="169"/>
        <v>1</v>
      </c>
      <c r="AA131" s="77" t="b">
        <f t="shared" si="169"/>
        <v>1</v>
      </c>
      <c r="AB131" s="77" t="b">
        <f t="shared" si="169"/>
        <v>1</v>
      </c>
      <c r="AC131" s="77" t="b">
        <f t="shared" si="169"/>
        <v>1</v>
      </c>
      <c r="AD131" s="77" t="b">
        <f t="shared" si="169"/>
        <v>1</v>
      </c>
      <c r="AE131" s="77" t="b">
        <f t="shared" si="169"/>
        <v>1</v>
      </c>
      <c r="AF131" s="75" t="b">
        <f t="shared" ref="AF131:AO131" si="170">AE131</f>
        <v>1</v>
      </c>
      <c r="AG131" s="75" t="b">
        <f t="shared" si="170"/>
        <v>1</v>
      </c>
      <c r="AH131" s="75" t="b">
        <f t="shared" si="170"/>
        <v>1</v>
      </c>
      <c r="AI131" s="75" t="b">
        <f t="shared" si="170"/>
        <v>1</v>
      </c>
      <c r="AJ131" s="75" t="b">
        <f t="shared" si="170"/>
        <v>1</v>
      </c>
      <c r="AK131" s="75" t="b">
        <f t="shared" si="170"/>
        <v>1</v>
      </c>
      <c r="AL131" s="75" t="b">
        <f t="shared" si="170"/>
        <v>1</v>
      </c>
      <c r="AM131" s="75" t="b">
        <f t="shared" si="170"/>
        <v>1</v>
      </c>
      <c r="AN131" s="75" t="b">
        <f t="shared" si="170"/>
        <v>1</v>
      </c>
      <c r="AO131" s="75" t="b">
        <f t="shared" si="170"/>
        <v>1</v>
      </c>
    </row>
    <row r="132" spans="1:41" x14ac:dyDescent="0.35">
      <c r="A132" s="67" t="s">
        <v>52</v>
      </c>
      <c r="B132" s="72" t="s">
        <v>26</v>
      </c>
      <c r="C132" s="73" t="s">
        <v>44</v>
      </c>
      <c r="D132" s="73"/>
      <c r="E132" s="78" t="b">
        <f>TRUE()</f>
        <v>1</v>
      </c>
      <c r="F132" s="78" t="b">
        <f t="shared" ref="F132:AE132" si="171">E132</f>
        <v>1</v>
      </c>
      <c r="G132" s="78" t="b">
        <f t="shared" si="171"/>
        <v>1</v>
      </c>
      <c r="H132" s="78" t="b">
        <f t="shared" si="171"/>
        <v>1</v>
      </c>
      <c r="I132" s="78" t="b">
        <f t="shared" si="171"/>
        <v>1</v>
      </c>
      <c r="J132" s="78" t="b">
        <f t="shared" si="171"/>
        <v>1</v>
      </c>
      <c r="K132" s="78" t="b">
        <f t="shared" si="171"/>
        <v>1</v>
      </c>
      <c r="L132" s="78" t="b">
        <f t="shared" si="171"/>
        <v>1</v>
      </c>
      <c r="M132" s="78" t="b">
        <f t="shared" si="171"/>
        <v>1</v>
      </c>
      <c r="N132" s="78" t="b">
        <f t="shared" si="171"/>
        <v>1</v>
      </c>
      <c r="O132" s="78" t="b">
        <f t="shared" si="171"/>
        <v>1</v>
      </c>
      <c r="P132" s="78" t="b">
        <f t="shared" si="171"/>
        <v>1</v>
      </c>
      <c r="Q132" s="78" t="b">
        <f t="shared" si="171"/>
        <v>1</v>
      </c>
      <c r="R132" s="78" t="b">
        <f t="shared" si="171"/>
        <v>1</v>
      </c>
      <c r="S132" s="78" t="b">
        <f t="shared" si="171"/>
        <v>1</v>
      </c>
      <c r="T132" s="78" t="b">
        <f t="shared" si="171"/>
        <v>1</v>
      </c>
      <c r="U132" s="78" t="b">
        <f t="shared" si="171"/>
        <v>1</v>
      </c>
      <c r="V132" s="78" t="b">
        <f t="shared" si="171"/>
        <v>1</v>
      </c>
      <c r="W132" s="78" t="b">
        <f t="shared" si="171"/>
        <v>1</v>
      </c>
      <c r="X132" s="78" t="b">
        <f t="shared" si="171"/>
        <v>1</v>
      </c>
      <c r="Y132" s="78" t="b">
        <f t="shared" si="171"/>
        <v>1</v>
      </c>
      <c r="Z132" s="78" t="b">
        <f t="shared" si="171"/>
        <v>1</v>
      </c>
      <c r="AA132" s="78" t="b">
        <f t="shared" si="171"/>
        <v>1</v>
      </c>
      <c r="AB132" s="78" t="b">
        <f t="shared" si="171"/>
        <v>1</v>
      </c>
      <c r="AC132" s="78" t="b">
        <f t="shared" si="171"/>
        <v>1</v>
      </c>
      <c r="AD132" s="78" t="b">
        <f t="shared" si="171"/>
        <v>1</v>
      </c>
      <c r="AE132" s="78" t="b">
        <f t="shared" si="171"/>
        <v>1</v>
      </c>
      <c r="AF132" s="75" t="b">
        <f t="shared" ref="AF132:AO132" si="172">AE132</f>
        <v>1</v>
      </c>
      <c r="AG132" s="75" t="b">
        <f t="shared" si="172"/>
        <v>1</v>
      </c>
      <c r="AH132" s="75" t="b">
        <f t="shared" si="172"/>
        <v>1</v>
      </c>
      <c r="AI132" s="75" t="b">
        <f t="shared" si="172"/>
        <v>1</v>
      </c>
      <c r="AJ132" s="75" t="b">
        <f t="shared" si="172"/>
        <v>1</v>
      </c>
      <c r="AK132" s="75" t="b">
        <f t="shared" si="172"/>
        <v>1</v>
      </c>
      <c r="AL132" s="75" t="b">
        <f t="shared" si="172"/>
        <v>1</v>
      </c>
      <c r="AM132" s="75" t="b">
        <f t="shared" si="172"/>
        <v>1</v>
      </c>
      <c r="AN132" s="75" t="b">
        <f t="shared" si="172"/>
        <v>1</v>
      </c>
      <c r="AO132" s="75" t="b">
        <f t="shared" si="172"/>
        <v>1</v>
      </c>
    </row>
    <row r="133" spans="1:41" x14ac:dyDescent="0.35">
      <c r="A133" s="67" t="s">
        <v>52</v>
      </c>
      <c r="B133" s="68" t="s">
        <v>23</v>
      </c>
      <c r="C133" s="75" t="s">
        <v>44</v>
      </c>
      <c r="D133" s="75"/>
      <c r="E133" s="77" t="b">
        <f>TRUE()</f>
        <v>1</v>
      </c>
      <c r="F133" s="77" t="b">
        <f t="shared" ref="F133:AE133" si="173">E133</f>
        <v>1</v>
      </c>
      <c r="G133" s="77" t="b">
        <f t="shared" si="173"/>
        <v>1</v>
      </c>
      <c r="H133" s="77" t="b">
        <f t="shared" si="173"/>
        <v>1</v>
      </c>
      <c r="I133" s="77" t="b">
        <f t="shared" si="173"/>
        <v>1</v>
      </c>
      <c r="J133" s="77" t="b">
        <f t="shared" si="173"/>
        <v>1</v>
      </c>
      <c r="K133" s="77" t="b">
        <f t="shared" si="173"/>
        <v>1</v>
      </c>
      <c r="L133" s="77" t="b">
        <f t="shared" si="173"/>
        <v>1</v>
      </c>
      <c r="M133" s="77" t="b">
        <f t="shared" si="173"/>
        <v>1</v>
      </c>
      <c r="N133" s="77" t="b">
        <f t="shared" si="173"/>
        <v>1</v>
      </c>
      <c r="O133" s="77" t="b">
        <f t="shared" si="173"/>
        <v>1</v>
      </c>
      <c r="P133" s="77" t="b">
        <f t="shared" si="173"/>
        <v>1</v>
      </c>
      <c r="Q133" s="77" t="b">
        <f t="shared" si="173"/>
        <v>1</v>
      </c>
      <c r="R133" s="77" t="b">
        <f t="shared" si="173"/>
        <v>1</v>
      </c>
      <c r="S133" s="77" t="b">
        <f t="shared" si="173"/>
        <v>1</v>
      </c>
      <c r="T133" s="77" t="b">
        <f t="shared" si="173"/>
        <v>1</v>
      </c>
      <c r="U133" s="77" t="b">
        <f t="shared" si="173"/>
        <v>1</v>
      </c>
      <c r="V133" s="77" t="b">
        <f t="shared" si="173"/>
        <v>1</v>
      </c>
      <c r="W133" s="77" t="b">
        <f t="shared" si="173"/>
        <v>1</v>
      </c>
      <c r="X133" s="77" t="b">
        <f t="shared" si="173"/>
        <v>1</v>
      </c>
      <c r="Y133" s="77" t="b">
        <f t="shared" si="173"/>
        <v>1</v>
      </c>
      <c r="Z133" s="77" t="b">
        <f t="shared" si="173"/>
        <v>1</v>
      </c>
      <c r="AA133" s="77" t="b">
        <f t="shared" si="173"/>
        <v>1</v>
      </c>
      <c r="AB133" s="77" t="b">
        <f t="shared" si="173"/>
        <v>1</v>
      </c>
      <c r="AC133" s="77" t="b">
        <f t="shared" si="173"/>
        <v>1</v>
      </c>
      <c r="AD133" s="77" t="b">
        <f t="shared" si="173"/>
        <v>1</v>
      </c>
      <c r="AE133" s="77" t="b">
        <f t="shared" si="173"/>
        <v>1</v>
      </c>
      <c r="AF133" s="75" t="b">
        <f t="shared" ref="AF133:AO133" si="174">AE133</f>
        <v>1</v>
      </c>
      <c r="AG133" s="75" t="b">
        <f t="shared" si="174"/>
        <v>1</v>
      </c>
      <c r="AH133" s="75" t="b">
        <f t="shared" si="174"/>
        <v>1</v>
      </c>
      <c r="AI133" s="75" t="b">
        <f t="shared" si="174"/>
        <v>1</v>
      </c>
      <c r="AJ133" s="75" t="b">
        <f t="shared" si="174"/>
        <v>1</v>
      </c>
      <c r="AK133" s="75" t="b">
        <f t="shared" si="174"/>
        <v>1</v>
      </c>
      <c r="AL133" s="75" t="b">
        <f t="shared" si="174"/>
        <v>1</v>
      </c>
      <c r="AM133" s="75" t="b">
        <f t="shared" si="174"/>
        <v>1</v>
      </c>
      <c r="AN133" s="75" t="b">
        <f t="shared" si="174"/>
        <v>1</v>
      </c>
      <c r="AO133" s="75" t="b">
        <f t="shared" si="174"/>
        <v>1</v>
      </c>
    </row>
    <row r="134" spans="1:41" x14ac:dyDescent="0.35">
      <c r="A134" s="67" t="s">
        <v>52</v>
      </c>
      <c r="B134" s="72" t="s">
        <v>24</v>
      </c>
      <c r="C134" s="73" t="s">
        <v>44</v>
      </c>
      <c r="D134" s="73"/>
      <c r="E134" s="78" t="b">
        <f>TRUE()</f>
        <v>1</v>
      </c>
      <c r="F134" s="78" t="b">
        <f t="shared" ref="F134:AE134" si="175">E134</f>
        <v>1</v>
      </c>
      <c r="G134" s="78" t="b">
        <f t="shared" si="175"/>
        <v>1</v>
      </c>
      <c r="H134" s="78" t="b">
        <f t="shared" si="175"/>
        <v>1</v>
      </c>
      <c r="I134" s="78" t="b">
        <f t="shared" si="175"/>
        <v>1</v>
      </c>
      <c r="J134" s="78" t="b">
        <f t="shared" si="175"/>
        <v>1</v>
      </c>
      <c r="K134" s="78" t="b">
        <f t="shared" si="175"/>
        <v>1</v>
      </c>
      <c r="L134" s="78" t="b">
        <f t="shared" si="175"/>
        <v>1</v>
      </c>
      <c r="M134" s="78" t="b">
        <f t="shared" si="175"/>
        <v>1</v>
      </c>
      <c r="N134" s="78" t="b">
        <f t="shared" si="175"/>
        <v>1</v>
      </c>
      <c r="O134" s="78" t="b">
        <f t="shared" si="175"/>
        <v>1</v>
      </c>
      <c r="P134" s="78" t="b">
        <f t="shared" si="175"/>
        <v>1</v>
      </c>
      <c r="Q134" s="78" t="b">
        <f t="shared" si="175"/>
        <v>1</v>
      </c>
      <c r="R134" s="78" t="b">
        <f t="shared" si="175"/>
        <v>1</v>
      </c>
      <c r="S134" s="78" t="b">
        <f t="shared" si="175"/>
        <v>1</v>
      </c>
      <c r="T134" s="78" t="b">
        <f t="shared" si="175"/>
        <v>1</v>
      </c>
      <c r="U134" s="78" t="b">
        <f t="shared" si="175"/>
        <v>1</v>
      </c>
      <c r="V134" s="78" t="b">
        <f t="shared" si="175"/>
        <v>1</v>
      </c>
      <c r="W134" s="78" t="b">
        <f t="shared" si="175"/>
        <v>1</v>
      </c>
      <c r="X134" s="78" t="b">
        <f t="shared" si="175"/>
        <v>1</v>
      </c>
      <c r="Y134" s="78" t="b">
        <f t="shared" si="175"/>
        <v>1</v>
      </c>
      <c r="Z134" s="78" t="b">
        <f t="shared" si="175"/>
        <v>1</v>
      </c>
      <c r="AA134" s="78" t="b">
        <f t="shared" si="175"/>
        <v>1</v>
      </c>
      <c r="AB134" s="78" t="b">
        <f t="shared" si="175"/>
        <v>1</v>
      </c>
      <c r="AC134" s="78" t="b">
        <f t="shared" si="175"/>
        <v>1</v>
      </c>
      <c r="AD134" s="78" t="b">
        <f t="shared" si="175"/>
        <v>1</v>
      </c>
      <c r="AE134" s="78" t="b">
        <f t="shared" si="175"/>
        <v>1</v>
      </c>
      <c r="AF134" s="75" t="b">
        <f t="shared" ref="AF134:AO134" si="176">AE134</f>
        <v>1</v>
      </c>
      <c r="AG134" s="75" t="b">
        <f t="shared" si="176"/>
        <v>1</v>
      </c>
      <c r="AH134" s="75" t="b">
        <f t="shared" si="176"/>
        <v>1</v>
      </c>
      <c r="AI134" s="75" t="b">
        <f t="shared" si="176"/>
        <v>1</v>
      </c>
      <c r="AJ134" s="75" t="b">
        <f t="shared" si="176"/>
        <v>1</v>
      </c>
      <c r="AK134" s="75" t="b">
        <f t="shared" si="176"/>
        <v>1</v>
      </c>
      <c r="AL134" s="75" t="b">
        <f t="shared" si="176"/>
        <v>1</v>
      </c>
      <c r="AM134" s="75" t="b">
        <f t="shared" si="176"/>
        <v>1</v>
      </c>
      <c r="AN134" s="75" t="b">
        <f t="shared" si="176"/>
        <v>1</v>
      </c>
      <c r="AO134" s="75" t="b">
        <f t="shared" si="176"/>
        <v>1</v>
      </c>
    </row>
    <row r="135" spans="1:41" x14ac:dyDescent="0.35">
      <c r="A135" s="67" t="s">
        <v>52</v>
      </c>
      <c r="B135" s="68" t="s">
        <v>17</v>
      </c>
      <c r="C135" s="75" t="s">
        <v>44</v>
      </c>
      <c r="D135" s="75"/>
      <c r="E135" s="77" t="b">
        <f>TRUE()</f>
        <v>1</v>
      </c>
      <c r="F135" s="77" t="b">
        <f t="shared" ref="F135:AE135" si="177">E135</f>
        <v>1</v>
      </c>
      <c r="G135" s="77" t="b">
        <f t="shared" si="177"/>
        <v>1</v>
      </c>
      <c r="H135" s="77" t="b">
        <f t="shared" si="177"/>
        <v>1</v>
      </c>
      <c r="I135" s="77" t="b">
        <f t="shared" si="177"/>
        <v>1</v>
      </c>
      <c r="J135" s="77" t="b">
        <f t="shared" si="177"/>
        <v>1</v>
      </c>
      <c r="K135" s="77" t="b">
        <f t="shared" si="177"/>
        <v>1</v>
      </c>
      <c r="L135" s="77" t="b">
        <f t="shared" si="177"/>
        <v>1</v>
      </c>
      <c r="M135" s="77" t="b">
        <f t="shared" si="177"/>
        <v>1</v>
      </c>
      <c r="N135" s="77" t="b">
        <f t="shared" si="177"/>
        <v>1</v>
      </c>
      <c r="O135" s="77" t="b">
        <f t="shared" si="177"/>
        <v>1</v>
      </c>
      <c r="P135" s="77" t="b">
        <f t="shared" si="177"/>
        <v>1</v>
      </c>
      <c r="Q135" s="77" t="b">
        <f t="shared" si="177"/>
        <v>1</v>
      </c>
      <c r="R135" s="77" t="b">
        <f t="shared" si="177"/>
        <v>1</v>
      </c>
      <c r="S135" s="77" t="b">
        <f t="shared" si="177"/>
        <v>1</v>
      </c>
      <c r="T135" s="77" t="b">
        <f t="shared" si="177"/>
        <v>1</v>
      </c>
      <c r="U135" s="77" t="b">
        <f t="shared" si="177"/>
        <v>1</v>
      </c>
      <c r="V135" s="77" t="b">
        <f t="shared" si="177"/>
        <v>1</v>
      </c>
      <c r="W135" s="77" t="b">
        <f t="shared" si="177"/>
        <v>1</v>
      </c>
      <c r="X135" s="77" t="b">
        <f t="shared" si="177"/>
        <v>1</v>
      </c>
      <c r="Y135" s="77" t="b">
        <f t="shared" si="177"/>
        <v>1</v>
      </c>
      <c r="Z135" s="77" t="b">
        <f t="shared" si="177"/>
        <v>1</v>
      </c>
      <c r="AA135" s="77" t="b">
        <f t="shared" si="177"/>
        <v>1</v>
      </c>
      <c r="AB135" s="77" t="b">
        <f t="shared" si="177"/>
        <v>1</v>
      </c>
      <c r="AC135" s="77" t="b">
        <f t="shared" si="177"/>
        <v>1</v>
      </c>
      <c r="AD135" s="77" t="b">
        <f t="shared" si="177"/>
        <v>1</v>
      </c>
      <c r="AE135" s="77" t="b">
        <f t="shared" si="177"/>
        <v>1</v>
      </c>
      <c r="AF135" s="75" t="b">
        <f t="shared" ref="AF135:AO135" si="178">AE135</f>
        <v>1</v>
      </c>
      <c r="AG135" s="75" t="b">
        <f t="shared" si="178"/>
        <v>1</v>
      </c>
      <c r="AH135" s="75" t="b">
        <f t="shared" si="178"/>
        <v>1</v>
      </c>
      <c r="AI135" s="75" t="b">
        <f t="shared" si="178"/>
        <v>1</v>
      </c>
      <c r="AJ135" s="75" t="b">
        <f t="shared" si="178"/>
        <v>1</v>
      </c>
      <c r="AK135" s="75" t="b">
        <f t="shared" si="178"/>
        <v>1</v>
      </c>
      <c r="AL135" s="75" t="b">
        <f t="shared" si="178"/>
        <v>1</v>
      </c>
      <c r="AM135" s="75" t="b">
        <f t="shared" si="178"/>
        <v>1</v>
      </c>
      <c r="AN135" s="75" t="b">
        <f t="shared" si="178"/>
        <v>1</v>
      </c>
      <c r="AO135" s="75" t="b">
        <f t="shared" si="178"/>
        <v>1</v>
      </c>
    </row>
    <row r="136" spans="1:41" x14ac:dyDescent="0.35">
      <c r="A136" s="67" t="s">
        <v>52</v>
      </c>
      <c r="B136" s="72" t="s">
        <v>18</v>
      </c>
      <c r="C136" s="73" t="s">
        <v>44</v>
      </c>
      <c r="D136" s="73"/>
      <c r="E136" s="78" t="b">
        <f>TRUE()</f>
        <v>1</v>
      </c>
      <c r="F136" s="78" t="b">
        <f t="shared" ref="F136:AE136" si="179">E136</f>
        <v>1</v>
      </c>
      <c r="G136" s="78" t="b">
        <f t="shared" si="179"/>
        <v>1</v>
      </c>
      <c r="H136" s="78" t="b">
        <f t="shared" si="179"/>
        <v>1</v>
      </c>
      <c r="I136" s="78" t="b">
        <f t="shared" si="179"/>
        <v>1</v>
      </c>
      <c r="J136" s="78" t="b">
        <f t="shared" si="179"/>
        <v>1</v>
      </c>
      <c r="K136" s="78" t="b">
        <f t="shared" si="179"/>
        <v>1</v>
      </c>
      <c r="L136" s="78" t="b">
        <f t="shared" si="179"/>
        <v>1</v>
      </c>
      <c r="M136" s="78" t="b">
        <f t="shared" si="179"/>
        <v>1</v>
      </c>
      <c r="N136" s="78" t="b">
        <f t="shared" si="179"/>
        <v>1</v>
      </c>
      <c r="O136" s="78" t="b">
        <f t="shared" si="179"/>
        <v>1</v>
      </c>
      <c r="P136" s="78" t="b">
        <f t="shared" si="179"/>
        <v>1</v>
      </c>
      <c r="Q136" s="78" t="b">
        <f t="shared" si="179"/>
        <v>1</v>
      </c>
      <c r="R136" s="78" t="b">
        <f t="shared" si="179"/>
        <v>1</v>
      </c>
      <c r="S136" s="78" t="b">
        <f t="shared" si="179"/>
        <v>1</v>
      </c>
      <c r="T136" s="78" t="b">
        <f t="shared" si="179"/>
        <v>1</v>
      </c>
      <c r="U136" s="78" t="b">
        <f t="shared" si="179"/>
        <v>1</v>
      </c>
      <c r="V136" s="78" t="b">
        <f t="shared" si="179"/>
        <v>1</v>
      </c>
      <c r="W136" s="78" t="b">
        <f t="shared" si="179"/>
        <v>1</v>
      </c>
      <c r="X136" s="78" t="b">
        <f t="shared" si="179"/>
        <v>1</v>
      </c>
      <c r="Y136" s="78" t="b">
        <f t="shared" si="179"/>
        <v>1</v>
      </c>
      <c r="Z136" s="78" t="b">
        <f t="shared" si="179"/>
        <v>1</v>
      </c>
      <c r="AA136" s="78" t="b">
        <f t="shared" si="179"/>
        <v>1</v>
      </c>
      <c r="AB136" s="78" t="b">
        <f t="shared" si="179"/>
        <v>1</v>
      </c>
      <c r="AC136" s="78" t="b">
        <f t="shared" si="179"/>
        <v>1</v>
      </c>
      <c r="AD136" s="78" t="b">
        <f t="shared" si="179"/>
        <v>1</v>
      </c>
      <c r="AE136" s="78" t="b">
        <f t="shared" si="179"/>
        <v>1</v>
      </c>
      <c r="AF136" s="75" t="b">
        <f t="shared" ref="AF136:AO136" si="180">AE136</f>
        <v>1</v>
      </c>
      <c r="AG136" s="75" t="b">
        <f t="shared" si="180"/>
        <v>1</v>
      </c>
      <c r="AH136" s="75" t="b">
        <f t="shared" si="180"/>
        <v>1</v>
      </c>
      <c r="AI136" s="75" t="b">
        <f t="shared" si="180"/>
        <v>1</v>
      </c>
      <c r="AJ136" s="75" t="b">
        <f t="shared" si="180"/>
        <v>1</v>
      </c>
      <c r="AK136" s="75" t="b">
        <f t="shared" si="180"/>
        <v>1</v>
      </c>
      <c r="AL136" s="75" t="b">
        <f t="shared" si="180"/>
        <v>1</v>
      </c>
      <c r="AM136" s="75" t="b">
        <f t="shared" si="180"/>
        <v>1</v>
      </c>
      <c r="AN136" s="75" t="b">
        <f t="shared" si="180"/>
        <v>1</v>
      </c>
      <c r="AO136" s="75" t="b">
        <f t="shared" si="180"/>
        <v>1</v>
      </c>
    </row>
    <row r="137" spans="1:41" x14ac:dyDescent="0.35">
      <c r="A137" s="67" t="s">
        <v>52</v>
      </c>
      <c r="B137" s="68" t="s">
        <v>19</v>
      </c>
      <c r="C137" s="75" t="s">
        <v>44</v>
      </c>
      <c r="D137" s="75"/>
      <c r="E137" s="77" t="b">
        <f>TRUE()</f>
        <v>1</v>
      </c>
      <c r="F137" s="77" t="b">
        <f t="shared" ref="F137:AE137" si="181">E137</f>
        <v>1</v>
      </c>
      <c r="G137" s="77" t="b">
        <f t="shared" si="181"/>
        <v>1</v>
      </c>
      <c r="H137" s="77" t="b">
        <f t="shared" si="181"/>
        <v>1</v>
      </c>
      <c r="I137" s="77" t="b">
        <f t="shared" si="181"/>
        <v>1</v>
      </c>
      <c r="J137" s="77" t="b">
        <f t="shared" si="181"/>
        <v>1</v>
      </c>
      <c r="K137" s="77" t="b">
        <f t="shared" si="181"/>
        <v>1</v>
      </c>
      <c r="L137" s="77" t="b">
        <f t="shared" si="181"/>
        <v>1</v>
      </c>
      <c r="M137" s="77" t="b">
        <f t="shared" si="181"/>
        <v>1</v>
      </c>
      <c r="N137" s="77" t="b">
        <f t="shared" si="181"/>
        <v>1</v>
      </c>
      <c r="O137" s="77" t="b">
        <f t="shared" si="181"/>
        <v>1</v>
      </c>
      <c r="P137" s="77" t="b">
        <f t="shared" si="181"/>
        <v>1</v>
      </c>
      <c r="Q137" s="77" t="b">
        <f t="shared" si="181"/>
        <v>1</v>
      </c>
      <c r="R137" s="77" t="b">
        <f t="shared" si="181"/>
        <v>1</v>
      </c>
      <c r="S137" s="77" t="b">
        <f t="shared" si="181"/>
        <v>1</v>
      </c>
      <c r="T137" s="77" t="b">
        <f t="shared" si="181"/>
        <v>1</v>
      </c>
      <c r="U137" s="77" t="b">
        <f t="shared" si="181"/>
        <v>1</v>
      </c>
      <c r="V137" s="77" t="b">
        <f t="shared" si="181"/>
        <v>1</v>
      </c>
      <c r="W137" s="77" t="b">
        <f t="shared" si="181"/>
        <v>1</v>
      </c>
      <c r="X137" s="77" t="b">
        <f t="shared" si="181"/>
        <v>1</v>
      </c>
      <c r="Y137" s="77" t="b">
        <f t="shared" si="181"/>
        <v>1</v>
      </c>
      <c r="Z137" s="77" t="b">
        <f t="shared" si="181"/>
        <v>1</v>
      </c>
      <c r="AA137" s="77" t="b">
        <f t="shared" si="181"/>
        <v>1</v>
      </c>
      <c r="AB137" s="77" t="b">
        <f t="shared" si="181"/>
        <v>1</v>
      </c>
      <c r="AC137" s="77" t="b">
        <f t="shared" si="181"/>
        <v>1</v>
      </c>
      <c r="AD137" s="77" t="b">
        <f t="shared" si="181"/>
        <v>1</v>
      </c>
      <c r="AE137" s="77" t="b">
        <f t="shared" si="181"/>
        <v>1</v>
      </c>
      <c r="AF137" s="75" t="b">
        <f t="shared" ref="AF137:AO137" si="182">AE137</f>
        <v>1</v>
      </c>
      <c r="AG137" s="75" t="b">
        <f t="shared" si="182"/>
        <v>1</v>
      </c>
      <c r="AH137" s="75" t="b">
        <f t="shared" si="182"/>
        <v>1</v>
      </c>
      <c r="AI137" s="75" t="b">
        <f t="shared" si="182"/>
        <v>1</v>
      </c>
      <c r="AJ137" s="75" t="b">
        <f t="shared" si="182"/>
        <v>1</v>
      </c>
      <c r="AK137" s="75" t="b">
        <f t="shared" si="182"/>
        <v>1</v>
      </c>
      <c r="AL137" s="75" t="b">
        <f t="shared" si="182"/>
        <v>1</v>
      </c>
      <c r="AM137" s="75" t="b">
        <f t="shared" si="182"/>
        <v>1</v>
      </c>
      <c r="AN137" s="75" t="b">
        <f t="shared" si="182"/>
        <v>1</v>
      </c>
      <c r="AO137" s="75" t="b">
        <f t="shared" si="182"/>
        <v>1</v>
      </c>
    </row>
    <row r="138" spans="1:41" x14ac:dyDescent="0.35">
      <c r="A138" s="67" t="s">
        <v>52</v>
      </c>
      <c r="B138" s="72" t="s">
        <v>20</v>
      </c>
      <c r="C138" s="73" t="s">
        <v>44</v>
      </c>
      <c r="D138" s="73"/>
      <c r="E138" s="78" t="b">
        <f>TRUE()</f>
        <v>1</v>
      </c>
      <c r="F138" s="78" t="b">
        <f t="shared" ref="F138:AE138" si="183">E138</f>
        <v>1</v>
      </c>
      <c r="G138" s="78" t="b">
        <f t="shared" si="183"/>
        <v>1</v>
      </c>
      <c r="H138" s="78" t="b">
        <f t="shared" si="183"/>
        <v>1</v>
      </c>
      <c r="I138" s="78" t="b">
        <f t="shared" si="183"/>
        <v>1</v>
      </c>
      <c r="J138" s="78" t="b">
        <f t="shared" si="183"/>
        <v>1</v>
      </c>
      <c r="K138" s="78" t="b">
        <f t="shared" si="183"/>
        <v>1</v>
      </c>
      <c r="L138" s="78" t="b">
        <f t="shared" si="183"/>
        <v>1</v>
      </c>
      <c r="M138" s="78" t="b">
        <f t="shared" si="183"/>
        <v>1</v>
      </c>
      <c r="N138" s="78" t="b">
        <f t="shared" si="183"/>
        <v>1</v>
      </c>
      <c r="O138" s="78" t="b">
        <f t="shared" si="183"/>
        <v>1</v>
      </c>
      <c r="P138" s="78" t="b">
        <f t="shared" si="183"/>
        <v>1</v>
      </c>
      <c r="Q138" s="78" t="b">
        <f t="shared" si="183"/>
        <v>1</v>
      </c>
      <c r="R138" s="78" t="b">
        <f t="shared" si="183"/>
        <v>1</v>
      </c>
      <c r="S138" s="78" t="b">
        <f t="shared" si="183"/>
        <v>1</v>
      </c>
      <c r="T138" s="78" t="b">
        <f t="shared" si="183"/>
        <v>1</v>
      </c>
      <c r="U138" s="78" t="b">
        <f t="shared" si="183"/>
        <v>1</v>
      </c>
      <c r="V138" s="78" t="b">
        <f t="shared" si="183"/>
        <v>1</v>
      </c>
      <c r="W138" s="78" t="b">
        <f t="shared" si="183"/>
        <v>1</v>
      </c>
      <c r="X138" s="78" t="b">
        <f t="shared" si="183"/>
        <v>1</v>
      </c>
      <c r="Y138" s="78" t="b">
        <f t="shared" si="183"/>
        <v>1</v>
      </c>
      <c r="Z138" s="78" t="b">
        <f t="shared" si="183"/>
        <v>1</v>
      </c>
      <c r="AA138" s="78" t="b">
        <f t="shared" si="183"/>
        <v>1</v>
      </c>
      <c r="AB138" s="78" t="b">
        <f t="shared" si="183"/>
        <v>1</v>
      </c>
      <c r="AC138" s="78" t="b">
        <f t="shared" si="183"/>
        <v>1</v>
      </c>
      <c r="AD138" s="78" t="b">
        <f t="shared" si="183"/>
        <v>1</v>
      </c>
      <c r="AE138" s="78" t="b">
        <f t="shared" si="183"/>
        <v>1</v>
      </c>
      <c r="AF138" s="75" t="b">
        <f t="shared" ref="AF138:AO138" si="184">AE138</f>
        <v>1</v>
      </c>
      <c r="AG138" s="75" t="b">
        <f t="shared" si="184"/>
        <v>1</v>
      </c>
      <c r="AH138" s="75" t="b">
        <f t="shared" si="184"/>
        <v>1</v>
      </c>
      <c r="AI138" s="75" t="b">
        <f t="shared" si="184"/>
        <v>1</v>
      </c>
      <c r="AJ138" s="75" t="b">
        <f t="shared" si="184"/>
        <v>1</v>
      </c>
      <c r="AK138" s="75" t="b">
        <f t="shared" si="184"/>
        <v>1</v>
      </c>
      <c r="AL138" s="75" t="b">
        <f t="shared" si="184"/>
        <v>1</v>
      </c>
      <c r="AM138" s="75" t="b">
        <f t="shared" si="184"/>
        <v>1</v>
      </c>
      <c r="AN138" s="75" t="b">
        <f t="shared" si="184"/>
        <v>1</v>
      </c>
      <c r="AO138" s="75" t="b">
        <f t="shared" si="184"/>
        <v>1</v>
      </c>
    </row>
    <row r="139" spans="1:41" x14ac:dyDescent="0.35">
      <c r="A139" s="67" t="s">
        <v>52</v>
      </c>
      <c r="B139" s="68" t="s">
        <v>21</v>
      </c>
      <c r="C139" s="75" t="s">
        <v>44</v>
      </c>
      <c r="D139" s="75"/>
      <c r="E139" s="77" t="b">
        <f>TRUE()</f>
        <v>1</v>
      </c>
      <c r="F139" s="77" t="b">
        <f t="shared" ref="F139:AE139" si="185">E139</f>
        <v>1</v>
      </c>
      <c r="G139" s="77" t="b">
        <f t="shared" si="185"/>
        <v>1</v>
      </c>
      <c r="H139" s="77" t="b">
        <f t="shared" si="185"/>
        <v>1</v>
      </c>
      <c r="I139" s="77" t="b">
        <f t="shared" si="185"/>
        <v>1</v>
      </c>
      <c r="J139" s="77" t="b">
        <f t="shared" si="185"/>
        <v>1</v>
      </c>
      <c r="K139" s="77" t="b">
        <f t="shared" si="185"/>
        <v>1</v>
      </c>
      <c r="L139" s="77" t="b">
        <f t="shared" si="185"/>
        <v>1</v>
      </c>
      <c r="M139" s="77" t="b">
        <f t="shared" si="185"/>
        <v>1</v>
      </c>
      <c r="N139" s="77" t="b">
        <f t="shared" si="185"/>
        <v>1</v>
      </c>
      <c r="O139" s="77" t="b">
        <f t="shared" si="185"/>
        <v>1</v>
      </c>
      <c r="P139" s="77" t="b">
        <f t="shared" si="185"/>
        <v>1</v>
      </c>
      <c r="Q139" s="77" t="b">
        <f t="shared" si="185"/>
        <v>1</v>
      </c>
      <c r="R139" s="77" t="b">
        <f t="shared" si="185"/>
        <v>1</v>
      </c>
      <c r="S139" s="77" t="b">
        <f t="shared" si="185"/>
        <v>1</v>
      </c>
      <c r="T139" s="77" t="b">
        <f t="shared" si="185"/>
        <v>1</v>
      </c>
      <c r="U139" s="77" t="b">
        <f t="shared" si="185"/>
        <v>1</v>
      </c>
      <c r="V139" s="77" t="b">
        <f t="shared" si="185"/>
        <v>1</v>
      </c>
      <c r="W139" s="77" t="b">
        <f t="shared" si="185"/>
        <v>1</v>
      </c>
      <c r="X139" s="77" t="b">
        <f t="shared" si="185"/>
        <v>1</v>
      </c>
      <c r="Y139" s="77" t="b">
        <f t="shared" si="185"/>
        <v>1</v>
      </c>
      <c r="Z139" s="77" t="b">
        <f t="shared" si="185"/>
        <v>1</v>
      </c>
      <c r="AA139" s="77" t="b">
        <f t="shared" si="185"/>
        <v>1</v>
      </c>
      <c r="AB139" s="77" t="b">
        <f t="shared" si="185"/>
        <v>1</v>
      </c>
      <c r="AC139" s="77" t="b">
        <f t="shared" si="185"/>
        <v>1</v>
      </c>
      <c r="AD139" s="77" t="b">
        <f t="shared" si="185"/>
        <v>1</v>
      </c>
      <c r="AE139" s="77" t="b">
        <f t="shared" si="185"/>
        <v>1</v>
      </c>
      <c r="AF139" s="75" t="b">
        <f t="shared" ref="AF139:AO139" si="186">AE139</f>
        <v>1</v>
      </c>
      <c r="AG139" s="75" t="b">
        <f t="shared" si="186"/>
        <v>1</v>
      </c>
      <c r="AH139" s="75" t="b">
        <f t="shared" si="186"/>
        <v>1</v>
      </c>
      <c r="AI139" s="75" t="b">
        <f t="shared" si="186"/>
        <v>1</v>
      </c>
      <c r="AJ139" s="75" t="b">
        <f t="shared" si="186"/>
        <v>1</v>
      </c>
      <c r="AK139" s="75" t="b">
        <f t="shared" si="186"/>
        <v>1</v>
      </c>
      <c r="AL139" s="75" t="b">
        <f t="shared" si="186"/>
        <v>1</v>
      </c>
      <c r="AM139" s="75" t="b">
        <f t="shared" si="186"/>
        <v>1</v>
      </c>
      <c r="AN139" s="75" t="b">
        <f t="shared" si="186"/>
        <v>1</v>
      </c>
      <c r="AO139" s="75" t="b">
        <f t="shared" si="186"/>
        <v>1</v>
      </c>
    </row>
    <row r="140" spans="1:41" x14ac:dyDescent="0.35">
      <c r="A140" s="67" t="s">
        <v>52</v>
      </c>
      <c r="B140" s="72" t="s">
        <v>22</v>
      </c>
      <c r="C140" s="73" t="s">
        <v>44</v>
      </c>
      <c r="D140" s="73"/>
      <c r="E140" s="78" t="b">
        <f>TRUE()</f>
        <v>1</v>
      </c>
      <c r="F140" s="78" t="b">
        <f t="shared" ref="F140:AE140" si="187">E140</f>
        <v>1</v>
      </c>
      <c r="G140" s="78" t="b">
        <f t="shared" si="187"/>
        <v>1</v>
      </c>
      <c r="H140" s="78" t="b">
        <f t="shared" si="187"/>
        <v>1</v>
      </c>
      <c r="I140" s="78" t="b">
        <f t="shared" si="187"/>
        <v>1</v>
      </c>
      <c r="J140" s="78" t="b">
        <f t="shared" si="187"/>
        <v>1</v>
      </c>
      <c r="K140" s="78" t="b">
        <f t="shared" si="187"/>
        <v>1</v>
      </c>
      <c r="L140" s="78" t="b">
        <f t="shared" si="187"/>
        <v>1</v>
      </c>
      <c r="M140" s="78" t="b">
        <f t="shared" si="187"/>
        <v>1</v>
      </c>
      <c r="N140" s="78" t="b">
        <f t="shared" si="187"/>
        <v>1</v>
      </c>
      <c r="O140" s="78" t="b">
        <f t="shared" si="187"/>
        <v>1</v>
      </c>
      <c r="P140" s="78" t="b">
        <f t="shared" si="187"/>
        <v>1</v>
      </c>
      <c r="Q140" s="78" t="b">
        <f t="shared" si="187"/>
        <v>1</v>
      </c>
      <c r="R140" s="78" t="b">
        <f t="shared" si="187"/>
        <v>1</v>
      </c>
      <c r="S140" s="78" t="b">
        <f t="shared" si="187"/>
        <v>1</v>
      </c>
      <c r="T140" s="78" t="b">
        <f t="shared" si="187"/>
        <v>1</v>
      </c>
      <c r="U140" s="78" t="b">
        <f t="shared" si="187"/>
        <v>1</v>
      </c>
      <c r="V140" s="78" t="b">
        <f t="shared" si="187"/>
        <v>1</v>
      </c>
      <c r="W140" s="78" t="b">
        <f t="shared" si="187"/>
        <v>1</v>
      </c>
      <c r="X140" s="78" t="b">
        <f t="shared" si="187"/>
        <v>1</v>
      </c>
      <c r="Y140" s="78" t="b">
        <f t="shared" si="187"/>
        <v>1</v>
      </c>
      <c r="Z140" s="78" t="b">
        <f t="shared" si="187"/>
        <v>1</v>
      </c>
      <c r="AA140" s="78" t="b">
        <f t="shared" si="187"/>
        <v>1</v>
      </c>
      <c r="AB140" s="78" t="b">
        <f t="shared" si="187"/>
        <v>1</v>
      </c>
      <c r="AC140" s="78" t="b">
        <f t="shared" si="187"/>
        <v>1</v>
      </c>
      <c r="AD140" s="78" t="b">
        <f t="shared" si="187"/>
        <v>1</v>
      </c>
      <c r="AE140" s="78" t="b">
        <f t="shared" si="187"/>
        <v>1</v>
      </c>
      <c r="AF140" s="75" t="b">
        <f t="shared" ref="AF140:AO140" si="188">AE140</f>
        <v>1</v>
      </c>
      <c r="AG140" s="75" t="b">
        <f t="shared" si="188"/>
        <v>1</v>
      </c>
      <c r="AH140" s="75" t="b">
        <f t="shared" si="188"/>
        <v>1</v>
      </c>
      <c r="AI140" s="75" t="b">
        <f t="shared" si="188"/>
        <v>1</v>
      </c>
      <c r="AJ140" s="75" t="b">
        <f t="shared" si="188"/>
        <v>1</v>
      </c>
      <c r="AK140" s="75" t="b">
        <f t="shared" si="188"/>
        <v>1</v>
      </c>
      <c r="AL140" s="75" t="b">
        <f t="shared" si="188"/>
        <v>1</v>
      </c>
      <c r="AM140" s="75" t="b">
        <f t="shared" si="188"/>
        <v>1</v>
      </c>
      <c r="AN140" s="75" t="b">
        <f t="shared" si="188"/>
        <v>1</v>
      </c>
      <c r="AO140" s="75" t="b">
        <f t="shared" si="188"/>
        <v>1</v>
      </c>
    </row>
    <row r="141" spans="1:41" x14ac:dyDescent="0.35">
      <c r="A141" s="67" t="s">
        <v>52</v>
      </c>
      <c r="B141" s="68" t="s">
        <v>15</v>
      </c>
      <c r="C141" s="75" t="s">
        <v>44</v>
      </c>
      <c r="D141" s="75"/>
      <c r="E141" s="77" t="b">
        <f>TRUE()</f>
        <v>1</v>
      </c>
      <c r="F141" s="77" t="b">
        <f t="shared" ref="F141:AE141" si="189">E141</f>
        <v>1</v>
      </c>
      <c r="G141" s="77" t="b">
        <f t="shared" si="189"/>
        <v>1</v>
      </c>
      <c r="H141" s="77" t="b">
        <f t="shared" si="189"/>
        <v>1</v>
      </c>
      <c r="I141" s="77" t="b">
        <f t="shared" si="189"/>
        <v>1</v>
      </c>
      <c r="J141" s="77" t="b">
        <f t="shared" si="189"/>
        <v>1</v>
      </c>
      <c r="K141" s="77" t="b">
        <f t="shared" si="189"/>
        <v>1</v>
      </c>
      <c r="L141" s="77" t="b">
        <f t="shared" si="189"/>
        <v>1</v>
      </c>
      <c r="M141" s="77" t="b">
        <f t="shared" si="189"/>
        <v>1</v>
      </c>
      <c r="N141" s="77" t="b">
        <f t="shared" si="189"/>
        <v>1</v>
      </c>
      <c r="O141" s="77" t="b">
        <f t="shared" si="189"/>
        <v>1</v>
      </c>
      <c r="P141" s="77" t="b">
        <f t="shared" si="189"/>
        <v>1</v>
      </c>
      <c r="Q141" s="77" t="b">
        <f t="shared" si="189"/>
        <v>1</v>
      </c>
      <c r="R141" s="77" t="b">
        <f t="shared" si="189"/>
        <v>1</v>
      </c>
      <c r="S141" s="77" t="b">
        <f t="shared" si="189"/>
        <v>1</v>
      </c>
      <c r="T141" s="77" t="b">
        <f t="shared" si="189"/>
        <v>1</v>
      </c>
      <c r="U141" s="77" t="b">
        <f t="shared" si="189"/>
        <v>1</v>
      </c>
      <c r="V141" s="77" t="b">
        <f t="shared" si="189"/>
        <v>1</v>
      </c>
      <c r="W141" s="77" t="b">
        <f t="shared" si="189"/>
        <v>1</v>
      </c>
      <c r="X141" s="77" t="b">
        <f t="shared" si="189"/>
        <v>1</v>
      </c>
      <c r="Y141" s="77" t="b">
        <f t="shared" si="189"/>
        <v>1</v>
      </c>
      <c r="Z141" s="77" t="b">
        <f t="shared" si="189"/>
        <v>1</v>
      </c>
      <c r="AA141" s="77" t="b">
        <f t="shared" si="189"/>
        <v>1</v>
      </c>
      <c r="AB141" s="77" t="b">
        <f t="shared" si="189"/>
        <v>1</v>
      </c>
      <c r="AC141" s="77" t="b">
        <f t="shared" si="189"/>
        <v>1</v>
      </c>
      <c r="AD141" s="77" t="b">
        <f t="shared" si="189"/>
        <v>1</v>
      </c>
      <c r="AE141" s="77" t="b">
        <f t="shared" si="189"/>
        <v>1</v>
      </c>
      <c r="AF141" s="75" t="b">
        <f t="shared" ref="AF141:AO141" si="190">AE141</f>
        <v>1</v>
      </c>
      <c r="AG141" s="75" t="b">
        <f t="shared" si="190"/>
        <v>1</v>
      </c>
      <c r="AH141" s="75" t="b">
        <f t="shared" si="190"/>
        <v>1</v>
      </c>
      <c r="AI141" s="75" t="b">
        <f t="shared" si="190"/>
        <v>1</v>
      </c>
      <c r="AJ141" s="75" t="b">
        <f t="shared" si="190"/>
        <v>1</v>
      </c>
      <c r="AK141" s="75" t="b">
        <f t="shared" si="190"/>
        <v>1</v>
      </c>
      <c r="AL141" s="75" t="b">
        <f t="shared" si="190"/>
        <v>1</v>
      </c>
      <c r="AM141" s="75" t="b">
        <f t="shared" si="190"/>
        <v>1</v>
      </c>
      <c r="AN141" s="75" t="b">
        <f t="shared" si="190"/>
        <v>1</v>
      </c>
      <c r="AO141" s="75" t="b">
        <f t="shared" si="190"/>
        <v>1</v>
      </c>
    </row>
    <row r="142" spans="1:41" x14ac:dyDescent="0.35">
      <c r="A142" s="67" t="s">
        <v>52</v>
      </c>
      <c r="B142" s="68" t="s">
        <v>54</v>
      </c>
      <c r="C142" s="73" t="s">
        <v>137</v>
      </c>
      <c r="D142" s="75" t="s">
        <v>76</v>
      </c>
      <c r="E142" s="100">
        <v>0</v>
      </c>
      <c r="F142" s="100">
        <v>0</v>
      </c>
      <c r="G142" s="100">
        <v>0</v>
      </c>
      <c r="H142" s="100">
        <v>0</v>
      </c>
      <c r="I142" s="100">
        <v>0</v>
      </c>
      <c r="J142" s="100">
        <v>0</v>
      </c>
      <c r="K142" s="100">
        <v>0</v>
      </c>
      <c r="L142" s="100">
        <v>0</v>
      </c>
      <c r="M142" s="100">
        <v>0</v>
      </c>
      <c r="N142" s="100">
        <v>0</v>
      </c>
      <c r="O142" s="100">
        <v>0</v>
      </c>
      <c r="P142" s="100">
        <v>0</v>
      </c>
      <c r="Q142" s="100">
        <v>0</v>
      </c>
      <c r="R142" s="100">
        <v>0</v>
      </c>
      <c r="S142" s="100">
        <v>0</v>
      </c>
      <c r="T142" s="100">
        <v>0</v>
      </c>
      <c r="U142" s="100">
        <v>0</v>
      </c>
      <c r="V142" s="100">
        <v>0</v>
      </c>
      <c r="W142" s="100">
        <v>0</v>
      </c>
      <c r="X142" s="100">
        <v>0</v>
      </c>
      <c r="Y142" s="100">
        <v>0</v>
      </c>
      <c r="Z142" s="100">
        <v>0</v>
      </c>
      <c r="AA142" s="100">
        <v>0</v>
      </c>
      <c r="AB142" s="100">
        <v>0</v>
      </c>
      <c r="AC142" s="100">
        <v>0</v>
      </c>
      <c r="AD142" s="100">
        <v>0</v>
      </c>
      <c r="AE142" s="100">
        <v>0</v>
      </c>
      <c r="AF142" s="100">
        <v>0</v>
      </c>
      <c r="AG142" s="100">
        <v>0</v>
      </c>
      <c r="AH142" s="100">
        <v>0</v>
      </c>
      <c r="AI142" s="100">
        <v>0</v>
      </c>
      <c r="AJ142" s="100">
        <v>0</v>
      </c>
      <c r="AK142" s="100">
        <v>0</v>
      </c>
      <c r="AL142" s="100">
        <v>0</v>
      </c>
      <c r="AM142" s="100">
        <v>0</v>
      </c>
      <c r="AN142" s="100">
        <v>0</v>
      </c>
      <c r="AO142" s="100">
        <v>0</v>
      </c>
    </row>
    <row r="143" spans="1:41" x14ac:dyDescent="0.35">
      <c r="A143" s="67" t="s">
        <v>52</v>
      </c>
      <c r="B143" s="72" t="s">
        <v>55</v>
      </c>
      <c r="C143" s="73" t="s">
        <v>137</v>
      </c>
      <c r="D143" s="73" t="s">
        <v>76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Z143" s="101">
        <v>0</v>
      </c>
      <c r="AA143" s="101">
        <v>0</v>
      </c>
      <c r="AB143" s="101">
        <v>0</v>
      </c>
      <c r="AC143" s="101">
        <v>0</v>
      </c>
      <c r="AD143" s="101">
        <v>0</v>
      </c>
      <c r="AE143" s="101">
        <v>0</v>
      </c>
      <c r="AF143" s="101">
        <v>0</v>
      </c>
      <c r="AG143" s="101">
        <v>0</v>
      </c>
      <c r="AH143" s="101">
        <v>0</v>
      </c>
      <c r="AI143" s="101">
        <v>0</v>
      </c>
      <c r="AJ143" s="101">
        <v>0</v>
      </c>
      <c r="AK143" s="101">
        <v>0</v>
      </c>
      <c r="AL143" s="101">
        <v>0</v>
      </c>
      <c r="AM143" s="101">
        <v>0</v>
      </c>
      <c r="AN143" s="101">
        <v>0</v>
      </c>
      <c r="AO143" s="101">
        <v>0</v>
      </c>
    </row>
    <row r="144" spans="1:41" x14ac:dyDescent="0.35">
      <c r="A144" s="67" t="s">
        <v>52</v>
      </c>
      <c r="B144" s="72" t="s">
        <v>56</v>
      </c>
      <c r="C144" s="73" t="s">
        <v>137</v>
      </c>
      <c r="D144" s="73" t="s">
        <v>76</v>
      </c>
      <c r="E144" s="101">
        <v>0</v>
      </c>
      <c r="F144" s="101">
        <v>0</v>
      </c>
      <c r="G144" s="101">
        <v>0</v>
      </c>
      <c r="H144" s="101">
        <v>0</v>
      </c>
      <c r="I144" s="101">
        <v>0</v>
      </c>
      <c r="J144" s="101">
        <v>0</v>
      </c>
      <c r="K144" s="101">
        <v>0</v>
      </c>
      <c r="L144" s="101">
        <v>0</v>
      </c>
      <c r="M144" s="101">
        <v>0</v>
      </c>
      <c r="N144" s="101">
        <v>0</v>
      </c>
      <c r="O144" s="101">
        <v>0</v>
      </c>
      <c r="P144" s="101">
        <v>0</v>
      </c>
      <c r="Q144" s="101">
        <v>0</v>
      </c>
      <c r="R144" s="101">
        <v>0</v>
      </c>
      <c r="S144" s="101">
        <v>0</v>
      </c>
      <c r="T144" s="101">
        <v>0</v>
      </c>
      <c r="U144" s="101">
        <v>0</v>
      </c>
      <c r="V144" s="101">
        <v>0</v>
      </c>
      <c r="W144" s="101">
        <v>0</v>
      </c>
      <c r="X144" s="101">
        <v>0</v>
      </c>
      <c r="Y144" s="101">
        <v>0</v>
      </c>
      <c r="Z144" s="101">
        <v>0</v>
      </c>
      <c r="AA144" s="101">
        <v>0</v>
      </c>
      <c r="AB144" s="101">
        <v>0</v>
      </c>
      <c r="AC144" s="101">
        <v>0</v>
      </c>
      <c r="AD144" s="101">
        <v>0</v>
      </c>
      <c r="AE144" s="101">
        <v>0</v>
      </c>
      <c r="AF144" s="101">
        <v>0</v>
      </c>
      <c r="AG144" s="101">
        <v>0</v>
      </c>
      <c r="AH144" s="101">
        <v>0</v>
      </c>
      <c r="AI144" s="101">
        <v>0</v>
      </c>
      <c r="AJ144" s="101">
        <v>0</v>
      </c>
      <c r="AK144" s="101">
        <v>0</v>
      </c>
      <c r="AL144" s="101">
        <v>0</v>
      </c>
      <c r="AM144" s="101">
        <v>0</v>
      </c>
      <c r="AN144" s="101">
        <v>0</v>
      </c>
      <c r="AO144" s="101">
        <v>0</v>
      </c>
    </row>
    <row r="145" spans="1:41" x14ac:dyDescent="0.35">
      <c r="A145" s="67" t="s">
        <v>52</v>
      </c>
      <c r="B145" s="72" t="s">
        <v>57</v>
      </c>
      <c r="C145" s="73" t="s">
        <v>137</v>
      </c>
      <c r="D145" s="73" t="s">
        <v>76</v>
      </c>
      <c r="E145" s="101">
        <v>0</v>
      </c>
      <c r="F145" s="101">
        <v>0</v>
      </c>
      <c r="G145" s="101">
        <v>0</v>
      </c>
      <c r="H145" s="101">
        <v>0</v>
      </c>
      <c r="I145" s="101">
        <v>0</v>
      </c>
      <c r="J145" s="101">
        <v>0</v>
      </c>
      <c r="K145" s="101">
        <v>0</v>
      </c>
      <c r="L145" s="101">
        <v>0</v>
      </c>
      <c r="M145" s="101">
        <v>0</v>
      </c>
      <c r="N145" s="101">
        <v>0</v>
      </c>
      <c r="O145" s="101">
        <v>0</v>
      </c>
      <c r="P145" s="101">
        <v>0</v>
      </c>
      <c r="Q145" s="101">
        <v>0</v>
      </c>
      <c r="R145" s="101">
        <v>0</v>
      </c>
      <c r="S145" s="101">
        <v>0</v>
      </c>
      <c r="T145" s="101">
        <v>0</v>
      </c>
      <c r="U145" s="101">
        <v>0</v>
      </c>
      <c r="V145" s="101">
        <v>0</v>
      </c>
      <c r="W145" s="101">
        <v>0</v>
      </c>
      <c r="X145" s="101">
        <v>0</v>
      </c>
      <c r="Y145" s="101">
        <v>0</v>
      </c>
      <c r="Z145" s="101">
        <v>0</v>
      </c>
      <c r="AA145" s="101">
        <v>0</v>
      </c>
      <c r="AB145" s="101">
        <v>0</v>
      </c>
      <c r="AC145" s="101">
        <v>0</v>
      </c>
      <c r="AD145" s="101">
        <v>0</v>
      </c>
      <c r="AE145" s="101">
        <v>0</v>
      </c>
      <c r="AF145" s="101">
        <v>0</v>
      </c>
      <c r="AG145" s="101">
        <v>0</v>
      </c>
      <c r="AH145" s="101">
        <v>0</v>
      </c>
      <c r="AI145" s="101">
        <v>0</v>
      </c>
      <c r="AJ145" s="101">
        <v>0</v>
      </c>
      <c r="AK145" s="101">
        <v>0</v>
      </c>
      <c r="AL145" s="101">
        <v>0</v>
      </c>
      <c r="AM145" s="101">
        <v>0</v>
      </c>
      <c r="AN145" s="101">
        <v>0</v>
      </c>
      <c r="AO145" s="101">
        <v>0</v>
      </c>
    </row>
    <row r="146" spans="1:41" x14ac:dyDescent="0.35">
      <c r="A146" s="67" t="s">
        <v>52</v>
      </c>
      <c r="B146" s="72" t="s">
        <v>25</v>
      </c>
      <c r="C146" s="73" t="s">
        <v>137</v>
      </c>
      <c r="D146" s="73" t="s">
        <v>76</v>
      </c>
      <c r="E146" s="101">
        <v>0</v>
      </c>
      <c r="F146" s="101">
        <v>0</v>
      </c>
      <c r="G146" s="101">
        <v>0</v>
      </c>
      <c r="H146" s="101">
        <v>0</v>
      </c>
      <c r="I146" s="101">
        <v>0</v>
      </c>
      <c r="J146" s="101">
        <v>0</v>
      </c>
      <c r="K146" s="101">
        <v>0</v>
      </c>
      <c r="L146" s="101">
        <v>0</v>
      </c>
      <c r="M146" s="101">
        <v>0</v>
      </c>
      <c r="N146" s="101">
        <v>0</v>
      </c>
      <c r="O146" s="101">
        <v>0</v>
      </c>
      <c r="P146" s="101">
        <v>0</v>
      </c>
      <c r="Q146" s="101">
        <v>0</v>
      </c>
      <c r="R146" s="101">
        <v>0</v>
      </c>
      <c r="S146" s="101">
        <v>0</v>
      </c>
      <c r="T146" s="101">
        <v>0</v>
      </c>
      <c r="U146" s="101">
        <v>0</v>
      </c>
      <c r="V146" s="101">
        <v>0</v>
      </c>
      <c r="W146" s="101">
        <v>0</v>
      </c>
      <c r="X146" s="101">
        <v>0</v>
      </c>
      <c r="Y146" s="101">
        <v>0</v>
      </c>
      <c r="Z146" s="101">
        <v>0</v>
      </c>
      <c r="AA146" s="101">
        <v>0</v>
      </c>
      <c r="AB146" s="101">
        <v>0</v>
      </c>
      <c r="AC146" s="101">
        <v>0</v>
      </c>
      <c r="AD146" s="101">
        <v>0</v>
      </c>
      <c r="AE146" s="101">
        <v>0</v>
      </c>
      <c r="AF146" s="101">
        <v>0</v>
      </c>
      <c r="AG146" s="101">
        <v>0</v>
      </c>
      <c r="AH146" s="101">
        <v>0</v>
      </c>
      <c r="AI146" s="101">
        <v>0</v>
      </c>
      <c r="AJ146" s="101">
        <v>0</v>
      </c>
      <c r="AK146" s="101">
        <v>0</v>
      </c>
      <c r="AL146" s="101">
        <v>0</v>
      </c>
      <c r="AM146" s="101">
        <v>0</v>
      </c>
      <c r="AN146" s="101">
        <v>0</v>
      </c>
      <c r="AO146" s="101">
        <v>0</v>
      </c>
    </row>
    <row r="147" spans="1:41" x14ac:dyDescent="0.35">
      <c r="A147" s="67" t="s">
        <v>52</v>
      </c>
      <c r="B147" s="68" t="s">
        <v>26</v>
      </c>
      <c r="C147" s="73" t="s">
        <v>137</v>
      </c>
      <c r="D147" s="75" t="s">
        <v>76</v>
      </c>
      <c r="E147" s="100">
        <v>0</v>
      </c>
      <c r="F147" s="100">
        <v>0</v>
      </c>
      <c r="G147" s="100">
        <v>0</v>
      </c>
      <c r="H147" s="100">
        <v>0</v>
      </c>
      <c r="I147" s="100">
        <v>0</v>
      </c>
      <c r="J147" s="100">
        <v>0</v>
      </c>
      <c r="K147" s="100">
        <v>0</v>
      </c>
      <c r="L147" s="100">
        <v>0</v>
      </c>
      <c r="M147" s="100">
        <v>0</v>
      </c>
      <c r="N147" s="100">
        <v>0</v>
      </c>
      <c r="O147" s="100">
        <v>0</v>
      </c>
      <c r="P147" s="100">
        <v>0</v>
      </c>
      <c r="Q147" s="100">
        <v>0</v>
      </c>
      <c r="R147" s="100">
        <v>0</v>
      </c>
      <c r="S147" s="100">
        <v>0</v>
      </c>
      <c r="T147" s="100">
        <v>0</v>
      </c>
      <c r="U147" s="100">
        <v>0</v>
      </c>
      <c r="V147" s="100">
        <v>0</v>
      </c>
      <c r="W147" s="100">
        <v>0</v>
      </c>
      <c r="X147" s="100">
        <v>0</v>
      </c>
      <c r="Y147" s="100">
        <v>0</v>
      </c>
      <c r="Z147" s="100">
        <v>0</v>
      </c>
      <c r="AA147" s="100">
        <v>0</v>
      </c>
      <c r="AB147" s="100">
        <v>0</v>
      </c>
      <c r="AC147" s="100">
        <v>0</v>
      </c>
      <c r="AD147" s="100">
        <v>0</v>
      </c>
      <c r="AE147" s="100">
        <v>0</v>
      </c>
      <c r="AF147" s="100">
        <v>0</v>
      </c>
      <c r="AG147" s="100">
        <v>0</v>
      </c>
      <c r="AH147" s="100">
        <v>0</v>
      </c>
      <c r="AI147" s="100">
        <v>0</v>
      </c>
      <c r="AJ147" s="100">
        <v>0</v>
      </c>
      <c r="AK147" s="100">
        <v>0</v>
      </c>
      <c r="AL147" s="100">
        <v>0</v>
      </c>
      <c r="AM147" s="100">
        <v>0</v>
      </c>
      <c r="AN147" s="100">
        <v>0</v>
      </c>
      <c r="AO147" s="100">
        <v>0</v>
      </c>
    </row>
    <row r="148" spans="1:41" x14ac:dyDescent="0.35">
      <c r="A148" s="67" t="s">
        <v>52</v>
      </c>
      <c r="B148" s="72" t="s">
        <v>23</v>
      </c>
      <c r="C148" s="73" t="s">
        <v>137</v>
      </c>
      <c r="D148" s="73" t="s">
        <v>76</v>
      </c>
      <c r="E148" s="101">
        <v>0</v>
      </c>
      <c r="F148" s="101">
        <v>0</v>
      </c>
      <c r="G148" s="101">
        <v>0</v>
      </c>
      <c r="H148" s="101">
        <v>0</v>
      </c>
      <c r="I148" s="101">
        <v>0</v>
      </c>
      <c r="J148" s="101">
        <v>0</v>
      </c>
      <c r="K148" s="101">
        <v>0</v>
      </c>
      <c r="L148" s="101">
        <v>0</v>
      </c>
      <c r="M148" s="101">
        <v>0</v>
      </c>
      <c r="N148" s="101">
        <v>0</v>
      </c>
      <c r="O148" s="101">
        <v>0</v>
      </c>
      <c r="P148" s="101">
        <v>0</v>
      </c>
      <c r="Q148" s="101">
        <v>0</v>
      </c>
      <c r="R148" s="101">
        <v>0</v>
      </c>
      <c r="S148" s="101">
        <v>0</v>
      </c>
      <c r="T148" s="101">
        <v>0</v>
      </c>
      <c r="U148" s="101">
        <v>0</v>
      </c>
      <c r="V148" s="101">
        <v>0</v>
      </c>
      <c r="W148" s="101">
        <v>0</v>
      </c>
      <c r="X148" s="101">
        <v>0</v>
      </c>
      <c r="Y148" s="101">
        <v>0</v>
      </c>
      <c r="Z148" s="101">
        <v>0</v>
      </c>
      <c r="AA148" s="101">
        <v>0</v>
      </c>
      <c r="AB148" s="101">
        <v>0</v>
      </c>
      <c r="AC148" s="101">
        <v>0</v>
      </c>
      <c r="AD148" s="101">
        <v>0</v>
      </c>
      <c r="AE148" s="101">
        <v>0</v>
      </c>
      <c r="AF148" s="101">
        <v>0</v>
      </c>
      <c r="AG148" s="101">
        <v>0</v>
      </c>
      <c r="AH148" s="101">
        <v>0</v>
      </c>
      <c r="AI148" s="101">
        <v>0</v>
      </c>
      <c r="AJ148" s="101">
        <v>0</v>
      </c>
      <c r="AK148" s="101">
        <v>0</v>
      </c>
      <c r="AL148" s="101">
        <v>0</v>
      </c>
      <c r="AM148" s="101">
        <v>0</v>
      </c>
      <c r="AN148" s="101">
        <v>0</v>
      </c>
      <c r="AO148" s="101">
        <v>0</v>
      </c>
    </row>
    <row r="149" spans="1:41" x14ac:dyDescent="0.35">
      <c r="A149" s="67" t="s">
        <v>52</v>
      </c>
      <c r="B149" s="68" t="s">
        <v>24</v>
      </c>
      <c r="C149" s="73" t="s">
        <v>137</v>
      </c>
      <c r="D149" s="75" t="s">
        <v>76</v>
      </c>
      <c r="E149" s="100">
        <v>0</v>
      </c>
      <c r="F149" s="100">
        <v>0</v>
      </c>
      <c r="G149" s="100">
        <v>0</v>
      </c>
      <c r="H149" s="100">
        <v>0</v>
      </c>
      <c r="I149" s="100">
        <v>0</v>
      </c>
      <c r="J149" s="100">
        <v>0</v>
      </c>
      <c r="K149" s="100">
        <v>0</v>
      </c>
      <c r="L149" s="100">
        <v>0</v>
      </c>
      <c r="M149" s="100">
        <v>0</v>
      </c>
      <c r="N149" s="100">
        <v>0</v>
      </c>
      <c r="O149" s="100">
        <v>0</v>
      </c>
      <c r="P149" s="100">
        <v>0</v>
      </c>
      <c r="Q149" s="100">
        <v>0</v>
      </c>
      <c r="R149" s="100">
        <v>0</v>
      </c>
      <c r="S149" s="100">
        <v>0</v>
      </c>
      <c r="T149" s="100">
        <v>0</v>
      </c>
      <c r="U149" s="100">
        <v>0</v>
      </c>
      <c r="V149" s="100">
        <v>0</v>
      </c>
      <c r="W149" s="100">
        <v>0</v>
      </c>
      <c r="X149" s="100">
        <v>0</v>
      </c>
      <c r="Y149" s="100">
        <v>0</v>
      </c>
      <c r="Z149" s="100">
        <v>0</v>
      </c>
      <c r="AA149" s="100">
        <v>0</v>
      </c>
      <c r="AB149" s="100">
        <v>0</v>
      </c>
      <c r="AC149" s="100">
        <v>0</v>
      </c>
      <c r="AD149" s="100">
        <v>0</v>
      </c>
      <c r="AE149" s="100">
        <v>0</v>
      </c>
      <c r="AF149" s="100">
        <v>0</v>
      </c>
      <c r="AG149" s="100">
        <v>0</v>
      </c>
      <c r="AH149" s="100">
        <v>0</v>
      </c>
      <c r="AI149" s="100">
        <v>0</v>
      </c>
      <c r="AJ149" s="100">
        <v>0</v>
      </c>
      <c r="AK149" s="100">
        <v>0</v>
      </c>
      <c r="AL149" s="100">
        <v>0</v>
      </c>
      <c r="AM149" s="100">
        <v>0</v>
      </c>
      <c r="AN149" s="100">
        <v>0</v>
      </c>
      <c r="AO149" s="100">
        <v>0</v>
      </c>
    </row>
    <row r="150" spans="1:41" x14ac:dyDescent="0.35">
      <c r="A150" s="67" t="s">
        <v>52</v>
      </c>
      <c r="B150" s="72" t="s">
        <v>17</v>
      </c>
      <c r="C150" s="73" t="s">
        <v>137</v>
      </c>
      <c r="D150" s="73" t="s">
        <v>76</v>
      </c>
      <c r="E150" s="101">
        <v>0</v>
      </c>
      <c r="F150" s="101">
        <v>0</v>
      </c>
      <c r="G150" s="101">
        <v>0</v>
      </c>
      <c r="H150" s="101">
        <v>0</v>
      </c>
      <c r="I150" s="101">
        <v>0</v>
      </c>
      <c r="J150" s="101">
        <v>0</v>
      </c>
      <c r="K150" s="101">
        <v>0</v>
      </c>
      <c r="L150" s="101">
        <v>0</v>
      </c>
      <c r="M150" s="101">
        <v>0</v>
      </c>
      <c r="N150" s="101">
        <v>0</v>
      </c>
      <c r="O150" s="101">
        <v>0</v>
      </c>
      <c r="P150" s="101">
        <v>0</v>
      </c>
      <c r="Q150" s="101">
        <v>0</v>
      </c>
      <c r="R150" s="101">
        <v>0</v>
      </c>
      <c r="S150" s="101">
        <v>0</v>
      </c>
      <c r="T150" s="101">
        <v>0</v>
      </c>
      <c r="U150" s="101">
        <v>0</v>
      </c>
      <c r="V150" s="101">
        <v>0</v>
      </c>
      <c r="W150" s="101">
        <v>0</v>
      </c>
      <c r="X150" s="101">
        <v>0</v>
      </c>
      <c r="Y150" s="101">
        <v>0</v>
      </c>
      <c r="Z150" s="101">
        <v>0</v>
      </c>
      <c r="AA150" s="101">
        <v>0</v>
      </c>
      <c r="AB150" s="101">
        <v>0</v>
      </c>
      <c r="AC150" s="101">
        <v>0</v>
      </c>
      <c r="AD150" s="101">
        <v>0</v>
      </c>
      <c r="AE150" s="101">
        <v>0</v>
      </c>
      <c r="AF150" s="101">
        <v>0</v>
      </c>
      <c r="AG150" s="101">
        <v>0</v>
      </c>
      <c r="AH150" s="101">
        <v>0</v>
      </c>
      <c r="AI150" s="101">
        <v>0</v>
      </c>
      <c r="AJ150" s="101">
        <v>0</v>
      </c>
      <c r="AK150" s="101">
        <v>0</v>
      </c>
      <c r="AL150" s="101">
        <v>0</v>
      </c>
      <c r="AM150" s="101">
        <v>0</v>
      </c>
      <c r="AN150" s="101">
        <v>0</v>
      </c>
      <c r="AO150" s="101">
        <v>0</v>
      </c>
    </row>
    <row r="151" spans="1:41" x14ac:dyDescent="0.35">
      <c r="A151" s="67" t="s">
        <v>52</v>
      </c>
      <c r="B151" s="68" t="s">
        <v>18</v>
      </c>
      <c r="C151" s="73" t="s">
        <v>137</v>
      </c>
      <c r="D151" s="75" t="s">
        <v>76</v>
      </c>
      <c r="E151" s="100">
        <v>0</v>
      </c>
      <c r="F151" s="100">
        <v>0</v>
      </c>
      <c r="G151" s="100">
        <v>0</v>
      </c>
      <c r="H151" s="100">
        <v>0</v>
      </c>
      <c r="I151" s="100">
        <v>0</v>
      </c>
      <c r="J151" s="100">
        <v>0</v>
      </c>
      <c r="K151" s="100">
        <v>0</v>
      </c>
      <c r="L151" s="100">
        <v>0</v>
      </c>
      <c r="M151" s="100">
        <v>0</v>
      </c>
      <c r="N151" s="100">
        <v>0</v>
      </c>
      <c r="O151" s="100">
        <v>0</v>
      </c>
      <c r="P151" s="100">
        <v>0</v>
      </c>
      <c r="Q151" s="100">
        <v>0</v>
      </c>
      <c r="R151" s="100">
        <v>0</v>
      </c>
      <c r="S151" s="100">
        <v>0</v>
      </c>
      <c r="T151" s="100">
        <v>0</v>
      </c>
      <c r="U151" s="100">
        <v>0</v>
      </c>
      <c r="V151" s="100">
        <v>0</v>
      </c>
      <c r="W151" s="100">
        <v>0</v>
      </c>
      <c r="X151" s="100">
        <v>0</v>
      </c>
      <c r="Y151" s="100">
        <v>0</v>
      </c>
      <c r="Z151" s="100">
        <v>0</v>
      </c>
      <c r="AA151" s="100">
        <v>0</v>
      </c>
      <c r="AB151" s="100">
        <v>0</v>
      </c>
      <c r="AC151" s="100">
        <v>0</v>
      </c>
      <c r="AD151" s="100">
        <v>0</v>
      </c>
      <c r="AE151" s="100">
        <v>0</v>
      </c>
      <c r="AF151" s="100">
        <v>0</v>
      </c>
      <c r="AG151" s="100">
        <v>0</v>
      </c>
      <c r="AH151" s="100">
        <v>0</v>
      </c>
      <c r="AI151" s="100">
        <v>0</v>
      </c>
      <c r="AJ151" s="100">
        <v>0</v>
      </c>
      <c r="AK151" s="100">
        <v>0</v>
      </c>
      <c r="AL151" s="100">
        <v>0</v>
      </c>
      <c r="AM151" s="100">
        <v>0</v>
      </c>
      <c r="AN151" s="100">
        <v>0</v>
      </c>
      <c r="AO151" s="100">
        <v>0</v>
      </c>
    </row>
    <row r="152" spans="1:41" x14ac:dyDescent="0.35">
      <c r="A152" s="67" t="s">
        <v>52</v>
      </c>
      <c r="B152" s="72" t="s">
        <v>19</v>
      </c>
      <c r="C152" s="73" t="s">
        <v>137</v>
      </c>
      <c r="D152" s="73" t="s">
        <v>76</v>
      </c>
      <c r="E152" s="101">
        <v>0</v>
      </c>
      <c r="F152" s="101">
        <v>0</v>
      </c>
      <c r="G152" s="101">
        <v>0</v>
      </c>
      <c r="H152" s="101">
        <v>0</v>
      </c>
      <c r="I152" s="101">
        <v>0</v>
      </c>
      <c r="J152" s="101">
        <v>0</v>
      </c>
      <c r="K152" s="101">
        <v>0</v>
      </c>
      <c r="L152" s="101">
        <v>0</v>
      </c>
      <c r="M152" s="101">
        <v>0</v>
      </c>
      <c r="N152" s="101">
        <v>0</v>
      </c>
      <c r="O152" s="101">
        <v>0</v>
      </c>
      <c r="P152" s="101">
        <v>0</v>
      </c>
      <c r="Q152" s="101">
        <v>0</v>
      </c>
      <c r="R152" s="101">
        <v>0</v>
      </c>
      <c r="S152" s="101">
        <v>0</v>
      </c>
      <c r="T152" s="101">
        <v>0</v>
      </c>
      <c r="U152" s="101">
        <v>0</v>
      </c>
      <c r="V152" s="101">
        <v>0</v>
      </c>
      <c r="W152" s="101">
        <v>0</v>
      </c>
      <c r="X152" s="101">
        <v>0</v>
      </c>
      <c r="Y152" s="101">
        <v>0</v>
      </c>
      <c r="Z152" s="101">
        <v>0</v>
      </c>
      <c r="AA152" s="101">
        <v>0</v>
      </c>
      <c r="AB152" s="101">
        <v>0</v>
      </c>
      <c r="AC152" s="101">
        <v>0</v>
      </c>
      <c r="AD152" s="101">
        <v>0</v>
      </c>
      <c r="AE152" s="101">
        <v>0</v>
      </c>
      <c r="AF152" s="101">
        <v>0</v>
      </c>
      <c r="AG152" s="101">
        <v>0</v>
      </c>
      <c r="AH152" s="101">
        <v>0</v>
      </c>
      <c r="AI152" s="101">
        <v>0</v>
      </c>
      <c r="AJ152" s="101">
        <v>0</v>
      </c>
      <c r="AK152" s="101">
        <v>0</v>
      </c>
      <c r="AL152" s="101">
        <v>0</v>
      </c>
      <c r="AM152" s="101">
        <v>0</v>
      </c>
      <c r="AN152" s="101">
        <v>0</v>
      </c>
      <c r="AO152" s="101">
        <v>0</v>
      </c>
    </row>
    <row r="153" spans="1:41" x14ac:dyDescent="0.35">
      <c r="A153" s="67" t="s">
        <v>52</v>
      </c>
      <c r="B153" s="68" t="s">
        <v>20</v>
      </c>
      <c r="C153" s="73" t="s">
        <v>137</v>
      </c>
      <c r="D153" s="75" t="s">
        <v>76</v>
      </c>
      <c r="E153" s="100">
        <v>0</v>
      </c>
      <c r="F153" s="100">
        <v>0</v>
      </c>
      <c r="G153" s="100">
        <v>0</v>
      </c>
      <c r="H153" s="100">
        <v>0</v>
      </c>
      <c r="I153" s="100">
        <v>0</v>
      </c>
      <c r="J153" s="100">
        <v>0</v>
      </c>
      <c r="K153" s="100">
        <v>0</v>
      </c>
      <c r="L153" s="100">
        <v>0</v>
      </c>
      <c r="M153" s="100">
        <v>0</v>
      </c>
      <c r="N153" s="100">
        <v>0</v>
      </c>
      <c r="O153" s="100">
        <v>0</v>
      </c>
      <c r="P153" s="100">
        <v>0</v>
      </c>
      <c r="Q153" s="100">
        <v>0</v>
      </c>
      <c r="R153" s="100">
        <v>0</v>
      </c>
      <c r="S153" s="100">
        <v>0</v>
      </c>
      <c r="T153" s="100">
        <v>0</v>
      </c>
      <c r="U153" s="100">
        <v>0</v>
      </c>
      <c r="V153" s="100">
        <v>0</v>
      </c>
      <c r="W153" s="100">
        <v>0</v>
      </c>
      <c r="X153" s="100">
        <v>0</v>
      </c>
      <c r="Y153" s="100">
        <v>0</v>
      </c>
      <c r="Z153" s="100">
        <v>0</v>
      </c>
      <c r="AA153" s="100">
        <v>0</v>
      </c>
      <c r="AB153" s="100">
        <v>0</v>
      </c>
      <c r="AC153" s="100">
        <v>0</v>
      </c>
      <c r="AD153" s="100">
        <v>0</v>
      </c>
      <c r="AE153" s="100">
        <v>0</v>
      </c>
      <c r="AF153" s="100">
        <v>0</v>
      </c>
      <c r="AG153" s="100">
        <v>0</v>
      </c>
      <c r="AH153" s="100">
        <v>0</v>
      </c>
      <c r="AI153" s="100">
        <v>0</v>
      </c>
      <c r="AJ153" s="100">
        <v>0</v>
      </c>
      <c r="AK153" s="100">
        <v>0</v>
      </c>
      <c r="AL153" s="100">
        <v>0</v>
      </c>
      <c r="AM153" s="100">
        <v>0</v>
      </c>
      <c r="AN153" s="100">
        <v>0</v>
      </c>
      <c r="AO153" s="100">
        <v>0</v>
      </c>
    </row>
    <row r="154" spans="1:41" x14ac:dyDescent="0.35">
      <c r="A154" s="67" t="s">
        <v>52</v>
      </c>
      <c r="B154" s="72" t="s">
        <v>21</v>
      </c>
      <c r="C154" s="73" t="s">
        <v>137</v>
      </c>
      <c r="D154" s="73" t="s">
        <v>76</v>
      </c>
      <c r="E154" s="101">
        <v>0</v>
      </c>
      <c r="F154" s="101">
        <v>0</v>
      </c>
      <c r="G154" s="101">
        <v>0</v>
      </c>
      <c r="H154" s="101">
        <v>0</v>
      </c>
      <c r="I154" s="101">
        <v>0</v>
      </c>
      <c r="J154" s="101">
        <v>0</v>
      </c>
      <c r="K154" s="101">
        <v>0</v>
      </c>
      <c r="L154" s="101">
        <v>0</v>
      </c>
      <c r="M154" s="101">
        <v>0</v>
      </c>
      <c r="N154" s="101">
        <v>0</v>
      </c>
      <c r="O154" s="101">
        <v>0</v>
      </c>
      <c r="P154" s="101">
        <v>0</v>
      </c>
      <c r="Q154" s="101">
        <v>0</v>
      </c>
      <c r="R154" s="101">
        <v>0</v>
      </c>
      <c r="S154" s="101">
        <v>0</v>
      </c>
      <c r="T154" s="101">
        <v>0</v>
      </c>
      <c r="U154" s="101">
        <v>0</v>
      </c>
      <c r="V154" s="101">
        <v>0</v>
      </c>
      <c r="W154" s="101">
        <v>0</v>
      </c>
      <c r="X154" s="101">
        <v>0</v>
      </c>
      <c r="Y154" s="101">
        <v>0</v>
      </c>
      <c r="Z154" s="101">
        <v>0</v>
      </c>
      <c r="AA154" s="101">
        <v>0</v>
      </c>
      <c r="AB154" s="101">
        <v>0</v>
      </c>
      <c r="AC154" s="101">
        <v>0</v>
      </c>
      <c r="AD154" s="101">
        <v>0</v>
      </c>
      <c r="AE154" s="101">
        <v>0</v>
      </c>
      <c r="AF154" s="101">
        <v>0</v>
      </c>
      <c r="AG154" s="101">
        <v>0</v>
      </c>
      <c r="AH154" s="101">
        <v>0</v>
      </c>
      <c r="AI154" s="101">
        <v>0</v>
      </c>
      <c r="AJ154" s="101">
        <v>0</v>
      </c>
      <c r="AK154" s="101">
        <v>0</v>
      </c>
      <c r="AL154" s="101">
        <v>0</v>
      </c>
      <c r="AM154" s="101">
        <v>0</v>
      </c>
      <c r="AN154" s="101">
        <v>0</v>
      </c>
      <c r="AO154" s="101">
        <v>0</v>
      </c>
    </row>
    <row r="155" spans="1:41" x14ac:dyDescent="0.35">
      <c r="A155" s="67" t="s">
        <v>52</v>
      </c>
      <c r="B155" s="68" t="s">
        <v>22</v>
      </c>
      <c r="C155" s="73" t="s">
        <v>137</v>
      </c>
      <c r="D155" s="75" t="s">
        <v>76</v>
      </c>
      <c r="E155" s="100">
        <v>0</v>
      </c>
      <c r="F155" s="100">
        <v>0</v>
      </c>
      <c r="G155" s="100">
        <v>0</v>
      </c>
      <c r="H155" s="100">
        <v>0</v>
      </c>
      <c r="I155" s="100">
        <v>0</v>
      </c>
      <c r="J155" s="100">
        <v>0</v>
      </c>
      <c r="K155" s="100">
        <v>0</v>
      </c>
      <c r="L155" s="100">
        <v>0</v>
      </c>
      <c r="M155" s="100">
        <v>0</v>
      </c>
      <c r="N155" s="100">
        <v>0</v>
      </c>
      <c r="O155" s="100">
        <v>0</v>
      </c>
      <c r="P155" s="100">
        <v>0</v>
      </c>
      <c r="Q155" s="100">
        <v>0</v>
      </c>
      <c r="R155" s="100">
        <v>0</v>
      </c>
      <c r="S155" s="100">
        <v>0</v>
      </c>
      <c r="T155" s="100">
        <v>0</v>
      </c>
      <c r="U155" s="100">
        <v>0</v>
      </c>
      <c r="V155" s="100">
        <v>0</v>
      </c>
      <c r="W155" s="100">
        <v>0</v>
      </c>
      <c r="X155" s="100">
        <v>0</v>
      </c>
      <c r="Y155" s="100">
        <v>0</v>
      </c>
      <c r="Z155" s="100">
        <v>0</v>
      </c>
      <c r="AA155" s="100">
        <v>0</v>
      </c>
      <c r="AB155" s="100">
        <v>0</v>
      </c>
      <c r="AC155" s="100">
        <v>0</v>
      </c>
      <c r="AD155" s="100">
        <v>0</v>
      </c>
      <c r="AE155" s="100">
        <v>0</v>
      </c>
      <c r="AF155" s="100">
        <v>0</v>
      </c>
      <c r="AG155" s="100">
        <v>0</v>
      </c>
      <c r="AH155" s="100">
        <v>0</v>
      </c>
      <c r="AI155" s="100">
        <v>0</v>
      </c>
      <c r="AJ155" s="100">
        <v>0</v>
      </c>
      <c r="AK155" s="100">
        <v>0</v>
      </c>
      <c r="AL155" s="100">
        <v>0</v>
      </c>
      <c r="AM155" s="100">
        <v>0</v>
      </c>
      <c r="AN155" s="100">
        <v>0</v>
      </c>
      <c r="AO155" s="100">
        <v>0</v>
      </c>
    </row>
    <row r="156" spans="1:41" x14ac:dyDescent="0.35">
      <c r="A156" s="67" t="s">
        <v>52</v>
      </c>
      <c r="B156" s="93" t="s">
        <v>15</v>
      </c>
      <c r="C156" s="73" t="s">
        <v>137</v>
      </c>
      <c r="D156" s="99" t="s">
        <v>76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  <c r="O156" s="112">
        <v>0</v>
      </c>
      <c r="P156" s="112">
        <v>0</v>
      </c>
      <c r="Q156" s="112">
        <v>0</v>
      </c>
      <c r="R156" s="112">
        <v>0</v>
      </c>
      <c r="S156" s="112">
        <v>0</v>
      </c>
      <c r="T156" s="112">
        <v>0</v>
      </c>
      <c r="U156" s="112">
        <v>0</v>
      </c>
      <c r="V156" s="112">
        <v>0</v>
      </c>
      <c r="W156" s="112">
        <v>0</v>
      </c>
      <c r="X156" s="112">
        <v>0</v>
      </c>
      <c r="Y156" s="112">
        <v>0</v>
      </c>
      <c r="Z156" s="112">
        <v>0</v>
      </c>
      <c r="AA156" s="112">
        <v>0</v>
      </c>
      <c r="AB156" s="112">
        <v>0</v>
      </c>
      <c r="AC156" s="112">
        <v>0</v>
      </c>
      <c r="AD156" s="112">
        <v>0</v>
      </c>
      <c r="AE156" s="112">
        <v>0</v>
      </c>
      <c r="AF156" s="112">
        <v>0</v>
      </c>
      <c r="AG156" s="112">
        <v>0</v>
      </c>
      <c r="AH156" s="112">
        <v>0</v>
      </c>
      <c r="AI156" s="112">
        <v>0</v>
      </c>
      <c r="AJ156" s="112">
        <v>0</v>
      </c>
      <c r="AK156" s="112">
        <v>0</v>
      </c>
      <c r="AL156" s="112">
        <v>0</v>
      </c>
      <c r="AM156" s="112">
        <v>0</v>
      </c>
      <c r="AN156" s="112">
        <v>0</v>
      </c>
      <c r="AO156" s="112">
        <v>0</v>
      </c>
    </row>
    <row r="157" spans="1:41" x14ac:dyDescent="0.35">
      <c r="A157" s="67" t="s">
        <v>52</v>
      </c>
      <c r="B157" s="68" t="s">
        <v>25</v>
      </c>
      <c r="C157" s="75" t="s">
        <v>49</v>
      </c>
      <c r="D157" s="75" t="s">
        <v>78</v>
      </c>
      <c r="E157" s="75">
        <v>0</v>
      </c>
      <c r="F157" s="75">
        <v>0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0</v>
      </c>
      <c r="O157" s="75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5">
        <v>0</v>
      </c>
      <c r="Z157" s="75">
        <v>0</v>
      </c>
      <c r="AA157" s="75">
        <v>0</v>
      </c>
      <c r="AB157" s="75">
        <v>0</v>
      </c>
      <c r="AC157" s="75">
        <v>0</v>
      </c>
      <c r="AD157" s="75">
        <v>0</v>
      </c>
      <c r="AE157" s="75">
        <v>0</v>
      </c>
      <c r="AF157" s="75">
        <f t="shared" ref="AF157:AO157" si="191">AE157</f>
        <v>0</v>
      </c>
      <c r="AG157" s="75">
        <f t="shared" si="191"/>
        <v>0</v>
      </c>
      <c r="AH157" s="75">
        <f t="shared" si="191"/>
        <v>0</v>
      </c>
      <c r="AI157" s="75">
        <f t="shared" si="191"/>
        <v>0</v>
      </c>
      <c r="AJ157" s="75">
        <f t="shared" si="191"/>
        <v>0</v>
      </c>
      <c r="AK157" s="75">
        <f t="shared" si="191"/>
        <v>0</v>
      </c>
      <c r="AL157" s="75">
        <f t="shared" si="191"/>
        <v>0</v>
      </c>
      <c r="AM157" s="75">
        <f t="shared" si="191"/>
        <v>0</v>
      </c>
      <c r="AN157" s="75">
        <f t="shared" si="191"/>
        <v>0</v>
      </c>
      <c r="AO157" s="75">
        <f t="shared" si="191"/>
        <v>0</v>
      </c>
    </row>
    <row r="158" spans="1:41" x14ac:dyDescent="0.35">
      <c r="A158" s="67" t="s">
        <v>52</v>
      </c>
      <c r="B158" s="72" t="s">
        <v>25</v>
      </c>
      <c r="C158" s="73" t="s">
        <v>50</v>
      </c>
      <c r="D158" s="73" t="s">
        <v>78</v>
      </c>
      <c r="E158" s="73">
        <v>0</v>
      </c>
      <c r="F158" s="73">
        <v>0</v>
      </c>
      <c r="G158" s="73">
        <v>0</v>
      </c>
      <c r="H158" s="73">
        <v>0</v>
      </c>
      <c r="I158" s="73">
        <v>0</v>
      </c>
      <c r="J158" s="73">
        <v>0</v>
      </c>
      <c r="K158" s="73">
        <v>0</v>
      </c>
      <c r="L158" s="73">
        <v>0</v>
      </c>
      <c r="M158" s="73">
        <v>0</v>
      </c>
      <c r="N158" s="73">
        <v>0</v>
      </c>
      <c r="O158" s="73">
        <v>0</v>
      </c>
      <c r="P158" s="73">
        <v>0</v>
      </c>
      <c r="Q158" s="73">
        <v>0</v>
      </c>
      <c r="R158" s="73">
        <v>0</v>
      </c>
      <c r="S158" s="73">
        <v>0</v>
      </c>
      <c r="T158" s="73">
        <v>0</v>
      </c>
      <c r="U158" s="73">
        <v>0</v>
      </c>
      <c r="V158" s="73">
        <v>0</v>
      </c>
      <c r="W158" s="73">
        <v>0</v>
      </c>
      <c r="X158" s="73">
        <v>0</v>
      </c>
      <c r="Y158" s="73">
        <v>0</v>
      </c>
      <c r="Z158" s="73">
        <v>0</v>
      </c>
      <c r="AA158" s="73">
        <v>0</v>
      </c>
      <c r="AB158" s="73">
        <v>0</v>
      </c>
      <c r="AC158" s="73">
        <v>0</v>
      </c>
      <c r="AD158" s="73">
        <v>0</v>
      </c>
      <c r="AE158" s="73">
        <v>0</v>
      </c>
      <c r="AF158" s="75">
        <f t="shared" ref="AF158:AO158" si="192">AE158</f>
        <v>0</v>
      </c>
      <c r="AG158" s="75">
        <f t="shared" si="192"/>
        <v>0</v>
      </c>
      <c r="AH158" s="75">
        <f t="shared" si="192"/>
        <v>0</v>
      </c>
      <c r="AI158" s="75">
        <f t="shared" si="192"/>
        <v>0</v>
      </c>
      <c r="AJ158" s="75">
        <f t="shared" si="192"/>
        <v>0</v>
      </c>
      <c r="AK158" s="75">
        <f t="shared" si="192"/>
        <v>0</v>
      </c>
      <c r="AL158" s="75">
        <f t="shared" si="192"/>
        <v>0</v>
      </c>
      <c r="AM158" s="75">
        <f t="shared" si="192"/>
        <v>0</v>
      </c>
      <c r="AN158" s="75">
        <f t="shared" si="192"/>
        <v>0</v>
      </c>
      <c r="AO158" s="75">
        <f t="shared" si="192"/>
        <v>0</v>
      </c>
    </row>
    <row r="159" spans="1:41" x14ac:dyDescent="0.35">
      <c r="A159" s="67" t="s">
        <v>52</v>
      </c>
      <c r="B159" s="68" t="s">
        <v>25</v>
      </c>
      <c r="C159" s="75" t="s">
        <v>47</v>
      </c>
      <c r="D159" s="75" t="s">
        <v>77</v>
      </c>
      <c r="E159" s="75">
        <v>8</v>
      </c>
      <c r="F159" s="75">
        <v>8</v>
      </c>
      <c r="G159" s="75">
        <v>8</v>
      </c>
      <c r="H159" s="75">
        <v>8</v>
      </c>
      <c r="I159" s="75">
        <v>8</v>
      </c>
      <c r="J159" s="75">
        <v>8</v>
      </c>
      <c r="K159" s="75">
        <v>8</v>
      </c>
      <c r="L159" s="75">
        <v>8</v>
      </c>
      <c r="M159" s="75">
        <v>8</v>
      </c>
      <c r="N159" s="75">
        <v>8</v>
      </c>
      <c r="O159" s="75">
        <v>8</v>
      </c>
      <c r="P159" s="75">
        <v>8</v>
      </c>
      <c r="Q159" s="75">
        <v>8</v>
      </c>
      <c r="R159" s="75">
        <v>8</v>
      </c>
      <c r="S159" s="75">
        <v>8</v>
      </c>
      <c r="T159" s="75">
        <v>8</v>
      </c>
      <c r="U159" s="75">
        <v>8</v>
      </c>
      <c r="V159" s="75">
        <v>8</v>
      </c>
      <c r="W159" s="75">
        <v>8</v>
      </c>
      <c r="X159" s="75">
        <v>8</v>
      </c>
      <c r="Y159" s="75">
        <v>8</v>
      </c>
      <c r="Z159" s="75">
        <v>8</v>
      </c>
      <c r="AA159" s="75">
        <v>8</v>
      </c>
      <c r="AB159" s="75">
        <v>8</v>
      </c>
      <c r="AC159" s="75">
        <v>8</v>
      </c>
      <c r="AD159" s="75">
        <v>8</v>
      </c>
      <c r="AE159" s="75">
        <v>8</v>
      </c>
      <c r="AF159" s="75">
        <f t="shared" ref="AF159:AO159" si="193">AE159</f>
        <v>8</v>
      </c>
      <c r="AG159" s="75">
        <f t="shared" si="193"/>
        <v>8</v>
      </c>
      <c r="AH159" s="75">
        <f t="shared" si="193"/>
        <v>8</v>
      </c>
      <c r="AI159" s="75">
        <f t="shared" si="193"/>
        <v>8</v>
      </c>
      <c r="AJ159" s="75">
        <f t="shared" si="193"/>
        <v>8</v>
      </c>
      <c r="AK159" s="75">
        <f t="shared" si="193"/>
        <v>8</v>
      </c>
      <c r="AL159" s="75">
        <f t="shared" si="193"/>
        <v>8</v>
      </c>
      <c r="AM159" s="75">
        <f t="shared" si="193"/>
        <v>8</v>
      </c>
      <c r="AN159" s="75">
        <f t="shared" si="193"/>
        <v>8</v>
      </c>
      <c r="AO159" s="75">
        <f t="shared" si="193"/>
        <v>8</v>
      </c>
    </row>
    <row r="160" spans="1:41" x14ac:dyDescent="0.35">
      <c r="A160" s="67" t="s">
        <v>52</v>
      </c>
      <c r="B160" s="72" t="s">
        <v>25</v>
      </c>
      <c r="C160" s="73" t="s">
        <v>48</v>
      </c>
      <c r="D160" s="73" t="s">
        <v>77</v>
      </c>
      <c r="E160" s="73">
        <v>8</v>
      </c>
      <c r="F160" s="73">
        <v>8</v>
      </c>
      <c r="G160" s="73">
        <v>8</v>
      </c>
      <c r="H160" s="73">
        <v>8</v>
      </c>
      <c r="I160" s="73">
        <v>8</v>
      </c>
      <c r="J160" s="73">
        <v>8</v>
      </c>
      <c r="K160" s="73">
        <v>8</v>
      </c>
      <c r="L160" s="73">
        <v>8</v>
      </c>
      <c r="M160" s="73">
        <v>8</v>
      </c>
      <c r="N160" s="73">
        <v>8</v>
      </c>
      <c r="O160" s="73">
        <v>8</v>
      </c>
      <c r="P160" s="73">
        <v>8</v>
      </c>
      <c r="Q160" s="73">
        <v>8</v>
      </c>
      <c r="R160" s="73">
        <v>8</v>
      </c>
      <c r="S160" s="73">
        <v>8</v>
      </c>
      <c r="T160" s="73">
        <v>8</v>
      </c>
      <c r="U160" s="73">
        <v>8</v>
      </c>
      <c r="V160" s="73">
        <v>8</v>
      </c>
      <c r="W160" s="73">
        <v>8</v>
      </c>
      <c r="X160" s="73">
        <v>8</v>
      </c>
      <c r="Y160" s="73">
        <v>8</v>
      </c>
      <c r="Z160" s="73">
        <v>8</v>
      </c>
      <c r="AA160" s="73">
        <v>8</v>
      </c>
      <c r="AB160" s="73">
        <v>8</v>
      </c>
      <c r="AC160" s="73">
        <v>8</v>
      </c>
      <c r="AD160" s="73">
        <v>8</v>
      </c>
      <c r="AE160" s="73">
        <v>8</v>
      </c>
      <c r="AF160" s="75">
        <f t="shared" ref="AF160:AO160" si="194">AE160</f>
        <v>8</v>
      </c>
      <c r="AG160" s="75">
        <f t="shared" si="194"/>
        <v>8</v>
      </c>
      <c r="AH160" s="75">
        <f t="shared" si="194"/>
        <v>8</v>
      </c>
      <c r="AI160" s="75">
        <f t="shared" si="194"/>
        <v>8</v>
      </c>
      <c r="AJ160" s="75">
        <f t="shared" si="194"/>
        <v>8</v>
      </c>
      <c r="AK160" s="75">
        <f t="shared" si="194"/>
        <v>8</v>
      </c>
      <c r="AL160" s="75">
        <f t="shared" si="194"/>
        <v>8</v>
      </c>
      <c r="AM160" s="75">
        <f t="shared" si="194"/>
        <v>8</v>
      </c>
      <c r="AN160" s="75">
        <f t="shared" si="194"/>
        <v>8</v>
      </c>
      <c r="AO160" s="75">
        <f t="shared" si="194"/>
        <v>8</v>
      </c>
    </row>
    <row r="161" spans="1:41" x14ac:dyDescent="0.35">
      <c r="A161" s="67" t="s">
        <v>52</v>
      </c>
      <c r="B161" s="68" t="s">
        <v>26</v>
      </c>
      <c r="C161" s="75" t="s">
        <v>49</v>
      </c>
      <c r="D161" s="75" t="s">
        <v>78</v>
      </c>
      <c r="E161" s="75">
        <v>0</v>
      </c>
      <c r="F161" s="75">
        <v>0</v>
      </c>
      <c r="G161" s="75">
        <v>0</v>
      </c>
      <c r="H161" s="75">
        <v>0</v>
      </c>
      <c r="I161" s="75">
        <v>0</v>
      </c>
      <c r="J161" s="75">
        <v>0</v>
      </c>
      <c r="K161" s="75">
        <v>0</v>
      </c>
      <c r="L161" s="75">
        <v>0</v>
      </c>
      <c r="M161" s="75">
        <v>0</v>
      </c>
      <c r="N161" s="75">
        <v>0</v>
      </c>
      <c r="O161" s="75">
        <v>0</v>
      </c>
      <c r="P161" s="75">
        <v>0</v>
      </c>
      <c r="Q161" s="75">
        <v>0</v>
      </c>
      <c r="R161" s="75">
        <v>0</v>
      </c>
      <c r="S161" s="75">
        <v>0</v>
      </c>
      <c r="T161" s="75">
        <v>0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0</v>
      </c>
      <c r="AA161" s="75">
        <v>0</v>
      </c>
      <c r="AB161" s="75">
        <v>0</v>
      </c>
      <c r="AC161" s="75">
        <v>0</v>
      </c>
      <c r="AD161" s="75">
        <v>0</v>
      </c>
      <c r="AE161" s="75">
        <v>0</v>
      </c>
      <c r="AF161" s="75">
        <f t="shared" ref="AF161:AO161" si="195">AE161</f>
        <v>0</v>
      </c>
      <c r="AG161" s="75">
        <f t="shared" si="195"/>
        <v>0</v>
      </c>
      <c r="AH161" s="75">
        <f t="shared" si="195"/>
        <v>0</v>
      </c>
      <c r="AI161" s="75">
        <f t="shared" si="195"/>
        <v>0</v>
      </c>
      <c r="AJ161" s="75">
        <f t="shared" si="195"/>
        <v>0</v>
      </c>
      <c r="AK161" s="75">
        <f t="shared" si="195"/>
        <v>0</v>
      </c>
      <c r="AL161" s="75">
        <f t="shared" si="195"/>
        <v>0</v>
      </c>
      <c r="AM161" s="75">
        <f t="shared" si="195"/>
        <v>0</v>
      </c>
      <c r="AN161" s="75">
        <f t="shared" si="195"/>
        <v>0</v>
      </c>
      <c r="AO161" s="75">
        <f t="shared" si="195"/>
        <v>0</v>
      </c>
    </row>
    <row r="162" spans="1:41" x14ac:dyDescent="0.35">
      <c r="A162" s="67" t="s">
        <v>52</v>
      </c>
      <c r="B162" s="72" t="s">
        <v>26</v>
      </c>
      <c r="C162" s="73" t="s">
        <v>50</v>
      </c>
      <c r="D162" s="73" t="s">
        <v>78</v>
      </c>
      <c r="E162" s="73">
        <v>0</v>
      </c>
      <c r="F162" s="73">
        <v>0</v>
      </c>
      <c r="G162" s="73">
        <v>0</v>
      </c>
      <c r="H162" s="73">
        <v>0</v>
      </c>
      <c r="I162" s="73">
        <v>0</v>
      </c>
      <c r="J162" s="73">
        <v>0</v>
      </c>
      <c r="K162" s="73">
        <v>0</v>
      </c>
      <c r="L162" s="73">
        <v>0</v>
      </c>
      <c r="M162" s="73">
        <v>0</v>
      </c>
      <c r="N162" s="73">
        <v>0</v>
      </c>
      <c r="O162" s="73">
        <v>0</v>
      </c>
      <c r="P162" s="73">
        <v>0</v>
      </c>
      <c r="Q162" s="73">
        <v>0</v>
      </c>
      <c r="R162" s="73">
        <v>0</v>
      </c>
      <c r="S162" s="73">
        <v>0</v>
      </c>
      <c r="T162" s="73">
        <v>0</v>
      </c>
      <c r="U162" s="73">
        <v>0</v>
      </c>
      <c r="V162" s="73">
        <v>0</v>
      </c>
      <c r="W162" s="73">
        <v>0</v>
      </c>
      <c r="X162" s="73">
        <v>0</v>
      </c>
      <c r="Y162" s="73">
        <v>0</v>
      </c>
      <c r="Z162" s="73">
        <v>0</v>
      </c>
      <c r="AA162" s="73">
        <v>0</v>
      </c>
      <c r="AB162" s="73">
        <v>0</v>
      </c>
      <c r="AC162" s="73">
        <v>0</v>
      </c>
      <c r="AD162" s="73">
        <v>0</v>
      </c>
      <c r="AE162" s="73">
        <v>0</v>
      </c>
      <c r="AF162" s="75">
        <f t="shared" ref="AF162:AO162" si="196">AE162</f>
        <v>0</v>
      </c>
      <c r="AG162" s="75">
        <f t="shared" si="196"/>
        <v>0</v>
      </c>
      <c r="AH162" s="75">
        <f t="shared" si="196"/>
        <v>0</v>
      </c>
      <c r="AI162" s="75">
        <f t="shared" si="196"/>
        <v>0</v>
      </c>
      <c r="AJ162" s="75">
        <f t="shared" si="196"/>
        <v>0</v>
      </c>
      <c r="AK162" s="75">
        <f t="shared" si="196"/>
        <v>0</v>
      </c>
      <c r="AL162" s="75">
        <f t="shared" si="196"/>
        <v>0</v>
      </c>
      <c r="AM162" s="75">
        <f t="shared" si="196"/>
        <v>0</v>
      </c>
      <c r="AN162" s="75">
        <f t="shared" si="196"/>
        <v>0</v>
      </c>
      <c r="AO162" s="75">
        <f t="shared" si="196"/>
        <v>0</v>
      </c>
    </row>
    <row r="163" spans="1:41" x14ac:dyDescent="0.35">
      <c r="A163" s="67" t="s">
        <v>52</v>
      </c>
      <c r="B163" s="68" t="s">
        <v>26</v>
      </c>
      <c r="C163" s="75" t="s">
        <v>47</v>
      </c>
      <c r="D163" s="75" t="s">
        <v>77</v>
      </c>
      <c r="E163" s="75">
        <v>8</v>
      </c>
      <c r="F163" s="75">
        <v>8</v>
      </c>
      <c r="G163" s="75">
        <v>8</v>
      </c>
      <c r="H163" s="75">
        <v>8</v>
      </c>
      <c r="I163" s="75">
        <v>8</v>
      </c>
      <c r="J163" s="75">
        <v>8</v>
      </c>
      <c r="K163" s="75">
        <v>8</v>
      </c>
      <c r="L163" s="75">
        <v>8</v>
      </c>
      <c r="M163" s="75">
        <v>8</v>
      </c>
      <c r="N163" s="75">
        <v>8</v>
      </c>
      <c r="O163" s="75">
        <v>8</v>
      </c>
      <c r="P163" s="75">
        <v>8</v>
      </c>
      <c r="Q163" s="75">
        <v>8</v>
      </c>
      <c r="R163" s="75">
        <v>8</v>
      </c>
      <c r="S163" s="75">
        <v>8</v>
      </c>
      <c r="T163" s="75">
        <v>8</v>
      </c>
      <c r="U163" s="75">
        <v>8</v>
      </c>
      <c r="V163" s="75">
        <v>8</v>
      </c>
      <c r="W163" s="75">
        <v>8</v>
      </c>
      <c r="X163" s="75">
        <v>8</v>
      </c>
      <c r="Y163" s="75">
        <v>8</v>
      </c>
      <c r="Z163" s="75">
        <v>8</v>
      </c>
      <c r="AA163" s="75">
        <v>8</v>
      </c>
      <c r="AB163" s="75">
        <v>8</v>
      </c>
      <c r="AC163" s="75">
        <v>8</v>
      </c>
      <c r="AD163" s="75">
        <v>8</v>
      </c>
      <c r="AE163" s="75">
        <v>8</v>
      </c>
      <c r="AF163" s="75">
        <f t="shared" ref="AF163:AO163" si="197">AE163</f>
        <v>8</v>
      </c>
      <c r="AG163" s="75">
        <f t="shared" si="197"/>
        <v>8</v>
      </c>
      <c r="AH163" s="75">
        <f t="shared" si="197"/>
        <v>8</v>
      </c>
      <c r="AI163" s="75">
        <f t="shared" si="197"/>
        <v>8</v>
      </c>
      <c r="AJ163" s="75">
        <f t="shared" si="197"/>
        <v>8</v>
      </c>
      <c r="AK163" s="75">
        <f t="shared" si="197"/>
        <v>8</v>
      </c>
      <c r="AL163" s="75">
        <f t="shared" si="197"/>
        <v>8</v>
      </c>
      <c r="AM163" s="75">
        <f t="shared" si="197"/>
        <v>8</v>
      </c>
      <c r="AN163" s="75">
        <f t="shared" si="197"/>
        <v>8</v>
      </c>
      <c r="AO163" s="75">
        <f t="shared" si="197"/>
        <v>8</v>
      </c>
    </row>
    <row r="164" spans="1:41" x14ac:dyDescent="0.35">
      <c r="A164" s="67" t="s">
        <v>52</v>
      </c>
      <c r="B164" s="72" t="s">
        <v>26</v>
      </c>
      <c r="C164" s="73" t="s">
        <v>48</v>
      </c>
      <c r="D164" s="73" t="s">
        <v>77</v>
      </c>
      <c r="E164" s="73">
        <v>8</v>
      </c>
      <c r="F164" s="73">
        <v>8</v>
      </c>
      <c r="G164" s="73">
        <v>8</v>
      </c>
      <c r="H164" s="73">
        <v>8</v>
      </c>
      <c r="I164" s="73">
        <v>8</v>
      </c>
      <c r="J164" s="73">
        <v>8</v>
      </c>
      <c r="K164" s="73">
        <v>8</v>
      </c>
      <c r="L164" s="73">
        <v>8</v>
      </c>
      <c r="M164" s="73">
        <v>8</v>
      </c>
      <c r="N164" s="73">
        <v>8</v>
      </c>
      <c r="O164" s="73">
        <v>8</v>
      </c>
      <c r="P164" s="73">
        <v>8</v>
      </c>
      <c r="Q164" s="73">
        <v>8</v>
      </c>
      <c r="R164" s="73">
        <v>8</v>
      </c>
      <c r="S164" s="73">
        <v>8</v>
      </c>
      <c r="T164" s="73">
        <v>8</v>
      </c>
      <c r="U164" s="73">
        <v>8</v>
      </c>
      <c r="V164" s="73">
        <v>8</v>
      </c>
      <c r="W164" s="73">
        <v>8</v>
      </c>
      <c r="X164" s="73">
        <v>8</v>
      </c>
      <c r="Y164" s="73">
        <v>8</v>
      </c>
      <c r="Z164" s="73">
        <v>8</v>
      </c>
      <c r="AA164" s="73">
        <v>8</v>
      </c>
      <c r="AB164" s="73">
        <v>8</v>
      </c>
      <c r="AC164" s="73">
        <v>8</v>
      </c>
      <c r="AD164" s="73">
        <v>8</v>
      </c>
      <c r="AE164" s="73">
        <v>8</v>
      </c>
      <c r="AF164" s="75">
        <f t="shared" ref="AF164:AO164" si="198">AE164</f>
        <v>8</v>
      </c>
      <c r="AG164" s="75">
        <f t="shared" si="198"/>
        <v>8</v>
      </c>
      <c r="AH164" s="75">
        <f t="shared" si="198"/>
        <v>8</v>
      </c>
      <c r="AI164" s="75">
        <f t="shared" si="198"/>
        <v>8</v>
      </c>
      <c r="AJ164" s="75">
        <f t="shared" si="198"/>
        <v>8</v>
      </c>
      <c r="AK164" s="75">
        <f t="shared" si="198"/>
        <v>8</v>
      </c>
      <c r="AL164" s="75">
        <f t="shared" si="198"/>
        <v>8</v>
      </c>
      <c r="AM164" s="75">
        <f t="shared" si="198"/>
        <v>8</v>
      </c>
      <c r="AN164" s="75">
        <f t="shared" si="198"/>
        <v>8</v>
      </c>
      <c r="AO164" s="75">
        <f t="shared" si="198"/>
        <v>8</v>
      </c>
    </row>
    <row r="165" spans="1:41" x14ac:dyDescent="0.35">
      <c r="A165" s="67" t="s">
        <v>52</v>
      </c>
      <c r="B165" s="68" t="s">
        <v>15</v>
      </c>
      <c r="C165" s="75" t="s">
        <v>45</v>
      </c>
      <c r="D165" s="75" t="s">
        <v>69</v>
      </c>
      <c r="E165" s="75">
        <v>0.25</v>
      </c>
      <c r="F165" s="75">
        <v>0.25</v>
      </c>
      <c r="G165" s="75">
        <v>0.25</v>
      </c>
      <c r="H165" s="75">
        <v>0.25</v>
      </c>
      <c r="I165" s="75">
        <v>0.25</v>
      </c>
      <c r="J165" s="75">
        <v>0.25</v>
      </c>
      <c r="K165" s="75">
        <v>0.25</v>
      </c>
      <c r="L165" s="75">
        <v>0.25</v>
      </c>
      <c r="M165" s="75">
        <v>0.25</v>
      </c>
      <c r="N165" s="75">
        <v>0.25</v>
      </c>
      <c r="O165" s="75">
        <v>0.25</v>
      </c>
      <c r="P165" s="75">
        <v>0.25</v>
      </c>
      <c r="Q165" s="75">
        <v>0.25</v>
      </c>
      <c r="R165" s="75">
        <v>0.25</v>
      </c>
      <c r="S165" s="75">
        <v>0.25</v>
      </c>
      <c r="T165" s="75">
        <v>0.25</v>
      </c>
      <c r="U165" s="75">
        <v>0.25</v>
      </c>
      <c r="V165" s="75">
        <v>0.25</v>
      </c>
      <c r="W165" s="75">
        <v>0.25</v>
      </c>
      <c r="X165" s="75">
        <v>0.25</v>
      </c>
      <c r="Y165" s="75">
        <v>0.25</v>
      </c>
      <c r="Z165" s="75">
        <v>0.25</v>
      </c>
      <c r="AA165" s="75">
        <v>0.25</v>
      </c>
      <c r="AB165" s="75">
        <v>0.25</v>
      </c>
      <c r="AC165" s="75">
        <v>0.25</v>
      </c>
      <c r="AD165" s="75">
        <v>0.25</v>
      </c>
      <c r="AE165" s="75">
        <v>0.25</v>
      </c>
      <c r="AF165" s="75">
        <f t="shared" ref="AF165:AO165" si="199">AE165</f>
        <v>0.25</v>
      </c>
      <c r="AG165" s="75">
        <f t="shared" si="199"/>
        <v>0.25</v>
      </c>
      <c r="AH165" s="75">
        <f t="shared" si="199"/>
        <v>0.25</v>
      </c>
      <c r="AI165" s="75">
        <f t="shared" si="199"/>
        <v>0.25</v>
      </c>
      <c r="AJ165" s="75">
        <f t="shared" si="199"/>
        <v>0.25</v>
      </c>
      <c r="AK165" s="75">
        <f t="shared" si="199"/>
        <v>0.25</v>
      </c>
      <c r="AL165" s="75">
        <f t="shared" si="199"/>
        <v>0.25</v>
      </c>
      <c r="AM165" s="75">
        <f t="shared" si="199"/>
        <v>0.25</v>
      </c>
      <c r="AN165" s="75">
        <f t="shared" si="199"/>
        <v>0.25</v>
      </c>
      <c r="AO165" s="75">
        <f t="shared" si="199"/>
        <v>0.25</v>
      </c>
    </row>
    <row r="166" spans="1:41" x14ac:dyDescent="0.35">
      <c r="A166" s="67" t="s">
        <v>52</v>
      </c>
      <c r="B166" s="72" t="s">
        <v>15</v>
      </c>
      <c r="C166" s="73" t="s">
        <v>46</v>
      </c>
      <c r="D166" s="73" t="s">
        <v>69</v>
      </c>
      <c r="E166" s="73">
        <v>0.25</v>
      </c>
      <c r="F166" s="73">
        <v>0.25</v>
      </c>
      <c r="G166" s="73">
        <v>0.25</v>
      </c>
      <c r="H166" s="73">
        <v>0.25</v>
      </c>
      <c r="I166" s="73">
        <v>0.25</v>
      </c>
      <c r="J166" s="73">
        <v>0.25</v>
      </c>
      <c r="K166" s="73">
        <v>0.25</v>
      </c>
      <c r="L166" s="73">
        <v>0.25</v>
      </c>
      <c r="M166" s="73">
        <v>0.25</v>
      </c>
      <c r="N166" s="73">
        <v>0.25</v>
      </c>
      <c r="O166" s="73">
        <v>0.25</v>
      </c>
      <c r="P166" s="73">
        <v>0.25</v>
      </c>
      <c r="Q166" s="73">
        <v>0.25</v>
      </c>
      <c r="R166" s="73">
        <v>0.25</v>
      </c>
      <c r="S166" s="73">
        <v>0.25</v>
      </c>
      <c r="T166" s="73">
        <v>0.25</v>
      </c>
      <c r="U166" s="73">
        <v>0.25</v>
      </c>
      <c r="V166" s="73">
        <v>0.25</v>
      </c>
      <c r="W166" s="73">
        <v>0.25</v>
      </c>
      <c r="X166" s="73">
        <v>0.25</v>
      </c>
      <c r="Y166" s="73">
        <v>0.25</v>
      </c>
      <c r="Z166" s="73">
        <v>0.25</v>
      </c>
      <c r="AA166" s="73">
        <v>0.25</v>
      </c>
      <c r="AB166" s="73">
        <v>0.25</v>
      </c>
      <c r="AC166" s="73">
        <v>0.25</v>
      </c>
      <c r="AD166" s="73">
        <v>0.25</v>
      </c>
      <c r="AE166" s="73">
        <v>0.25</v>
      </c>
      <c r="AF166" s="75">
        <f t="shared" ref="AF166:AO166" si="200">AE166</f>
        <v>0.25</v>
      </c>
      <c r="AG166" s="75">
        <f t="shared" si="200"/>
        <v>0.25</v>
      </c>
      <c r="AH166" s="75">
        <f t="shared" si="200"/>
        <v>0.25</v>
      </c>
      <c r="AI166" s="75">
        <f t="shared" si="200"/>
        <v>0.25</v>
      </c>
      <c r="AJ166" s="75">
        <f t="shared" si="200"/>
        <v>0.25</v>
      </c>
      <c r="AK166" s="75">
        <f t="shared" si="200"/>
        <v>0.25</v>
      </c>
      <c r="AL166" s="75">
        <f t="shared" si="200"/>
        <v>0.25</v>
      </c>
      <c r="AM166" s="75">
        <f t="shared" si="200"/>
        <v>0.25</v>
      </c>
      <c r="AN166" s="75">
        <f t="shared" si="200"/>
        <v>0.25</v>
      </c>
      <c r="AO166" s="75">
        <f t="shared" si="200"/>
        <v>0.25</v>
      </c>
    </row>
    <row r="167" spans="1:41" x14ac:dyDescent="0.35">
      <c r="A167" s="67" t="s">
        <v>52</v>
      </c>
      <c r="B167" s="68" t="s">
        <v>15</v>
      </c>
      <c r="C167" s="75" t="s">
        <v>49</v>
      </c>
      <c r="D167" s="75" t="s">
        <v>78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f t="shared" ref="AF167:AO167" si="201">AE167</f>
        <v>0</v>
      </c>
      <c r="AG167" s="75">
        <f t="shared" si="201"/>
        <v>0</v>
      </c>
      <c r="AH167" s="75">
        <f t="shared" si="201"/>
        <v>0</v>
      </c>
      <c r="AI167" s="75">
        <f t="shared" si="201"/>
        <v>0</v>
      </c>
      <c r="AJ167" s="75">
        <f t="shared" si="201"/>
        <v>0</v>
      </c>
      <c r="AK167" s="75">
        <f t="shared" si="201"/>
        <v>0</v>
      </c>
      <c r="AL167" s="75">
        <f t="shared" si="201"/>
        <v>0</v>
      </c>
      <c r="AM167" s="75">
        <f t="shared" si="201"/>
        <v>0</v>
      </c>
      <c r="AN167" s="75">
        <f t="shared" si="201"/>
        <v>0</v>
      </c>
      <c r="AO167" s="75">
        <f t="shared" si="201"/>
        <v>0</v>
      </c>
    </row>
    <row r="168" spans="1:41" x14ac:dyDescent="0.35">
      <c r="A168" s="67" t="s">
        <v>52</v>
      </c>
      <c r="B168" s="72" t="s">
        <v>15</v>
      </c>
      <c r="C168" s="73" t="s">
        <v>50</v>
      </c>
      <c r="D168" s="73" t="s">
        <v>78</v>
      </c>
      <c r="E168" s="73">
        <v>0</v>
      </c>
      <c r="F168" s="73">
        <v>0</v>
      </c>
      <c r="G168" s="73">
        <v>0</v>
      </c>
      <c r="H168" s="73">
        <v>0</v>
      </c>
      <c r="I168" s="73">
        <v>0</v>
      </c>
      <c r="J168" s="73">
        <v>0</v>
      </c>
      <c r="K168" s="73">
        <v>0</v>
      </c>
      <c r="L168" s="73">
        <v>0</v>
      </c>
      <c r="M168" s="73">
        <v>0</v>
      </c>
      <c r="N168" s="73">
        <v>0</v>
      </c>
      <c r="O168" s="73">
        <v>0</v>
      </c>
      <c r="P168" s="73">
        <v>0</v>
      </c>
      <c r="Q168" s="73">
        <v>0</v>
      </c>
      <c r="R168" s="73">
        <v>0</v>
      </c>
      <c r="S168" s="73">
        <v>0</v>
      </c>
      <c r="T168" s="73">
        <v>0</v>
      </c>
      <c r="U168" s="73">
        <v>0</v>
      </c>
      <c r="V168" s="73">
        <v>0</v>
      </c>
      <c r="W168" s="73">
        <v>0</v>
      </c>
      <c r="X168" s="73">
        <v>0</v>
      </c>
      <c r="Y168" s="73">
        <v>0</v>
      </c>
      <c r="Z168" s="73">
        <v>0</v>
      </c>
      <c r="AA168" s="73">
        <v>0</v>
      </c>
      <c r="AB168" s="73">
        <v>0</v>
      </c>
      <c r="AC168" s="73">
        <v>0</v>
      </c>
      <c r="AD168" s="73">
        <v>0</v>
      </c>
      <c r="AE168" s="73">
        <v>0</v>
      </c>
      <c r="AF168" s="75">
        <f t="shared" ref="AF168:AO168" si="202">AE168</f>
        <v>0</v>
      </c>
      <c r="AG168" s="75">
        <f t="shared" si="202"/>
        <v>0</v>
      </c>
      <c r="AH168" s="75">
        <f t="shared" si="202"/>
        <v>0</v>
      </c>
      <c r="AI168" s="75">
        <f t="shared" si="202"/>
        <v>0</v>
      </c>
      <c r="AJ168" s="75">
        <f t="shared" si="202"/>
        <v>0</v>
      </c>
      <c r="AK168" s="75">
        <f t="shared" si="202"/>
        <v>0</v>
      </c>
      <c r="AL168" s="75">
        <f t="shared" si="202"/>
        <v>0</v>
      </c>
      <c r="AM168" s="75">
        <f t="shared" si="202"/>
        <v>0</v>
      </c>
      <c r="AN168" s="75">
        <f t="shared" si="202"/>
        <v>0</v>
      </c>
      <c r="AO168" s="75">
        <f t="shared" si="202"/>
        <v>0</v>
      </c>
    </row>
    <row r="169" spans="1:41" x14ac:dyDescent="0.35">
      <c r="A169" s="67" t="s">
        <v>52</v>
      </c>
      <c r="B169" s="68" t="s">
        <v>15</v>
      </c>
      <c r="C169" s="75" t="s">
        <v>47</v>
      </c>
      <c r="D169" s="75" t="s">
        <v>77</v>
      </c>
      <c r="E169" s="75">
        <v>4</v>
      </c>
      <c r="F169" s="75">
        <v>4</v>
      </c>
      <c r="G169" s="75">
        <v>4</v>
      </c>
      <c r="H169" s="75">
        <v>4</v>
      </c>
      <c r="I169" s="75">
        <v>4</v>
      </c>
      <c r="J169" s="75">
        <v>4</v>
      </c>
      <c r="K169" s="75">
        <v>4</v>
      </c>
      <c r="L169" s="75">
        <v>4</v>
      </c>
      <c r="M169" s="75">
        <v>4</v>
      </c>
      <c r="N169" s="75">
        <v>4</v>
      </c>
      <c r="O169" s="75">
        <v>4</v>
      </c>
      <c r="P169" s="75">
        <v>4</v>
      </c>
      <c r="Q169" s="75">
        <v>4</v>
      </c>
      <c r="R169" s="75">
        <v>4</v>
      </c>
      <c r="S169" s="75">
        <v>4</v>
      </c>
      <c r="T169" s="75">
        <v>4</v>
      </c>
      <c r="U169" s="75">
        <v>4</v>
      </c>
      <c r="V169" s="75">
        <v>4</v>
      </c>
      <c r="W169" s="75">
        <v>4</v>
      </c>
      <c r="X169" s="75">
        <v>4</v>
      </c>
      <c r="Y169" s="75">
        <v>4</v>
      </c>
      <c r="Z169" s="75">
        <v>4</v>
      </c>
      <c r="AA169" s="75">
        <v>4</v>
      </c>
      <c r="AB169" s="75">
        <v>4</v>
      </c>
      <c r="AC169" s="75">
        <v>4</v>
      </c>
      <c r="AD169" s="75">
        <v>4</v>
      </c>
      <c r="AE169" s="75">
        <v>4</v>
      </c>
      <c r="AF169" s="75">
        <f t="shared" ref="AF169:AO169" si="203">AE169</f>
        <v>4</v>
      </c>
      <c r="AG169" s="75">
        <f t="shared" si="203"/>
        <v>4</v>
      </c>
      <c r="AH169" s="75">
        <f t="shared" si="203"/>
        <v>4</v>
      </c>
      <c r="AI169" s="75">
        <f t="shared" si="203"/>
        <v>4</v>
      </c>
      <c r="AJ169" s="75">
        <f t="shared" si="203"/>
        <v>4</v>
      </c>
      <c r="AK169" s="75">
        <f t="shared" si="203"/>
        <v>4</v>
      </c>
      <c r="AL169" s="75">
        <f t="shared" si="203"/>
        <v>4</v>
      </c>
      <c r="AM169" s="75">
        <f t="shared" si="203"/>
        <v>4</v>
      </c>
      <c r="AN169" s="75">
        <f t="shared" si="203"/>
        <v>4</v>
      </c>
      <c r="AO169" s="75">
        <f t="shared" si="203"/>
        <v>4</v>
      </c>
    </row>
    <row r="170" spans="1:41" x14ac:dyDescent="0.35">
      <c r="A170" s="67" t="s">
        <v>52</v>
      </c>
      <c r="B170" s="72" t="s">
        <v>15</v>
      </c>
      <c r="C170" s="73" t="s">
        <v>48</v>
      </c>
      <c r="D170" s="73" t="s">
        <v>77</v>
      </c>
      <c r="E170" s="73">
        <v>2</v>
      </c>
      <c r="F170" s="73">
        <v>2</v>
      </c>
      <c r="G170" s="73">
        <v>2</v>
      </c>
      <c r="H170" s="73">
        <v>2</v>
      </c>
      <c r="I170" s="73">
        <v>2</v>
      </c>
      <c r="J170" s="73">
        <v>2</v>
      </c>
      <c r="K170" s="73">
        <v>2</v>
      </c>
      <c r="L170" s="73">
        <v>2</v>
      </c>
      <c r="M170" s="73">
        <v>2</v>
      </c>
      <c r="N170" s="73">
        <v>2</v>
      </c>
      <c r="O170" s="73">
        <v>2</v>
      </c>
      <c r="P170" s="73">
        <v>2</v>
      </c>
      <c r="Q170" s="73">
        <v>2</v>
      </c>
      <c r="R170" s="73">
        <v>2</v>
      </c>
      <c r="S170" s="73">
        <v>2</v>
      </c>
      <c r="T170" s="73">
        <v>2</v>
      </c>
      <c r="U170" s="73">
        <v>2</v>
      </c>
      <c r="V170" s="73">
        <v>2</v>
      </c>
      <c r="W170" s="73">
        <v>2</v>
      </c>
      <c r="X170" s="73">
        <v>2</v>
      </c>
      <c r="Y170" s="73">
        <v>2</v>
      </c>
      <c r="Z170" s="73">
        <v>2</v>
      </c>
      <c r="AA170" s="73">
        <v>2</v>
      </c>
      <c r="AB170" s="73">
        <v>2</v>
      </c>
      <c r="AC170" s="73">
        <v>2</v>
      </c>
      <c r="AD170" s="73">
        <v>2</v>
      </c>
      <c r="AE170" s="73">
        <v>2</v>
      </c>
      <c r="AF170" s="75">
        <f t="shared" ref="AF170:AO170" si="204">AE170</f>
        <v>2</v>
      </c>
      <c r="AG170" s="75">
        <f t="shared" si="204"/>
        <v>2</v>
      </c>
      <c r="AH170" s="75">
        <f t="shared" si="204"/>
        <v>2</v>
      </c>
      <c r="AI170" s="75">
        <f t="shared" si="204"/>
        <v>2</v>
      </c>
      <c r="AJ170" s="75">
        <f t="shared" si="204"/>
        <v>2</v>
      </c>
      <c r="AK170" s="75">
        <f t="shared" si="204"/>
        <v>2</v>
      </c>
      <c r="AL170" s="75">
        <f t="shared" si="204"/>
        <v>2</v>
      </c>
      <c r="AM170" s="75">
        <f t="shared" si="204"/>
        <v>2</v>
      </c>
      <c r="AN170" s="75">
        <f t="shared" si="204"/>
        <v>2</v>
      </c>
      <c r="AO170" s="75">
        <f t="shared" si="204"/>
        <v>2</v>
      </c>
    </row>
    <row r="171" spans="1:41" x14ac:dyDescent="0.35">
      <c r="A171" s="67" t="s">
        <v>52</v>
      </c>
      <c r="B171" s="72" t="s">
        <v>72</v>
      </c>
      <c r="C171" s="73" t="s">
        <v>35</v>
      </c>
      <c r="D171" s="73" t="s">
        <v>79</v>
      </c>
      <c r="E171" s="73">
        <v>2</v>
      </c>
      <c r="F171" s="73">
        <v>2</v>
      </c>
      <c r="G171" s="73">
        <v>2</v>
      </c>
      <c r="H171" s="73">
        <v>2</v>
      </c>
      <c r="I171" s="73">
        <v>2</v>
      </c>
      <c r="J171" s="73">
        <v>2</v>
      </c>
      <c r="K171" s="73">
        <v>2</v>
      </c>
      <c r="L171" s="73">
        <v>2</v>
      </c>
      <c r="M171" s="73">
        <v>2</v>
      </c>
      <c r="N171" s="73">
        <v>2</v>
      </c>
      <c r="O171" s="73">
        <v>2</v>
      </c>
      <c r="P171" s="73">
        <v>2</v>
      </c>
      <c r="Q171" s="73">
        <v>2</v>
      </c>
      <c r="R171" s="73">
        <v>2</v>
      </c>
      <c r="S171" s="73">
        <v>2</v>
      </c>
      <c r="T171" s="73">
        <v>2</v>
      </c>
      <c r="U171" s="73">
        <v>2</v>
      </c>
      <c r="V171" s="73">
        <v>2</v>
      </c>
      <c r="W171" s="73">
        <v>2</v>
      </c>
      <c r="X171" s="73">
        <v>2</v>
      </c>
      <c r="Y171" s="73">
        <v>2</v>
      </c>
      <c r="Z171" s="73">
        <v>2</v>
      </c>
      <c r="AA171" s="73">
        <v>2</v>
      </c>
      <c r="AB171" s="73">
        <v>2</v>
      </c>
      <c r="AC171" s="73">
        <v>2</v>
      </c>
      <c r="AD171" s="73">
        <v>2</v>
      </c>
      <c r="AE171" s="73">
        <v>2</v>
      </c>
      <c r="AF171" s="75">
        <f t="shared" ref="AF171:AO171" si="205">AE171</f>
        <v>2</v>
      </c>
      <c r="AG171" s="75">
        <f t="shared" si="205"/>
        <v>2</v>
      </c>
      <c r="AH171" s="75">
        <f t="shared" si="205"/>
        <v>2</v>
      </c>
      <c r="AI171" s="75">
        <f t="shared" si="205"/>
        <v>2</v>
      </c>
      <c r="AJ171" s="75">
        <f t="shared" si="205"/>
        <v>2</v>
      </c>
      <c r="AK171" s="75">
        <f t="shared" si="205"/>
        <v>2</v>
      </c>
      <c r="AL171" s="75">
        <f t="shared" si="205"/>
        <v>2</v>
      </c>
      <c r="AM171" s="75">
        <f t="shared" si="205"/>
        <v>2</v>
      </c>
      <c r="AN171" s="75">
        <f t="shared" si="205"/>
        <v>2</v>
      </c>
      <c r="AO171" s="75">
        <f t="shared" si="205"/>
        <v>2</v>
      </c>
    </row>
    <row r="172" spans="1:41" x14ac:dyDescent="0.35">
      <c r="A172" s="67" t="s">
        <v>52</v>
      </c>
      <c r="B172" s="68" t="s">
        <v>73</v>
      </c>
      <c r="C172" s="75" t="s">
        <v>35</v>
      </c>
      <c r="D172" s="75" t="s">
        <v>79</v>
      </c>
      <c r="E172" s="75">
        <v>2</v>
      </c>
      <c r="F172" s="75">
        <v>2</v>
      </c>
      <c r="G172" s="75">
        <v>2</v>
      </c>
      <c r="H172" s="75">
        <v>2</v>
      </c>
      <c r="I172" s="75">
        <v>2</v>
      </c>
      <c r="J172" s="75">
        <v>2</v>
      </c>
      <c r="K172" s="75">
        <v>2</v>
      </c>
      <c r="L172" s="75">
        <v>2</v>
      </c>
      <c r="M172" s="75">
        <v>2</v>
      </c>
      <c r="N172" s="75">
        <v>2</v>
      </c>
      <c r="O172" s="75">
        <v>2</v>
      </c>
      <c r="P172" s="75">
        <v>2</v>
      </c>
      <c r="Q172" s="75">
        <v>2</v>
      </c>
      <c r="R172" s="75">
        <v>2</v>
      </c>
      <c r="S172" s="75">
        <v>2</v>
      </c>
      <c r="T172" s="75">
        <v>2</v>
      </c>
      <c r="U172" s="75">
        <v>2</v>
      </c>
      <c r="V172" s="75">
        <v>2</v>
      </c>
      <c r="W172" s="75">
        <v>2</v>
      </c>
      <c r="X172" s="75">
        <v>2</v>
      </c>
      <c r="Y172" s="75">
        <v>2</v>
      </c>
      <c r="Z172" s="75">
        <v>2</v>
      </c>
      <c r="AA172" s="75">
        <v>2</v>
      </c>
      <c r="AB172" s="75">
        <v>2</v>
      </c>
      <c r="AC172" s="75">
        <v>2</v>
      </c>
      <c r="AD172" s="75">
        <v>2</v>
      </c>
      <c r="AE172" s="75">
        <v>2</v>
      </c>
      <c r="AF172" s="75">
        <f t="shared" ref="AF172:AO172" si="206">AE172</f>
        <v>2</v>
      </c>
      <c r="AG172" s="75">
        <f t="shared" si="206"/>
        <v>2</v>
      </c>
      <c r="AH172" s="75">
        <f t="shared" si="206"/>
        <v>2</v>
      </c>
      <c r="AI172" s="75">
        <f t="shared" si="206"/>
        <v>2</v>
      </c>
      <c r="AJ172" s="75">
        <f t="shared" si="206"/>
        <v>2</v>
      </c>
      <c r="AK172" s="75">
        <f t="shared" si="206"/>
        <v>2</v>
      </c>
      <c r="AL172" s="75">
        <f t="shared" si="206"/>
        <v>2</v>
      </c>
      <c r="AM172" s="75">
        <f t="shared" si="206"/>
        <v>2</v>
      </c>
      <c r="AN172" s="75">
        <f t="shared" si="206"/>
        <v>2</v>
      </c>
      <c r="AO172" s="75">
        <f t="shared" si="206"/>
        <v>2</v>
      </c>
    </row>
    <row r="173" spans="1:41" x14ac:dyDescent="0.35">
      <c r="A173" s="67" t="s">
        <v>52</v>
      </c>
      <c r="B173" s="72" t="s">
        <v>74</v>
      </c>
      <c r="C173" s="73" t="s">
        <v>35</v>
      </c>
      <c r="D173" s="73" t="s">
        <v>79</v>
      </c>
      <c r="E173" s="73">
        <v>2</v>
      </c>
      <c r="F173" s="73">
        <v>2</v>
      </c>
      <c r="G173" s="73">
        <v>2</v>
      </c>
      <c r="H173" s="73">
        <v>2</v>
      </c>
      <c r="I173" s="73">
        <v>2</v>
      </c>
      <c r="J173" s="73">
        <v>2</v>
      </c>
      <c r="K173" s="73">
        <v>2</v>
      </c>
      <c r="L173" s="73">
        <v>2</v>
      </c>
      <c r="M173" s="73">
        <v>2</v>
      </c>
      <c r="N173" s="73">
        <v>2</v>
      </c>
      <c r="O173" s="73">
        <v>2</v>
      </c>
      <c r="P173" s="73">
        <v>2</v>
      </c>
      <c r="Q173" s="73">
        <v>2</v>
      </c>
      <c r="R173" s="73">
        <v>2</v>
      </c>
      <c r="S173" s="73">
        <v>2</v>
      </c>
      <c r="T173" s="73">
        <v>2</v>
      </c>
      <c r="U173" s="73">
        <v>2</v>
      </c>
      <c r="V173" s="73">
        <v>2</v>
      </c>
      <c r="W173" s="73">
        <v>2</v>
      </c>
      <c r="X173" s="73">
        <v>2</v>
      </c>
      <c r="Y173" s="73">
        <v>2</v>
      </c>
      <c r="Z173" s="73">
        <v>2</v>
      </c>
      <c r="AA173" s="73">
        <v>2</v>
      </c>
      <c r="AB173" s="73">
        <v>2</v>
      </c>
      <c r="AC173" s="73">
        <v>2</v>
      </c>
      <c r="AD173" s="73">
        <v>2</v>
      </c>
      <c r="AE173" s="73">
        <v>2</v>
      </c>
      <c r="AF173" s="75">
        <f t="shared" ref="AF173:AO173" si="207">AE173</f>
        <v>2</v>
      </c>
      <c r="AG173" s="75">
        <f t="shared" si="207"/>
        <v>2</v>
      </c>
      <c r="AH173" s="75">
        <f t="shared" si="207"/>
        <v>2</v>
      </c>
      <c r="AI173" s="75">
        <f t="shared" si="207"/>
        <v>2</v>
      </c>
      <c r="AJ173" s="75">
        <f t="shared" si="207"/>
        <v>2</v>
      </c>
      <c r="AK173" s="75">
        <f t="shared" si="207"/>
        <v>2</v>
      </c>
      <c r="AL173" s="75">
        <f t="shared" si="207"/>
        <v>2</v>
      </c>
      <c r="AM173" s="75">
        <f t="shared" si="207"/>
        <v>2</v>
      </c>
      <c r="AN173" s="75">
        <f t="shared" si="207"/>
        <v>2</v>
      </c>
      <c r="AO173" s="75">
        <f t="shared" si="207"/>
        <v>2</v>
      </c>
    </row>
    <row r="174" spans="1:41" x14ac:dyDescent="0.35">
      <c r="A174" s="67" t="s">
        <v>52</v>
      </c>
      <c r="B174" s="68" t="s">
        <v>75</v>
      </c>
      <c r="C174" s="75" t="s">
        <v>35</v>
      </c>
      <c r="D174" s="75" t="s">
        <v>79</v>
      </c>
      <c r="E174" s="75">
        <v>2</v>
      </c>
      <c r="F174" s="75">
        <v>2</v>
      </c>
      <c r="G174" s="75">
        <v>2</v>
      </c>
      <c r="H174" s="75">
        <v>2</v>
      </c>
      <c r="I174" s="75">
        <v>2</v>
      </c>
      <c r="J174" s="75">
        <v>2</v>
      </c>
      <c r="K174" s="75">
        <v>2</v>
      </c>
      <c r="L174" s="75">
        <v>2</v>
      </c>
      <c r="M174" s="75">
        <v>2</v>
      </c>
      <c r="N174" s="75">
        <v>2</v>
      </c>
      <c r="O174" s="75">
        <v>2</v>
      </c>
      <c r="P174" s="75">
        <v>2</v>
      </c>
      <c r="Q174" s="75">
        <v>2</v>
      </c>
      <c r="R174" s="75">
        <v>2</v>
      </c>
      <c r="S174" s="75">
        <v>2</v>
      </c>
      <c r="T174" s="75">
        <v>2</v>
      </c>
      <c r="U174" s="75">
        <v>2</v>
      </c>
      <c r="V174" s="75">
        <v>2</v>
      </c>
      <c r="W174" s="75">
        <v>2</v>
      </c>
      <c r="X174" s="75">
        <v>2</v>
      </c>
      <c r="Y174" s="75">
        <v>2</v>
      </c>
      <c r="Z174" s="75">
        <v>2</v>
      </c>
      <c r="AA174" s="75">
        <v>2</v>
      </c>
      <c r="AB174" s="75">
        <v>2</v>
      </c>
      <c r="AC174" s="75">
        <v>2</v>
      </c>
      <c r="AD174" s="75">
        <v>2</v>
      </c>
      <c r="AE174" s="75">
        <v>2</v>
      </c>
      <c r="AF174" s="75">
        <f t="shared" ref="AF174:AO174" si="208">AE174</f>
        <v>2</v>
      </c>
      <c r="AG174" s="75">
        <f t="shared" si="208"/>
        <v>2</v>
      </c>
      <c r="AH174" s="75">
        <f t="shared" si="208"/>
        <v>2</v>
      </c>
      <c r="AI174" s="75">
        <f t="shared" si="208"/>
        <v>2</v>
      </c>
      <c r="AJ174" s="75">
        <f t="shared" si="208"/>
        <v>2</v>
      </c>
      <c r="AK174" s="75">
        <f t="shared" si="208"/>
        <v>2</v>
      </c>
      <c r="AL174" s="75">
        <f t="shared" si="208"/>
        <v>2</v>
      </c>
      <c r="AM174" s="75">
        <f t="shared" si="208"/>
        <v>2</v>
      </c>
      <c r="AN174" s="75">
        <f t="shared" si="208"/>
        <v>2</v>
      </c>
      <c r="AO174" s="75">
        <f t="shared" si="208"/>
        <v>2</v>
      </c>
    </row>
    <row r="175" spans="1:41" x14ac:dyDescent="0.35">
      <c r="A175" s="67" t="s">
        <v>52</v>
      </c>
      <c r="B175" s="72" t="s">
        <v>54</v>
      </c>
      <c r="C175" s="73" t="s">
        <v>35</v>
      </c>
      <c r="D175" s="73" t="s">
        <v>80</v>
      </c>
      <c r="E175" s="79">
        <v>417.50457038391198</v>
      </c>
      <c r="F175" s="79">
        <v>417.50457038391198</v>
      </c>
      <c r="G175" s="79">
        <v>417.50457038391198</v>
      </c>
      <c r="H175" s="79">
        <v>417.50457038391198</v>
      </c>
      <c r="I175" s="79">
        <v>417.50457038391198</v>
      </c>
      <c r="J175" s="79">
        <v>417.50457038391198</v>
      </c>
      <c r="K175" s="79">
        <v>417.50457038391198</v>
      </c>
      <c r="L175" s="79">
        <v>417.50457038391198</v>
      </c>
      <c r="M175" s="79">
        <v>417.50457038391198</v>
      </c>
      <c r="N175" s="79">
        <v>417.50457038391198</v>
      </c>
      <c r="O175" s="79">
        <v>417.50457038391198</v>
      </c>
      <c r="P175" s="79">
        <v>417.50457038391198</v>
      </c>
      <c r="Q175" s="79">
        <v>417.50457038391198</v>
      </c>
      <c r="R175" s="79">
        <v>417.50457038391198</v>
      </c>
      <c r="S175" s="79">
        <v>417.50457038391198</v>
      </c>
      <c r="T175" s="79">
        <v>417.50457038391198</v>
      </c>
      <c r="U175" s="79">
        <v>417.50457038391198</v>
      </c>
      <c r="V175" s="79">
        <v>417.50457038391198</v>
      </c>
      <c r="W175" s="79">
        <v>417.50457038391198</v>
      </c>
      <c r="X175" s="79">
        <v>417.50457038391198</v>
      </c>
      <c r="Y175" s="79">
        <v>417.50457038391198</v>
      </c>
      <c r="Z175" s="79">
        <v>417.50457038391198</v>
      </c>
      <c r="AA175" s="79">
        <v>417.50457038391198</v>
      </c>
      <c r="AB175" s="79">
        <v>417.50457038391198</v>
      </c>
      <c r="AC175" s="79">
        <v>417.50457038391198</v>
      </c>
      <c r="AD175" s="79">
        <v>417.50457038391198</v>
      </c>
      <c r="AE175" s="79">
        <v>417.50457038391198</v>
      </c>
      <c r="AF175" s="75">
        <f t="shared" ref="AF175:AO175" si="209">AE175</f>
        <v>417.50457038391198</v>
      </c>
      <c r="AG175" s="75">
        <f t="shared" si="209"/>
        <v>417.50457038391198</v>
      </c>
      <c r="AH175" s="75">
        <f t="shared" si="209"/>
        <v>417.50457038391198</v>
      </c>
      <c r="AI175" s="75">
        <f t="shared" si="209"/>
        <v>417.50457038391198</v>
      </c>
      <c r="AJ175" s="75">
        <f t="shared" si="209"/>
        <v>417.50457038391198</v>
      </c>
      <c r="AK175" s="75">
        <f t="shared" si="209"/>
        <v>417.50457038391198</v>
      </c>
      <c r="AL175" s="75">
        <f t="shared" si="209"/>
        <v>417.50457038391198</v>
      </c>
      <c r="AM175" s="75">
        <f t="shared" si="209"/>
        <v>417.50457038391198</v>
      </c>
      <c r="AN175" s="75">
        <f t="shared" si="209"/>
        <v>417.50457038391198</v>
      </c>
      <c r="AO175" s="75">
        <f t="shared" si="209"/>
        <v>417.50457038391198</v>
      </c>
    </row>
    <row r="176" spans="1:41" x14ac:dyDescent="0.35">
      <c r="A176" s="67" t="s">
        <v>52</v>
      </c>
      <c r="B176" s="68" t="s">
        <v>55</v>
      </c>
      <c r="C176" s="75" t="s">
        <v>35</v>
      </c>
      <c r="D176" s="75" t="s">
        <v>80</v>
      </c>
      <c r="E176" s="80">
        <v>359.98171846435099</v>
      </c>
      <c r="F176" s="80">
        <v>359.98171846435099</v>
      </c>
      <c r="G176" s="80">
        <v>359.98171846435099</v>
      </c>
      <c r="H176" s="80">
        <v>359.98171846435099</v>
      </c>
      <c r="I176" s="80">
        <v>359.98171846435099</v>
      </c>
      <c r="J176" s="80">
        <v>359.98171846435099</v>
      </c>
      <c r="K176" s="80">
        <v>359.98171846435099</v>
      </c>
      <c r="L176" s="80">
        <v>359.98171846435099</v>
      </c>
      <c r="M176" s="80">
        <v>359.98171846435099</v>
      </c>
      <c r="N176" s="80">
        <v>359.98171846435099</v>
      </c>
      <c r="O176" s="80">
        <v>359.98171846435099</v>
      </c>
      <c r="P176" s="80">
        <v>359.98171846435099</v>
      </c>
      <c r="Q176" s="80">
        <v>359.98171846435099</v>
      </c>
      <c r="R176" s="80">
        <v>359.98171846435099</v>
      </c>
      <c r="S176" s="80">
        <v>359.98171846435099</v>
      </c>
      <c r="T176" s="80">
        <v>359.98171846435099</v>
      </c>
      <c r="U176" s="80">
        <v>359.98171846435099</v>
      </c>
      <c r="V176" s="80">
        <v>359.98171846435099</v>
      </c>
      <c r="W176" s="80">
        <v>359.98171846435099</v>
      </c>
      <c r="X176" s="80">
        <v>359.98171846435099</v>
      </c>
      <c r="Y176" s="80">
        <v>359.98171846435099</v>
      </c>
      <c r="Z176" s="80">
        <v>359.98171846435099</v>
      </c>
      <c r="AA176" s="80">
        <v>359.98171846435099</v>
      </c>
      <c r="AB176" s="80">
        <v>359.98171846435099</v>
      </c>
      <c r="AC176" s="80">
        <v>359.98171846435099</v>
      </c>
      <c r="AD176" s="80">
        <v>359.98171846435099</v>
      </c>
      <c r="AE176" s="80">
        <v>359.98171846435099</v>
      </c>
      <c r="AF176" s="75">
        <f t="shared" ref="AF176:AO176" si="210">AE176</f>
        <v>359.98171846435099</v>
      </c>
      <c r="AG176" s="75">
        <f t="shared" si="210"/>
        <v>359.98171846435099</v>
      </c>
      <c r="AH176" s="75">
        <f t="shared" si="210"/>
        <v>359.98171846435099</v>
      </c>
      <c r="AI176" s="75">
        <f t="shared" si="210"/>
        <v>359.98171846435099</v>
      </c>
      <c r="AJ176" s="75">
        <f t="shared" si="210"/>
        <v>359.98171846435099</v>
      </c>
      <c r="AK176" s="75">
        <f t="shared" si="210"/>
        <v>359.98171846435099</v>
      </c>
      <c r="AL176" s="75">
        <f t="shared" si="210"/>
        <v>359.98171846435099</v>
      </c>
      <c r="AM176" s="75">
        <f t="shared" si="210"/>
        <v>359.98171846435099</v>
      </c>
      <c r="AN176" s="75">
        <f t="shared" si="210"/>
        <v>359.98171846435099</v>
      </c>
      <c r="AO176" s="75">
        <f t="shared" si="210"/>
        <v>359.98171846435099</v>
      </c>
    </row>
    <row r="177" spans="1:41" x14ac:dyDescent="0.35">
      <c r="A177" s="67" t="s">
        <v>52</v>
      </c>
      <c r="B177" s="72" t="s">
        <v>56</v>
      </c>
      <c r="C177" s="73" t="s">
        <v>35</v>
      </c>
      <c r="D177" s="73" t="s">
        <v>80</v>
      </c>
      <c r="E177" s="79">
        <v>341.69104204753199</v>
      </c>
      <c r="F177" s="79">
        <v>341.69104204753199</v>
      </c>
      <c r="G177" s="79">
        <v>341.69104204753199</v>
      </c>
      <c r="H177" s="79">
        <v>341.69104204753199</v>
      </c>
      <c r="I177" s="79">
        <v>341.69104204753199</v>
      </c>
      <c r="J177" s="79">
        <v>341.69104204753199</v>
      </c>
      <c r="K177" s="79">
        <v>341.69104204753199</v>
      </c>
      <c r="L177" s="79">
        <v>341.69104204753199</v>
      </c>
      <c r="M177" s="79">
        <v>341.69104204753199</v>
      </c>
      <c r="N177" s="79">
        <v>341.69104204753199</v>
      </c>
      <c r="O177" s="79">
        <v>341.69104204753199</v>
      </c>
      <c r="P177" s="79">
        <v>341.69104204753199</v>
      </c>
      <c r="Q177" s="79">
        <v>341.69104204753199</v>
      </c>
      <c r="R177" s="79">
        <v>341.69104204753199</v>
      </c>
      <c r="S177" s="79">
        <v>341.69104204753199</v>
      </c>
      <c r="T177" s="79">
        <v>341.69104204753199</v>
      </c>
      <c r="U177" s="79">
        <v>341.69104204753199</v>
      </c>
      <c r="V177" s="79">
        <v>341.69104204753199</v>
      </c>
      <c r="W177" s="79">
        <v>341.69104204753199</v>
      </c>
      <c r="X177" s="79">
        <v>341.69104204753199</v>
      </c>
      <c r="Y177" s="79">
        <v>341.69104204753199</v>
      </c>
      <c r="Z177" s="79">
        <v>341.69104204753199</v>
      </c>
      <c r="AA177" s="79">
        <v>341.69104204753199</v>
      </c>
      <c r="AB177" s="79">
        <v>341.69104204753199</v>
      </c>
      <c r="AC177" s="79">
        <v>341.69104204753199</v>
      </c>
      <c r="AD177" s="79">
        <v>341.69104204753199</v>
      </c>
      <c r="AE177" s="79">
        <v>341.69104204753199</v>
      </c>
      <c r="AF177" s="75">
        <f t="shared" ref="AF177:AO177" si="211">AE177</f>
        <v>341.69104204753199</v>
      </c>
      <c r="AG177" s="75">
        <f t="shared" si="211"/>
        <v>341.69104204753199</v>
      </c>
      <c r="AH177" s="75">
        <f t="shared" si="211"/>
        <v>341.69104204753199</v>
      </c>
      <c r="AI177" s="75">
        <f t="shared" si="211"/>
        <v>341.69104204753199</v>
      </c>
      <c r="AJ177" s="75">
        <f t="shared" si="211"/>
        <v>341.69104204753199</v>
      </c>
      <c r="AK177" s="75">
        <f t="shared" si="211"/>
        <v>341.69104204753199</v>
      </c>
      <c r="AL177" s="75">
        <f t="shared" si="211"/>
        <v>341.69104204753199</v>
      </c>
      <c r="AM177" s="75">
        <f t="shared" si="211"/>
        <v>341.69104204753199</v>
      </c>
      <c r="AN177" s="75">
        <f t="shared" si="211"/>
        <v>341.69104204753199</v>
      </c>
      <c r="AO177" s="75">
        <f t="shared" si="211"/>
        <v>341.69104204753199</v>
      </c>
    </row>
    <row r="178" spans="1:41" x14ac:dyDescent="0.35">
      <c r="A178" s="67" t="s">
        <v>52</v>
      </c>
      <c r="B178" s="68" t="s">
        <v>57</v>
      </c>
      <c r="C178" s="75" t="s">
        <v>35</v>
      </c>
      <c r="D178" s="75" t="s">
        <v>80</v>
      </c>
      <c r="E178" s="80">
        <v>1139.05850091408</v>
      </c>
      <c r="F178" s="80">
        <v>1139.05850091408</v>
      </c>
      <c r="G178" s="80">
        <v>1139.05850091408</v>
      </c>
      <c r="H178" s="80">
        <v>1139.05850091408</v>
      </c>
      <c r="I178" s="80">
        <v>1139.05850091408</v>
      </c>
      <c r="J178" s="80">
        <v>1139.05850091408</v>
      </c>
      <c r="K178" s="80">
        <v>1139.05850091408</v>
      </c>
      <c r="L178" s="80">
        <v>1139.05850091408</v>
      </c>
      <c r="M178" s="80">
        <v>1139.05850091408</v>
      </c>
      <c r="N178" s="80">
        <v>1139.05850091408</v>
      </c>
      <c r="O178" s="80">
        <v>1139.05850091408</v>
      </c>
      <c r="P178" s="80">
        <v>1139.05850091408</v>
      </c>
      <c r="Q178" s="80">
        <v>1139.05850091408</v>
      </c>
      <c r="R178" s="80">
        <v>1139.05850091408</v>
      </c>
      <c r="S178" s="80">
        <v>1139.05850091408</v>
      </c>
      <c r="T178" s="80">
        <v>1139.05850091408</v>
      </c>
      <c r="U178" s="80">
        <v>1139.05850091408</v>
      </c>
      <c r="V178" s="80">
        <v>1139.05850091408</v>
      </c>
      <c r="W178" s="80">
        <v>1139.05850091408</v>
      </c>
      <c r="X178" s="80">
        <v>1139.05850091408</v>
      </c>
      <c r="Y178" s="80">
        <v>1139.05850091408</v>
      </c>
      <c r="Z178" s="80">
        <v>1139.05850091408</v>
      </c>
      <c r="AA178" s="80">
        <v>1139.05850091408</v>
      </c>
      <c r="AB178" s="80">
        <v>1139.05850091408</v>
      </c>
      <c r="AC178" s="80">
        <v>1139.05850091408</v>
      </c>
      <c r="AD178" s="80">
        <v>1139.05850091408</v>
      </c>
      <c r="AE178" s="80">
        <v>1139.05850091408</v>
      </c>
      <c r="AF178" s="75">
        <f t="shared" ref="AF178:AO178" si="212">AE178</f>
        <v>1139.05850091408</v>
      </c>
      <c r="AG178" s="75">
        <f t="shared" si="212"/>
        <v>1139.05850091408</v>
      </c>
      <c r="AH178" s="75">
        <f t="shared" si="212"/>
        <v>1139.05850091408</v>
      </c>
      <c r="AI178" s="75">
        <f t="shared" si="212"/>
        <v>1139.05850091408</v>
      </c>
      <c r="AJ178" s="75">
        <f t="shared" si="212"/>
        <v>1139.05850091408</v>
      </c>
      <c r="AK178" s="75">
        <f t="shared" si="212"/>
        <v>1139.05850091408</v>
      </c>
      <c r="AL178" s="75">
        <f t="shared" si="212"/>
        <v>1139.05850091408</v>
      </c>
      <c r="AM178" s="75">
        <f t="shared" si="212"/>
        <v>1139.05850091408</v>
      </c>
      <c r="AN178" s="75">
        <f t="shared" si="212"/>
        <v>1139.05850091408</v>
      </c>
      <c r="AO178" s="75">
        <f t="shared" si="212"/>
        <v>1139.05850091408</v>
      </c>
    </row>
    <row r="179" spans="1:41" x14ac:dyDescent="0.35">
      <c r="A179" s="67" t="s">
        <v>52</v>
      </c>
      <c r="B179" s="72" t="s">
        <v>15</v>
      </c>
      <c r="C179" s="73" t="s">
        <v>35</v>
      </c>
      <c r="D179" s="73" t="s">
        <v>80</v>
      </c>
      <c r="E179" s="79">
        <v>43.120048750761804</v>
      </c>
      <c r="F179" s="79">
        <v>43.120048750761804</v>
      </c>
      <c r="G179" s="79">
        <v>43.120048750761804</v>
      </c>
      <c r="H179" s="79">
        <v>43.120048750761804</v>
      </c>
      <c r="I179" s="79">
        <v>43.120048750761804</v>
      </c>
      <c r="J179" s="79">
        <v>43.120048750761804</v>
      </c>
      <c r="K179" s="79">
        <v>43.120048750761804</v>
      </c>
      <c r="L179" s="79">
        <v>43.120048750761804</v>
      </c>
      <c r="M179" s="79">
        <v>43.120048750761804</v>
      </c>
      <c r="N179" s="79">
        <v>43.120048750761804</v>
      </c>
      <c r="O179" s="79">
        <v>43.120048750761804</v>
      </c>
      <c r="P179" s="79">
        <v>43.120048750761804</v>
      </c>
      <c r="Q179" s="79">
        <v>43.120048750761804</v>
      </c>
      <c r="R179" s="79">
        <v>43.120048750761804</v>
      </c>
      <c r="S179" s="79">
        <v>43.120048750761804</v>
      </c>
      <c r="T179" s="79">
        <v>43.120048750761804</v>
      </c>
      <c r="U179" s="79">
        <v>43.120048750761804</v>
      </c>
      <c r="V179" s="79">
        <v>43.120048750761804</v>
      </c>
      <c r="W179" s="79">
        <v>43.120048750761804</v>
      </c>
      <c r="X179" s="79">
        <v>43.120048750761804</v>
      </c>
      <c r="Y179" s="79">
        <v>43.120048750761804</v>
      </c>
      <c r="Z179" s="79">
        <v>43.120048750761804</v>
      </c>
      <c r="AA179" s="79">
        <v>43.120048750761804</v>
      </c>
      <c r="AB179" s="79">
        <v>43.120048750761804</v>
      </c>
      <c r="AC179" s="79">
        <v>43.120048750761804</v>
      </c>
      <c r="AD179" s="79">
        <v>43.120048750761804</v>
      </c>
      <c r="AE179" s="79">
        <v>43.120048750761804</v>
      </c>
      <c r="AF179" s="75">
        <f t="shared" ref="AF179:AO179" si="213">AE179</f>
        <v>43.120048750761804</v>
      </c>
      <c r="AG179" s="75">
        <f t="shared" si="213"/>
        <v>43.120048750761804</v>
      </c>
      <c r="AH179" s="75">
        <f t="shared" si="213"/>
        <v>43.120048750761804</v>
      </c>
      <c r="AI179" s="75">
        <f t="shared" si="213"/>
        <v>43.120048750761804</v>
      </c>
      <c r="AJ179" s="75">
        <f t="shared" si="213"/>
        <v>43.120048750761804</v>
      </c>
      <c r="AK179" s="75">
        <f t="shared" si="213"/>
        <v>43.120048750761804</v>
      </c>
      <c r="AL179" s="75">
        <f t="shared" si="213"/>
        <v>43.120048750761804</v>
      </c>
      <c r="AM179" s="75">
        <f t="shared" si="213"/>
        <v>43.120048750761804</v>
      </c>
      <c r="AN179" s="75">
        <f t="shared" si="213"/>
        <v>43.120048750761804</v>
      </c>
      <c r="AO179" s="75">
        <f t="shared" si="213"/>
        <v>43.120048750761804</v>
      </c>
    </row>
    <row r="180" spans="1:41" x14ac:dyDescent="0.35">
      <c r="A180" s="67" t="s">
        <v>52</v>
      </c>
      <c r="B180" s="68" t="s">
        <v>25</v>
      </c>
      <c r="C180" s="75" t="s">
        <v>35</v>
      </c>
      <c r="D180" s="75" t="s">
        <v>80</v>
      </c>
      <c r="E180" s="80">
        <v>1525.8135283363799</v>
      </c>
      <c r="F180" s="80">
        <v>1525.8135283363799</v>
      </c>
      <c r="G180" s="80">
        <v>1525.8135283363799</v>
      </c>
      <c r="H180" s="80">
        <v>1525.8135283363799</v>
      </c>
      <c r="I180" s="80">
        <v>1525.8135283363799</v>
      </c>
      <c r="J180" s="80">
        <v>1525.8135283363799</v>
      </c>
      <c r="K180" s="80">
        <v>1525.8135283363799</v>
      </c>
      <c r="L180" s="80">
        <v>1525.8135283363799</v>
      </c>
      <c r="M180" s="80">
        <v>1525.8135283363799</v>
      </c>
      <c r="N180" s="80">
        <v>1525.8135283363799</v>
      </c>
      <c r="O180" s="80">
        <v>1525.8135283363799</v>
      </c>
      <c r="P180" s="80">
        <v>1525.8135283363799</v>
      </c>
      <c r="Q180" s="80">
        <v>1525.8135283363799</v>
      </c>
      <c r="R180" s="80">
        <v>1525.8135283363799</v>
      </c>
      <c r="S180" s="80">
        <v>1525.8135283363799</v>
      </c>
      <c r="T180" s="80">
        <v>1525.8135283363799</v>
      </c>
      <c r="U180" s="80">
        <v>1525.8135283363799</v>
      </c>
      <c r="V180" s="80">
        <v>1525.8135283363799</v>
      </c>
      <c r="W180" s="80">
        <v>1525.8135283363799</v>
      </c>
      <c r="X180" s="80">
        <v>1525.8135283363799</v>
      </c>
      <c r="Y180" s="80">
        <v>1525.8135283363799</v>
      </c>
      <c r="Z180" s="80">
        <v>1525.8135283363799</v>
      </c>
      <c r="AA180" s="80">
        <v>1525.8135283363799</v>
      </c>
      <c r="AB180" s="80">
        <v>1525.8135283363799</v>
      </c>
      <c r="AC180" s="80">
        <v>1525.8135283363799</v>
      </c>
      <c r="AD180" s="80">
        <v>1525.8135283363799</v>
      </c>
      <c r="AE180" s="80">
        <v>1525.8135283363799</v>
      </c>
      <c r="AF180" s="75">
        <f t="shared" ref="AF180:AO180" si="214">AE180</f>
        <v>1525.8135283363799</v>
      </c>
      <c r="AG180" s="75">
        <f t="shared" si="214"/>
        <v>1525.8135283363799</v>
      </c>
      <c r="AH180" s="75">
        <f t="shared" si="214"/>
        <v>1525.8135283363799</v>
      </c>
      <c r="AI180" s="75">
        <f t="shared" si="214"/>
        <v>1525.8135283363799</v>
      </c>
      <c r="AJ180" s="75">
        <f t="shared" si="214"/>
        <v>1525.8135283363799</v>
      </c>
      <c r="AK180" s="75">
        <f t="shared" si="214"/>
        <v>1525.8135283363799</v>
      </c>
      <c r="AL180" s="75">
        <f t="shared" si="214"/>
        <v>1525.8135283363799</v>
      </c>
      <c r="AM180" s="75">
        <f t="shared" si="214"/>
        <v>1525.8135283363799</v>
      </c>
      <c r="AN180" s="75">
        <f t="shared" si="214"/>
        <v>1525.8135283363799</v>
      </c>
      <c r="AO180" s="75">
        <f t="shared" si="214"/>
        <v>1525.8135283363799</v>
      </c>
    </row>
    <row r="181" spans="1:41" x14ac:dyDescent="0.35">
      <c r="A181" s="67" t="s">
        <v>52</v>
      </c>
      <c r="B181" s="72" t="s">
        <v>17</v>
      </c>
      <c r="C181" s="73" t="s">
        <v>35</v>
      </c>
      <c r="D181" s="73" t="s">
        <v>80</v>
      </c>
      <c r="E181" s="79">
        <v>64.680073126142602</v>
      </c>
      <c r="F181" s="79">
        <v>64.680073126142602</v>
      </c>
      <c r="G181" s="79">
        <v>64.680073126142602</v>
      </c>
      <c r="H181" s="79">
        <v>64.680073126142602</v>
      </c>
      <c r="I181" s="79">
        <v>64.680073126142602</v>
      </c>
      <c r="J181" s="79">
        <v>64.680073126142602</v>
      </c>
      <c r="K181" s="79">
        <v>64.680073126142602</v>
      </c>
      <c r="L181" s="79">
        <v>64.680073126142602</v>
      </c>
      <c r="M181" s="79">
        <v>64.680073126142602</v>
      </c>
      <c r="N181" s="79">
        <v>64.680073126142602</v>
      </c>
      <c r="O181" s="79">
        <v>64.680073126142602</v>
      </c>
      <c r="P181" s="79">
        <v>64.680073126142602</v>
      </c>
      <c r="Q181" s="79">
        <v>64.680073126142602</v>
      </c>
      <c r="R181" s="79">
        <v>64.680073126142602</v>
      </c>
      <c r="S181" s="79">
        <v>64.680073126142602</v>
      </c>
      <c r="T181" s="79">
        <v>64.680073126142602</v>
      </c>
      <c r="U181" s="79">
        <v>64.680073126142602</v>
      </c>
      <c r="V181" s="79">
        <v>64.680073126142602</v>
      </c>
      <c r="W181" s="79">
        <v>64.680073126142602</v>
      </c>
      <c r="X181" s="79">
        <v>64.680073126142602</v>
      </c>
      <c r="Y181" s="79">
        <v>64.680073126142602</v>
      </c>
      <c r="Z181" s="79">
        <v>64.680073126142602</v>
      </c>
      <c r="AA181" s="79">
        <v>64.680073126142602</v>
      </c>
      <c r="AB181" s="79">
        <v>64.680073126142602</v>
      </c>
      <c r="AC181" s="79">
        <v>64.680073126142602</v>
      </c>
      <c r="AD181" s="79">
        <v>64.680073126142602</v>
      </c>
      <c r="AE181" s="79">
        <v>64.680073126142602</v>
      </c>
      <c r="AF181" s="75">
        <f t="shared" ref="AF181:AO181" si="215">AE181</f>
        <v>64.680073126142602</v>
      </c>
      <c r="AG181" s="75">
        <f t="shared" si="215"/>
        <v>64.680073126142602</v>
      </c>
      <c r="AH181" s="75">
        <f t="shared" si="215"/>
        <v>64.680073126142602</v>
      </c>
      <c r="AI181" s="75">
        <f t="shared" si="215"/>
        <v>64.680073126142602</v>
      </c>
      <c r="AJ181" s="75">
        <f t="shared" si="215"/>
        <v>64.680073126142602</v>
      </c>
      <c r="AK181" s="75">
        <f t="shared" si="215"/>
        <v>64.680073126142602</v>
      </c>
      <c r="AL181" s="75">
        <f t="shared" si="215"/>
        <v>64.680073126142602</v>
      </c>
      <c r="AM181" s="75">
        <f t="shared" si="215"/>
        <v>64.680073126142602</v>
      </c>
      <c r="AN181" s="75">
        <f t="shared" si="215"/>
        <v>64.680073126142602</v>
      </c>
      <c r="AO181" s="75">
        <f t="shared" si="215"/>
        <v>64.680073126142602</v>
      </c>
    </row>
    <row r="182" spans="1:41" x14ac:dyDescent="0.35">
      <c r="A182" s="67" t="s">
        <v>52</v>
      </c>
      <c r="B182" s="68" t="s">
        <v>18</v>
      </c>
      <c r="C182" s="75" t="s">
        <v>35</v>
      </c>
      <c r="D182" s="75" t="s">
        <v>80</v>
      </c>
      <c r="E182" s="80">
        <v>64.680073126142602</v>
      </c>
      <c r="F182" s="80">
        <v>64.680073126142602</v>
      </c>
      <c r="G182" s="80">
        <v>64.680073126142602</v>
      </c>
      <c r="H182" s="80">
        <v>64.680073126142602</v>
      </c>
      <c r="I182" s="80">
        <v>64.680073126142602</v>
      </c>
      <c r="J182" s="80">
        <v>64.680073126142602</v>
      </c>
      <c r="K182" s="80">
        <v>64.680073126142602</v>
      </c>
      <c r="L182" s="80">
        <v>64.680073126142602</v>
      </c>
      <c r="M182" s="80">
        <v>64.680073126142602</v>
      </c>
      <c r="N182" s="80">
        <v>64.680073126142602</v>
      </c>
      <c r="O182" s="80">
        <v>64.680073126142602</v>
      </c>
      <c r="P182" s="80">
        <v>64.680073126142602</v>
      </c>
      <c r="Q182" s="80">
        <v>64.680073126142602</v>
      </c>
      <c r="R182" s="80">
        <v>64.680073126142602</v>
      </c>
      <c r="S182" s="80">
        <v>64.680073126142602</v>
      </c>
      <c r="T182" s="80">
        <v>64.680073126142602</v>
      </c>
      <c r="U182" s="80">
        <v>64.680073126142602</v>
      </c>
      <c r="V182" s="80">
        <v>64.680073126142602</v>
      </c>
      <c r="W182" s="80">
        <v>64.680073126142602</v>
      </c>
      <c r="X182" s="80">
        <v>64.680073126142602</v>
      </c>
      <c r="Y182" s="80">
        <v>64.680073126142602</v>
      </c>
      <c r="Z182" s="80">
        <v>64.680073126142602</v>
      </c>
      <c r="AA182" s="80">
        <v>64.680073126142602</v>
      </c>
      <c r="AB182" s="80">
        <v>64.680073126142602</v>
      </c>
      <c r="AC182" s="80">
        <v>64.680073126142602</v>
      </c>
      <c r="AD182" s="80">
        <v>64.680073126142602</v>
      </c>
      <c r="AE182" s="80">
        <v>64.680073126142602</v>
      </c>
      <c r="AF182" s="75">
        <f t="shared" ref="AF182:AO182" si="216">AE182</f>
        <v>64.680073126142602</v>
      </c>
      <c r="AG182" s="75">
        <f t="shared" si="216"/>
        <v>64.680073126142602</v>
      </c>
      <c r="AH182" s="75">
        <f t="shared" si="216"/>
        <v>64.680073126142602</v>
      </c>
      <c r="AI182" s="75">
        <f t="shared" si="216"/>
        <v>64.680073126142602</v>
      </c>
      <c r="AJ182" s="75">
        <f t="shared" si="216"/>
        <v>64.680073126142602</v>
      </c>
      <c r="AK182" s="75">
        <f t="shared" si="216"/>
        <v>64.680073126142602</v>
      </c>
      <c r="AL182" s="75">
        <f t="shared" si="216"/>
        <v>64.680073126142602</v>
      </c>
      <c r="AM182" s="75">
        <f t="shared" si="216"/>
        <v>64.680073126142602</v>
      </c>
      <c r="AN182" s="75">
        <f t="shared" si="216"/>
        <v>64.680073126142602</v>
      </c>
      <c r="AO182" s="75">
        <f t="shared" si="216"/>
        <v>64.680073126142602</v>
      </c>
    </row>
    <row r="183" spans="1:41" x14ac:dyDescent="0.35">
      <c r="A183" s="67" t="s">
        <v>52</v>
      </c>
      <c r="B183" s="72" t="s">
        <v>19</v>
      </c>
      <c r="C183" s="73" t="s">
        <v>35</v>
      </c>
      <c r="D183" s="73" t="s">
        <v>80</v>
      </c>
      <c r="E183" s="79">
        <v>64.680073126142602</v>
      </c>
      <c r="F183" s="79">
        <v>64.680073126142602</v>
      </c>
      <c r="G183" s="79">
        <v>64.680073126142602</v>
      </c>
      <c r="H183" s="79">
        <v>64.680073126142602</v>
      </c>
      <c r="I183" s="79">
        <v>64.680073126142602</v>
      </c>
      <c r="J183" s="79">
        <v>64.680073126142602</v>
      </c>
      <c r="K183" s="79">
        <v>64.680073126142602</v>
      </c>
      <c r="L183" s="79">
        <v>64.680073126142602</v>
      </c>
      <c r="M183" s="79">
        <v>64.680073126142602</v>
      </c>
      <c r="N183" s="79">
        <v>64.680073126142602</v>
      </c>
      <c r="O183" s="79">
        <v>64.680073126142602</v>
      </c>
      <c r="P183" s="79">
        <v>64.680073126142602</v>
      </c>
      <c r="Q183" s="79">
        <v>64.680073126142602</v>
      </c>
      <c r="R183" s="79">
        <v>64.680073126142602</v>
      </c>
      <c r="S183" s="79">
        <v>64.680073126142602</v>
      </c>
      <c r="T183" s="79">
        <v>64.680073126142602</v>
      </c>
      <c r="U183" s="79">
        <v>64.680073126142602</v>
      </c>
      <c r="V183" s="79">
        <v>64.680073126142602</v>
      </c>
      <c r="W183" s="79">
        <v>64.680073126142602</v>
      </c>
      <c r="X183" s="79">
        <v>64.680073126142602</v>
      </c>
      <c r="Y183" s="79">
        <v>64.680073126142602</v>
      </c>
      <c r="Z183" s="79">
        <v>64.680073126142602</v>
      </c>
      <c r="AA183" s="79">
        <v>64.680073126142602</v>
      </c>
      <c r="AB183" s="79">
        <v>64.680073126142602</v>
      </c>
      <c r="AC183" s="79">
        <v>64.680073126142602</v>
      </c>
      <c r="AD183" s="79">
        <v>64.680073126142602</v>
      </c>
      <c r="AE183" s="79">
        <v>64.680073126142602</v>
      </c>
      <c r="AF183" s="75">
        <f t="shared" ref="AF183:AO183" si="217">AE183</f>
        <v>64.680073126142602</v>
      </c>
      <c r="AG183" s="75">
        <f t="shared" si="217"/>
        <v>64.680073126142602</v>
      </c>
      <c r="AH183" s="75">
        <f t="shared" si="217"/>
        <v>64.680073126142602</v>
      </c>
      <c r="AI183" s="75">
        <f t="shared" si="217"/>
        <v>64.680073126142602</v>
      </c>
      <c r="AJ183" s="75">
        <f t="shared" si="217"/>
        <v>64.680073126142602</v>
      </c>
      <c r="AK183" s="75">
        <f t="shared" si="217"/>
        <v>64.680073126142602</v>
      </c>
      <c r="AL183" s="75">
        <f t="shared" si="217"/>
        <v>64.680073126142602</v>
      </c>
      <c r="AM183" s="75">
        <f t="shared" si="217"/>
        <v>64.680073126142602</v>
      </c>
      <c r="AN183" s="75">
        <f t="shared" si="217"/>
        <v>64.680073126142602</v>
      </c>
      <c r="AO183" s="75">
        <f t="shared" si="217"/>
        <v>64.680073126142602</v>
      </c>
    </row>
    <row r="184" spans="1:41" x14ac:dyDescent="0.35">
      <c r="A184" s="67" t="s">
        <v>52</v>
      </c>
      <c r="B184" s="68" t="s">
        <v>20</v>
      </c>
      <c r="C184" s="75" t="s">
        <v>35</v>
      </c>
      <c r="D184" s="75" t="s">
        <v>80</v>
      </c>
      <c r="E184" s="80">
        <v>64.680073126142602</v>
      </c>
      <c r="F184" s="80">
        <v>64.680073126142602</v>
      </c>
      <c r="G184" s="80">
        <v>64.680073126142602</v>
      </c>
      <c r="H184" s="80">
        <v>64.680073126142602</v>
      </c>
      <c r="I184" s="80">
        <v>64.680073126142602</v>
      </c>
      <c r="J184" s="80">
        <v>64.680073126142602</v>
      </c>
      <c r="K184" s="80">
        <v>64.680073126142602</v>
      </c>
      <c r="L184" s="80">
        <v>64.680073126142602</v>
      </c>
      <c r="M184" s="80">
        <v>64.680073126142602</v>
      </c>
      <c r="N184" s="80">
        <v>64.680073126142602</v>
      </c>
      <c r="O184" s="80">
        <v>64.680073126142602</v>
      </c>
      <c r="P184" s="80">
        <v>64.680073126142602</v>
      </c>
      <c r="Q184" s="80">
        <v>64.680073126142602</v>
      </c>
      <c r="R184" s="80">
        <v>64.680073126142602</v>
      </c>
      <c r="S184" s="80">
        <v>64.680073126142602</v>
      </c>
      <c r="T184" s="80">
        <v>64.680073126142602</v>
      </c>
      <c r="U184" s="80">
        <v>64.680073126142602</v>
      </c>
      <c r="V184" s="80">
        <v>64.680073126142602</v>
      </c>
      <c r="W184" s="80">
        <v>64.680073126142602</v>
      </c>
      <c r="X184" s="80">
        <v>64.680073126142602</v>
      </c>
      <c r="Y184" s="80">
        <v>64.680073126142602</v>
      </c>
      <c r="Z184" s="80">
        <v>64.680073126142602</v>
      </c>
      <c r="AA184" s="80">
        <v>64.680073126142602</v>
      </c>
      <c r="AB184" s="80">
        <v>64.680073126142602</v>
      </c>
      <c r="AC184" s="80">
        <v>64.680073126142602</v>
      </c>
      <c r="AD184" s="80">
        <v>64.680073126142602</v>
      </c>
      <c r="AE184" s="80">
        <v>64.680073126142602</v>
      </c>
      <c r="AF184" s="75">
        <f t="shared" ref="AF184:AO184" si="218">AE184</f>
        <v>64.680073126142602</v>
      </c>
      <c r="AG184" s="75">
        <f t="shared" si="218"/>
        <v>64.680073126142602</v>
      </c>
      <c r="AH184" s="75">
        <f t="shared" si="218"/>
        <v>64.680073126142602</v>
      </c>
      <c r="AI184" s="75">
        <f t="shared" si="218"/>
        <v>64.680073126142602</v>
      </c>
      <c r="AJ184" s="75">
        <f t="shared" si="218"/>
        <v>64.680073126142602</v>
      </c>
      <c r="AK184" s="75">
        <f t="shared" si="218"/>
        <v>64.680073126142602</v>
      </c>
      <c r="AL184" s="75">
        <f t="shared" si="218"/>
        <v>64.680073126142602</v>
      </c>
      <c r="AM184" s="75">
        <f t="shared" si="218"/>
        <v>64.680073126142602</v>
      </c>
      <c r="AN184" s="75">
        <f t="shared" si="218"/>
        <v>64.680073126142602</v>
      </c>
      <c r="AO184" s="75">
        <f t="shared" si="218"/>
        <v>64.680073126142602</v>
      </c>
    </row>
    <row r="185" spans="1:41" x14ac:dyDescent="0.35">
      <c r="A185" s="67" t="s">
        <v>52</v>
      </c>
      <c r="B185" s="72" t="s">
        <v>21</v>
      </c>
      <c r="C185" s="73" t="s">
        <v>35</v>
      </c>
      <c r="D185" s="73" t="s">
        <v>80</v>
      </c>
      <c r="E185" s="79">
        <v>64.680073126142602</v>
      </c>
      <c r="F185" s="79">
        <v>64.680073126142602</v>
      </c>
      <c r="G185" s="79">
        <v>64.680073126142602</v>
      </c>
      <c r="H185" s="79">
        <v>64.680073126142602</v>
      </c>
      <c r="I185" s="79">
        <v>64.680073126142602</v>
      </c>
      <c r="J185" s="79">
        <v>64.680073126142602</v>
      </c>
      <c r="K185" s="79">
        <v>64.680073126142602</v>
      </c>
      <c r="L185" s="79">
        <v>64.680073126142602</v>
      </c>
      <c r="M185" s="79">
        <v>64.680073126142602</v>
      </c>
      <c r="N185" s="79">
        <v>64.680073126142602</v>
      </c>
      <c r="O185" s="79">
        <v>64.680073126142602</v>
      </c>
      <c r="P185" s="79">
        <v>64.680073126142602</v>
      </c>
      <c r="Q185" s="79">
        <v>64.680073126142602</v>
      </c>
      <c r="R185" s="79">
        <v>64.680073126142602</v>
      </c>
      <c r="S185" s="79">
        <v>64.680073126142602</v>
      </c>
      <c r="T185" s="79">
        <v>64.680073126142602</v>
      </c>
      <c r="U185" s="79">
        <v>64.680073126142602</v>
      </c>
      <c r="V185" s="79">
        <v>64.680073126142602</v>
      </c>
      <c r="W185" s="79">
        <v>64.680073126142602</v>
      </c>
      <c r="X185" s="79">
        <v>64.680073126142602</v>
      </c>
      <c r="Y185" s="79">
        <v>64.680073126142602</v>
      </c>
      <c r="Z185" s="79">
        <v>64.680073126142602</v>
      </c>
      <c r="AA185" s="79">
        <v>64.680073126142602</v>
      </c>
      <c r="AB185" s="79">
        <v>64.680073126142602</v>
      </c>
      <c r="AC185" s="79">
        <v>64.680073126142602</v>
      </c>
      <c r="AD185" s="79">
        <v>64.680073126142602</v>
      </c>
      <c r="AE185" s="79">
        <v>64.680073126142602</v>
      </c>
      <c r="AF185" s="75">
        <f t="shared" ref="AF185:AO185" si="219">AE185</f>
        <v>64.680073126142602</v>
      </c>
      <c r="AG185" s="75">
        <f t="shared" si="219"/>
        <v>64.680073126142602</v>
      </c>
      <c r="AH185" s="75">
        <f t="shared" si="219"/>
        <v>64.680073126142602</v>
      </c>
      <c r="AI185" s="75">
        <f t="shared" si="219"/>
        <v>64.680073126142602</v>
      </c>
      <c r="AJ185" s="75">
        <f t="shared" si="219"/>
        <v>64.680073126142602</v>
      </c>
      <c r="AK185" s="75">
        <f t="shared" si="219"/>
        <v>64.680073126142602</v>
      </c>
      <c r="AL185" s="75">
        <f t="shared" si="219"/>
        <v>64.680073126142602</v>
      </c>
      <c r="AM185" s="75">
        <f t="shared" si="219"/>
        <v>64.680073126142602</v>
      </c>
      <c r="AN185" s="75">
        <f t="shared" si="219"/>
        <v>64.680073126142602</v>
      </c>
      <c r="AO185" s="75">
        <f t="shared" si="219"/>
        <v>64.680073126142602</v>
      </c>
    </row>
    <row r="186" spans="1:41" x14ac:dyDescent="0.35">
      <c r="A186" s="67" t="s">
        <v>52</v>
      </c>
      <c r="B186" s="68" t="s">
        <v>22</v>
      </c>
      <c r="C186" s="75" t="s">
        <v>35</v>
      </c>
      <c r="D186" s="75" t="s">
        <v>80</v>
      </c>
      <c r="E186" s="80">
        <v>64.680073126142602</v>
      </c>
      <c r="F186" s="80">
        <v>64.680073126142602</v>
      </c>
      <c r="G186" s="80">
        <v>64.680073126142602</v>
      </c>
      <c r="H186" s="80">
        <v>64.680073126142602</v>
      </c>
      <c r="I186" s="80">
        <v>64.680073126142602</v>
      </c>
      <c r="J186" s="80">
        <v>64.680073126142602</v>
      </c>
      <c r="K186" s="80">
        <v>64.680073126142602</v>
      </c>
      <c r="L186" s="80">
        <v>64.680073126142602</v>
      </c>
      <c r="M186" s="80">
        <v>64.680073126142602</v>
      </c>
      <c r="N186" s="80">
        <v>64.680073126142602</v>
      </c>
      <c r="O186" s="80">
        <v>64.680073126142602</v>
      </c>
      <c r="P186" s="80">
        <v>64.680073126142602</v>
      </c>
      <c r="Q186" s="80">
        <v>64.680073126142602</v>
      </c>
      <c r="R186" s="80">
        <v>64.680073126142602</v>
      </c>
      <c r="S186" s="80">
        <v>64.680073126142602</v>
      </c>
      <c r="T186" s="80">
        <v>64.680073126142602</v>
      </c>
      <c r="U186" s="80">
        <v>64.680073126142602</v>
      </c>
      <c r="V186" s="80">
        <v>64.680073126142602</v>
      </c>
      <c r="W186" s="80">
        <v>64.680073126142602</v>
      </c>
      <c r="X186" s="80">
        <v>64.680073126142602</v>
      </c>
      <c r="Y186" s="80">
        <v>64.680073126142602</v>
      </c>
      <c r="Z186" s="80">
        <v>64.680073126142602</v>
      </c>
      <c r="AA186" s="80">
        <v>64.680073126142602</v>
      </c>
      <c r="AB186" s="80">
        <v>64.680073126142602</v>
      </c>
      <c r="AC186" s="80">
        <v>64.680073126142602</v>
      </c>
      <c r="AD186" s="80">
        <v>64.680073126142602</v>
      </c>
      <c r="AE186" s="80">
        <v>64.680073126142602</v>
      </c>
      <c r="AF186" s="75">
        <f t="shared" ref="AF186:AO186" si="220">AE186</f>
        <v>64.680073126142602</v>
      </c>
      <c r="AG186" s="75">
        <f t="shared" si="220"/>
        <v>64.680073126142602</v>
      </c>
      <c r="AH186" s="75">
        <f t="shared" si="220"/>
        <v>64.680073126142602</v>
      </c>
      <c r="AI186" s="75">
        <f t="shared" si="220"/>
        <v>64.680073126142602</v>
      </c>
      <c r="AJ186" s="75">
        <f t="shared" si="220"/>
        <v>64.680073126142602</v>
      </c>
      <c r="AK186" s="75">
        <f t="shared" si="220"/>
        <v>64.680073126142602</v>
      </c>
      <c r="AL186" s="75">
        <f t="shared" si="220"/>
        <v>64.680073126142602</v>
      </c>
      <c r="AM186" s="75">
        <f t="shared" si="220"/>
        <v>64.680073126142602</v>
      </c>
      <c r="AN186" s="75">
        <f t="shared" si="220"/>
        <v>64.680073126142602</v>
      </c>
      <c r="AO186" s="75">
        <f t="shared" si="220"/>
        <v>64.680073126142602</v>
      </c>
    </row>
    <row r="187" spans="1:41" x14ac:dyDescent="0.35">
      <c r="A187" s="67" t="s">
        <v>52</v>
      </c>
      <c r="B187" s="72" t="s">
        <v>30</v>
      </c>
      <c r="C187" s="73" t="s">
        <v>35</v>
      </c>
      <c r="D187" s="73" t="s">
        <v>79</v>
      </c>
      <c r="E187" s="79">
        <v>3</v>
      </c>
      <c r="F187" s="79">
        <v>3</v>
      </c>
      <c r="G187" s="79">
        <v>3</v>
      </c>
      <c r="H187" s="79">
        <v>3</v>
      </c>
      <c r="I187" s="79">
        <v>3</v>
      </c>
      <c r="J187" s="79">
        <v>3</v>
      </c>
      <c r="K187" s="79">
        <v>3</v>
      </c>
      <c r="L187" s="79">
        <v>3</v>
      </c>
      <c r="M187" s="79">
        <v>3</v>
      </c>
      <c r="N187" s="79">
        <v>3</v>
      </c>
      <c r="O187" s="79">
        <v>3</v>
      </c>
      <c r="P187" s="79">
        <v>3</v>
      </c>
      <c r="Q187" s="79">
        <v>3</v>
      </c>
      <c r="R187" s="79">
        <v>3</v>
      </c>
      <c r="S187" s="79">
        <v>3</v>
      </c>
      <c r="T187" s="79">
        <v>3</v>
      </c>
      <c r="U187" s="79">
        <v>3</v>
      </c>
      <c r="V187" s="79">
        <v>3</v>
      </c>
      <c r="W187" s="79">
        <v>3</v>
      </c>
      <c r="X187" s="79">
        <v>3</v>
      </c>
      <c r="Y187" s="79">
        <v>3</v>
      </c>
      <c r="Z187" s="79">
        <v>3</v>
      </c>
      <c r="AA187" s="79">
        <v>3</v>
      </c>
      <c r="AB187" s="79">
        <v>3</v>
      </c>
      <c r="AC187" s="79">
        <v>3</v>
      </c>
      <c r="AD187" s="79">
        <v>3</v>
      </c>
      <c r="AE187" s="79">
        <v>3</v>
      </c>
      <c r="AF187" s="75">
        <f t="shared" ref="AF187:AO187" si="221">AE187</f>
        <v>3</v>
      </c>
      <c r="AG187" s="75">
        <f t="shared" si="221"/>
        <v>3</v>
      </c>
      <c r="AH187" s="75">
        <f t="shared" si="221"/>
        <v>3</v>
      </c>
      <c r="AI187" s="75">
        <f t="shared" si="221"/>
        <v>3</v>
      </c>
      <c r="AJ187" s="75">
        <f t="shared" si="221"/>
        <v>3</v>
      </c>
      <c r="AK187" s="75">
        <f t="shared" si="221"/>
        <v>3</v>
      </c>
      <c r="AL187" s="75">
        <f t="shared" si="221"/>
        <v>3</v>
      </c>
      <c r="AM187" s="75">
        <f t="shared" si="221"/>
        <v>3</v>
      </c>
      <c r="AN187" s="75">
        <f t="shared" si="221"/>
        <v>3</v>
      </c>
      <c r="AO187" s="75">
        <f t="shared" si="221"/>
        <v>3</v>
      </c>
    </row>
    <row r="188" spans="1:41" x14ac:dyDescent="0.35">
      <c r="A188" s="67" t="s">
        <v>52</v>
      </c>
      <c r="B188" s="68" t="s">
        <v>32</v>
      </c>
      <c r="C188" s="75" t="s">
        <v>35</v>
      </c>
      <c r="D188" s="75" t="s">
        <v>79</v>
      </c>
      <c r="E188" s="80">
        <v>3</v>
      </c>
      <c r="F188" s="80">
        <v>3</v>
      </c>
      <c r="G188" s="80">
        <v>3</v>
      </c>
      <c r="H188" s="80">
        <v>3</v>
      </c>
      <c r="I188" s="80">
        <v>3</v>
      </c>
      <c r="J188" s="80">
        <v>3</v>
      </c>
      <c r="K188" s="80">
        <v>3</v>
      </c>
      <c r="L188" s="80">
        <v>3</v>
      </c>
      <c r="M188" s="80">
        <v>3</v>
      </c>
      <c r="N188" s="80">
        <v>3</v>
      </c>
      <c r="O188" s="80">
        <v>3</v>
      </c>
      <c r="P188" s="80">
        <v>3</v>
      </c>
      <c r="Q188" s="80">
        <v>3</v>
      </c>
      <c r="R188" s="80">
        <v>3</v>
      </c>
      <c r="S188" s="80">
        <v>3</v>
      </c>
      <c r="T188" s="80">
        <v>3</v>
      </c>
      <c r="U188" s="80">
        <v>3</v>
      </c>
      <c r="V188" s="80">
        <v>3</v>
      </c>
      <c r="W188" s="80">
        <v>3</v>
      </c>
      <c r="X188" s="80">
        <v>3</v>
      </c>
      <c r="Y188" s="80">
        <v>3</v>
      </c>
      <c r="Z188" s="80">
        <v>3</v>
      </c>
      <c r="AA188" s="80">
        <v>3</v>
      </c>
      <c r="AB188" s="80">
        <v>3</v>
      </c>
      <c r="AC188" s="80">
        <v>3</v>
      </c>
      <c r="AD188" s="80">
        <v>3</v>
      </c>
      <c r="AE188" s="80">
        <v>3</v>
      </c>
      <c r="AF188" s="75">
        <f t="shared" ref="AF188:AO188" si="222">AE188</f>
        <v>3</v>
      </c>
      <c r="AG188" s="75">
        <f t="shared" si="222"/>
        <v>3</v>
      </c>
      <c r="AH188" s="75">
        <f t="shared" si="222"/>
        <v>3</v>
      </c>
      <c r="AI188" s="75">
        <f t="shared" si="222"/>
        <v>3</v>
      </c>
      <c r="AJ188" s="75">
        <f t="shared" si="222"/>
        <v>3</v>
      </c>
      <c r="AK188" s="75">
        <f t="shared" si="222"/>
        <v>3</v>
      </c>
      <c r="AL188" s="75">
        <f t="shared" si="222"/>
        <v>3</v>
      </c>
      <c r="AM188" s="75">
        <f t="shared" si="222"/>
        <v>3</v>
      </c>
      <c r="AN188" s="75">
        <f t="shared" si="222"/>
        <v>3</v>
      </c>
      <c r="AO188" s="75">
        <f t="shared" si="222"/>
        <v>3</v>
      </c>
    </row>
    <row r="189" spans="1:41" x14ac:dyDescent="0.35">
      <c r="A189" s="67" t="s">
        <v>52</v>
      </c>
      <c r="B189" s="72" t="s">
        <v>33</v>
      </c>
      <c r="C189" s="73" t="s">
        <v>35</v>
      </c>
      <c r="D189" s="73" t="s">
        <v>79</v>
      </c>
      <c r="E189" s="79">
        <v>3</v>
      </c>
      <c r="F189" s="79">
        <v>3</v>
      </c>
      <c r="G189" s="79">
        <v>3</v>
      </c>
      <c r="H189" s="79">
        <v>3</v>
      </c>
      <c r="I189" s="79">
        <v>3</v>
      </c>
      <c r="J189" s="79">
        <v>3</v>
      </c>
      <c r="K189" s="79">
        <v>3</v>
      </c>
      <c r="L189" s="79">
        <v>3</v>
      </c>
      <c r="M189" s="79">
        <v>3</v>
      </c>
      <c r="N189" s="79">
        <v>3</v>
      </c>
      <c r="O189" s="79">
        <v>3</v>
      </c>
      <c r="P189" s="79">
        <v>3</v>
      </c>
      <c r="Q189" s="79">
        <v>3</v>
      </c>
      <c r="R189" s="79">
        <v>3</v>
      </c>
      <c r="S189" s="79">
        <v>3</v>
      </c>
      <c r="T189" s="79">
        <v>3</v>
      </c>
      <c r="U189" s="79">
        <v>3</v>
      </c>
      <c r="V189" s="79">
        <v>3</v>
      </c>
      <c r="W189" s="79">
        <v>3</v>
      </c>
      <c r="X189" s="79">
        <v>3</v>
      </c>
      <c r="Y189" s="79">
        <v>3</v>
      </c>
      <c r="Z189" s="79">
        <v>3</v>
      </c>
      <c r="AA189" s="79">
        <v>3</v>
      </c>
      <c r="AB189" s="79">
        <v>3</v>
      </c>
      <c r="AC189" s="79">
        <v>3</v>
      </c>
      <c r="AD189" s="79">
        <v>3</v>
      </c>
      <c r="AE189" s="79">
        <v>3</v>
      </c>
      <c r="AF189" s="75">
        <f t="shared" ref="AF189:AO189" si="223">AE189</f>
        <v>3</v>
      </c>
      <c r="AG189" s="75">
        <f t="shared" si="223"/>
        <v>3</v>
      </c>
      <c r="AH189" s="75">
        <f t="shared" si="223"/>
        <v>3</v>
      </c>
      <c r="AI189" s="75">
        <f t="shared" si="223"/>
        <v>3</v>
      </c>
      <c r="AJ189" s="75">
        <f t="shared" si="223"/>
        <v>3</v>
      </c>
      <c r="AK189" s="75">
        <f t="shared" si="223"/>
        <v>3</v>
      </c>
      <c r="AL189" s="75">
        <f t="shared" si="223"/>
        <v>3</v>
      </c>
      <c r="AM189" s="75">
        <f t="shared" si="223"/>
        <v>3</v>
      </c>
      <c r="AN189" s="75">
        <f t="shared" si="223"/>
        <v>3</v>
      </c>
      <c r="AO189" s="75">
        <f t="shared" si="223"/>
        <v>3</v>
      </c>
    </row>
    <row r="190" spans="1:41" x14ac:dyDescent="0.35">
      <c r="A190" s="67" t="s">
        <v>52</v>
      </c>
      <c r="B190" s="68" t="s">
        <v>13</v>
      </c>
      <c r="C190" s="75" t="s">
        <v>35</v>
      </c>
      <c r="D190" s="75" t="s">
        <v>79</v>
      </c>
      <c r="E190" s="80">
        <v>2</v>
      </c>
      <c r="F190" s="80">
        <v>2</v>
      </c>
      <c r="G190" s="80">
        <v>2</v>
      </c>
      <c r="H190" s="80">
        <v>2</v>
      </c>
      <c r="I190" s="80">
        <v>2</v>
      </c>
      <c r="J190" s="80">
        <v>2</v>
      </c>
      <c r="K190" s="80">
        <v>2</v>
      </c>
      <c r="L190" s="80">
        <v>2</v>
      </c>
      <c r="M190" s="80">
        <v>2</v>
      </c>
      <c r="N190" s="80">
        <v>2</v>
      </c>
      <c r="O190" s="80">
        <v>2</v>
      </c>
      <c r="P190" s="80">
        <v>2</v>
      </c>
      <c r="Q190" s="80">
        <v>2</v>
      </c>
      <c r="R190" s="80">
        <v>2</v>
      </c>
      <c r="S190" s="80">
        <v>2</v>
      </c>
      <c r="T190" s="80">
        <v>2</v>
      </c>
      <c r="U190" s="80">
        <v>2</v>
      </c>
      <c r="V190" s="80">
        <v>2</v>
      </c>
      <c r="W190" s="80">
        <v>2</v>
      </c>
      <c r="X190" s="80">
        <v>2</v>
      </c>
      <c r="Y190" s="80">
        <v>2</v>
      </c>
      <c r="Z190" s="80">
        <v>2</v>
      </c>
      <c r="AA190" s="80">
        <v>2</v>
      </c>
      <c r="AB190" s="80">
        <v>2</v>
      </c>
      <c r="AC190" s="80">
        <v>2</v>
      </c>
      <c r="AD190" s="80">
        <v>2</v>
      </c>
      <c r="AE190" s="80">
        <v>2</v>
      </c>
      <c r="AF190" s="75">
        <f t="shared" ref="AF190:AO190" si="224">AE190</f>
        <v>2</v>
      </c>
      <c r="AG190" s="75">
        <f t="shared" si="224"/>
        <v>2</v>
      </c>
      <c r="AH190" s="75">
        <f t="shared" si="224"/>
        <v>2</v>
      </c>
      <c r="AI190" s="75">
        <f t="shared" si="224"/>
        <v>2</v>
      </c>
      <c r="AJ190" s="75">
        <f t="shared" si="224"/>
        <v>2</v>
      </c>
      <c r="AK190" s="75">
        <f t="shared" si="224"/>
        <v>2</v>
      </c>
      <c r="AL190" s="75">
        <f t="shared" si="224"/>
        <v>2</v>
      </c>
      <c r="AM190" s="75">
        <f t="shared" si="224"/>
        <v>2</v>
      </c>
      <c r="AN190" s="75">
        <f t="shared" si="224"/>
        <v>2</v>
      </c>
      <c r="AO190" s="75">
        <f t="shared" si="224"/>
        <v>2</v>
      </c>
    </row>
    <row r="191" spans="1:41" x14ac:dyDescent="0.35">
      <c r="A191" s="67" t="s">
        <v>52</v>
      </c>
      <c r="B191" s="72" t="s">
        <v>14</v>
      </c>
      <c r="C191" s="73" t="s">
        <v>35</v>
      </c>
      <c r="D191" s="73" t="s">
        <v>79</v>
      </c>
      <c r="E191" s="79">
        <v>2</v>
      </c>
      <c r="F191" s="79">
        <v>2</v>
      </c>
      <c r="G191" s="79">
        <v>2</v>
      </c>
      <c r="H191" s="79">
        <v>2</v>
      </c>
      <c r="I191" s="79">
        <v>2</v>
      </c>
      <c r="J191" s="79">
        <v>2</v>
      </c>
      <c r="K191" s="79">
        <v>2</v>
      </c>
      <c r="L191" s="79">
        <v>2</v>
      </c>
      <c r="M191" s="79">
        <v>2</v>
      </c>
      <c r="N191" s="79">
        <v>2</v>
      </c>
      <c r="O191" s="79">
        <v>2</v>
      </c>
      <c r="P191" s="79">
        <v>2</v>
      </c>
      <c r="Q191" s="79">
        <v>2</v>
      </c>
      <c r="R191" s="79">
        <v>2</v>
      </c>
      <c r="S191" s="79">
        <v>2</v>
      </c>
      <c r="T191" s="79">
        <v>2</v>
      </c>
      <c r="U191" s="79">
        <v>2</v>
      </c>
      <c r="V191" s="79">
        <v>2</v>
      </c>
      <c r="W191" s="79">
        <v>2</v>
      </c>
      <c r="X191" s="79">
        <v>2</v>
      </c>
      <c r="Y191" s="79">
        <v>2</v>
      </c>
      <c r="Z191" s="79">
        <v>2</v>
      </c>
      <c r="AA191" s="79">
        <v>2</v>
      </c>
      <c r="AB191" s="79">
        <v>2</v>
      </c>
      <c r="AC191" s="79">
        <v>2</v>
      </c>
      <c r="AD191" s="79">
        <v>2</v>
      </c>
      <c r="AE191" s="79">
        <v>2</v>
      </c>
      <c r="AF191" s="75">
        <f t="shared" ref="AF191:AO191" si="225">AE191</f>
        <v>2</v>
      </c>
      <c r="AG191" s="75">
        <f t="shared" si="225"/>
        <v>2</v>
      </c>
      <c r="AH191" s="75">
        <f t="shared" si="225"/>
        <v>2</v>
      </c>
      <c r="AI191" s="75">
        <f t="shared" si="225"/>
        <v>2</v>
      </c>
      <c r="AJ191" s="75">
        <f t="shared" si="225"/>
        <v>2</v>
      </c>
      <c r="AK191" s="75">
        <f t="shared" si="225"/>
        <v>2</v>
      </c>
      <c r="AL191" s="75">
        <f t="shared" si="225"/>
        <v>2</v>
      </c>
      <c r="AM191" s="75">
        <f t="shared" si="225"/>
        <v>2</v>
      </c>
      <c r="AN191" s="75">
        <f t="shared" si="225"/>
        <v>2</v>
      </c>
      <c r="AO191" s="75">
        <f t="shared" si="225"/>
        <v>2</v>
      </c>
    </row>
    <row r="192" spans="1:41" x14ac:dyDescent="0.35">
      <c r="A192" s="67" t="s">
        <v>52</v>
      </c>
      <c r="B192" s="68" t="s">
        <v>10</v>
      </c>
      <c r="C192" s="75" t="s">
        <v>35</v>
      </c>
      <c r="D192" s="75" t="s">
        <v>79</v>
      </c>
      <c r="E192" s="80">
        <v>2</v>
      </c>
      <c r="F192" s="80">
        <v>2</v>
      </c>
      <c r="G192" s="80">
        <v>2</v>
      </c>
      <c r="H192" s="80">
        <v>2</v>
      </c>
      <c r="I192" s="80">
        <v>2</v>
      </c>
      <c r="J192" s="80">
        <v>2</v>
      </c>
      <c r="K192" s="80">
        <v>2</v>
      </c>
      <c r="L192" s="80">
        <v>2</v>
      </c>
      <c r="M192" s="80">
        <v>2</v>
      </c>
      <c r="N192" s="80">
        <v>2</v>
      </c>
      <c r="O192" s="80">
        <v>2</v>
      </c>
      <c r="P192" s="80">
        <v>2</v>
      </c>
      <c r="Q192" s="80">
        <v>2</v>
      </c>
      <c r="R192" s="80">
        <v>2</v>
      </c>
      <c r="S192" s="80">
        <v>2</v>
      </c>
      <c r="T192" s="80">
        <v>2</v>
      </c>
      <c r="U192" s="80">
        <v>2</v>
      </c>
      <c r="V192" s="80">
        <v>2</v>
      </c>
      <c r="W192" s="80">
        <v>2</v>
      </c>
      <c r="X192" s="80">
        <v>2</v>
      </c>
      <c r="Y192" s="80">
        <v>2</v>
      </c>
      <c r="Z192" s="80">
        <v>2</v>
      </c>
      <c r="AA192" s="80">
        <v>2</v>
      </c>
      <c r="AB192" s="80">
        <v>2</v>
      </c>
      <c r="AC192" s="80">
        <v>2</v>
      </c>
      <c r="AD192" s="80">
        <v>2</v>
      </c>
      <c r="AE192" s="80">
        <v>2</v>
      </c>
      <c r="AF192" s="75">
        <f t="shared" ref="AF192:AO192" si="226">AE192</f>
        <v>2</v>
      </c>
      <c r="AG192" s="75">
        <f t="shared" si="226"/>
        <v>2</v>
      </c>
      <c r="AH192" s="75">
        <f t="shared" si="226"/>
        <v>2</v>
      </c>
      <c r="AI192" s="75">
        <f t="shared" si="226"/>
        <v>2</v>
      </c>
      <c r="AJ192" s="75">
        <f t="shared" si="226"/>
        <v>2</v>
      </c>
      <c r="AK192" s="75">
        <f t="shared" si="226"/>
        <v>2</v>
      </c>
      <c r="AL192" s="75">
        <f t="shared" si="226"/>
        <v>2</v>
      </c>
      <c r="AM192" s="75">
        <f t="shared" si="226"/>
        <v>2</v>
      </c>
      <c r="AN192" s="75">
        <f t="shared" si="226"/>
        <v>2</v>
      </c>
      <c r="AO192" s="75">
        <f t="shared" si="226"/>
        <v>2</v>
      </c>
    </row>
    <row r="193" spans="1:41" x14ac:dyDescent="0.35">
      <c r="A193" s="67" t="s">
        <v>52</v>
      </c>
      <c r="B193" s="72" t="s">
        <v>8</v>
      </c>
      <c r="C193" s="73" t="s">
        <v>35</v>
      </c>
      <c r="D193" s="73" t="s">
        <v>79</v>
      </c>
      <c r="E193" s="79">
        <v>2</v>
      </c>
      <c r="F193" s="79">
        <v>2</v>
      </c>
      <c r="G193" s="79">
        <v>2</v>
      </c>
      <c r="H193" s="79">
        <v>2</v>
      </c>
      <c r="I193" s="79">
        <v>2</v>
      </c>
      <c r="J193" s="79">
        <v>2</v>
      </c>
      <c r="K193" s="79">
        <v>2</v>
      </c>
      <c r="L193" s="79">
        <v>2</v>
      </c>
      <c r="M193" s="79">
        <v>2</v>
      </c>
      <c r="N193" s="79">
        <v>2</v>
      </c>
      <c r="O193" s="79">
        <v>2</v>
      </c>
      <c r="P193" s="79">
        <v>2</v>
      </c>
      <c r="Q193" s="79">
        <v>2</v>
      </c>
      <c r="R193" s="79">
        <v>2</v>
      </c>
      <c r="S193" s="79">
        <v>2</v>
      </c>
      <c r="T193" s="79">
        <v>2</v>
      </c>
      <c r="U193" s="79">
        <v>2</v>
      </c>
      <c r="V193" s="79">
        <v>2</v>
      </c>
      <c r="W193" s="79">
        <v>2</v>
      </c>
      <c r="X193" s="79">
        <v>2</v>
      </c>
      <c r="Y193" s="79">
        <v>2</v>
      </c>
      <c r="Z193" s="79">
        <v>2</v>
      </c>
      <c r="AA193" s="79">
        <v>2</v>
      </c>
      <c r="AB193" s="79">
        <v>2</v>
      </c>
      <c r="AC193" s="79">
        <v>2</v>
      </c>
      <c r="AD193" s="79">
        <v>2</v>
      </c>
      <c r="AE193" s="79">
        <v>2</v>
      </c>
      <c r="AF193" s="75">
        <f t="shared" ref="AF193:AO193" si="227">AE193</f>
        <v>2</v>
      </c>
      <c r="AG193" s="75">
        <f t="shared" si="227"/>
        <v>2</v>
      </c>
      <c r="AH193" s="75">
        <f t="shared" si="227"/>
        <v>2</v>
      </c>
      <c r="AI193" s="75">
        <f t="shared" si="227"/>
        <v>2</v>
      </c>
      <c r="AJ193" s="75">
        <f t="shared" si="227"/>
        <v>2</v>
      </c>
      <c r="AK193" s="75">
        <f t="shared" si="227"/>
        <v>2</v>
      </c>
      <c r="AL193" s="75">
        <f t="shared" si="227"/>
        <v>2</v>
      </c>
      <c r="AM193" s="75">
        <f t="shared" si="227"/>
        <v>2</v>
      </c>
      <c r="AN193" s="75">
        <f t="shared" si="227"/>
        <v>2</v>
      </c>
      <c r="AO193" s="75">
        <f t="shared" si="227"/>
        <v>2</v>
      </c>
    </row>
    <row r="194" spans="1:41" x14ac:dyDescent="0.35">
      <c r="A194" s="67" t="s">
        <v>52</v>
      </c>
      <c r="B194" s="68" t="s">
        <v>11</v>
      </c>
      <c r="C194" s="75" t="s">
        <v>35</v>
      </c>
      <c r="D194" s="75" t="s">
        <v>79</v>
      </c>
      <c r="E194" s="80">
        <v>2</v>
      </c>
      <c r="F194" s="80">
        <v>2</v>
      </c>
      <c r="G194" s="80">
        <v>2</v>
      </c>
      <c r="H194" s="80">
        <v>2</v>
      </c>
      <c r="I194" s="80">
        <v>2</v>
      </c>
      <c r="J194" s="80">
        <v>2</v>
      </c>
      <c r="K194" s="80">
        <v>2</v>
      </c>
      <c r="L194" s="80">
        <v>2</v>
      </c>
      <c r="M194" s="80">
        <v>2</v>
      </c>
      <c r="N194" s="80">
        <v>2</v>
      </c>
      <c r="O194" s="80">
        <v>2</v>
      </c>
      <c r="P194" s="80">
        <v>2</v>
      </c>
      <c r="Q194" s="80">
        <v>2</v>
      </c>
      <c r="R194" s="80">
        <v>2</v>
      </c>
      <c r="S194" s="80">
        <v>2</v>
      </c>
      <c r="T194" s="80">
        <v>2</v>
      </c>
      <c r="U194" s="80">
        <v>2</v>
      </c>
      <c r="V194" s="80">
        <v>2</v>
      </c>
      <c r="W194" s="80">
        <v>2</v>
      </c>
      <c r="X194" s="80">
        <v>2</v>
      </c>
      <c r="Y194" s="80">
        <v>2</v>
      </c>
      <c r="Z194" s="80">
        <v>2</v>
      </c>
      <c r="AA194" s="80">
        <v>2</v>
      </c>
      <c r="AB194" s="80">
        <v>2</v>
      </c>
      <c r="AC194" s="80">
        <v>2</v>
      </c>
      <c r="AD194" s="80">
        <v>2</v>
      </c>
      <c r="AE194" s="80">
        <v>2</v>
      </c>
      <c r="AF194" s="75">
        <f t="shared" ref="AF194:AO194" si="228">AE194</f>
        <v>2</v>
      </c>
      <c r="AG194" s="75">
        <f t="shared" si="228"/>
        <v>2</v>
      </c>
      <c r="AH194" s="75">
        <f t="shared" si="228"/>
        <v>2</v>
      </c>
      <c r="AI194" s="75">
        <f t="shared" si="228"/>
        <v>2</v>
      </c>
      <c r="AJ194" s="75">
        <f t="shared" si="228"/>
        <v>2</v>
      </c>
      <c r="AK194" s="75">
        <f t="shared" si="228"/>
        <v>2</v>
      </c>
      <c r="AL194" s="75">
        <f t="shared" si="228"/>
        <v>2</v>
      </c>
      <c r="AM194" s="75">
        <f t="shared" si="228"/>
        <v>2</v>
      </c>
      <c r="AN194" s="75">
        <f t="shared" si="228"/>
        <v>2</v>
      </c>
      <c r="AO194" s="75">
        <f t="shared" si="228"/>
        <v>2</v>
      </c>
    </row>
    <row r="195" spans="1:41" x14ac:dyDescent="0.35">
      <c r="A195" s="67" t="s">
        <v>52</v>
      </c>
      <c r="B195" s="72" t="s">
        <v>23</v>
      </c>
      <c r="C195" s="73" t="s">
        <v>35</v>
      </c>
      <c r="D195" s="73" t="s">
        <v>80</v>
      </c>
      <c r="E195" s="79">
        <v>64.680073126142602</v>
      </c>
      <c r="F195" s="79">
        <v>64.680073126142602</v>
      </c>
      <c r="G195" s="79">
        <v>64.680073126142602</v>
      </c>
      <c r="H195" s="79">
        <v>64.680073126142602</v>
      </c>
      <c r="I195" s="79">
        <v>64.680073126142602</v>
      </c>
      <c r="J195" s="79">
        <v>64.680073126142602</v>
      </c>
      <c r="K195" s="79">
        <v>64.680073126142602</v>
      </c>
      <c r="L195" s="79">
        <v>64.680073126142602</v>
      </c>
      <c r="M195" s="79">
        <v>64.680073126142602</v>
      </c>
      <c r="N195" s="79">
        <v>64.680073126142602</v>
      </c>
      <c r="O195" s="79">
        <v>64.680073126142602</v>
      </c>
      <c r="P195" s="79">
        <v>64.680073126142602</v>
      </c>
      <c r="Q195" s="79">
        <v>64.680073126142602</v>
      </c>
      <c r="R195" s="79">
        <v>64.680073126142602</v>
      </c>
      <c r="S195" s="79">
        <v>64.680073126142602</v>
      </c>
      <c r="T195" s="79">
        <v>64.680073126142602</v>
      </c>
      <c r="U195" s="79">
        <v>64.680073126142602</v>
      </c>
      <c r="V195" s="79">
        <v>64.680073126142602</v>
      </c>
      <c r="W195" s="79">
        <v>64.680073126142602</v>
      </c>
      <c r="X195" s="79">
        <v>64.680073126142602</v>
      </c>
      <c r="Y195" s="79">
        <v>64.680073126142602</v>
      </c>
      <c r="Z195" s="79">
        <v>64.680073126142602</v>
      </c>
      <c r="AA195" s="79">
        <v>64.680073126142602</v>
      </c>
      <c r="AB195" s="79">
        <v>64.680073126142602</v>
      </c>
      <c r="AC195" s="79">
        <v>64.680073126142602</v>
      </c>
      <c r="AD195" s="79">
        <v>64.680073126142602</v>
      </c>
      <c r="AE195" s="79">
        <v>64.680073126142602</v>
      </c>
      <c r="AF195" s="75">
        <f t="shared" ref="AF195:AO195" si="229">AE195</f>
        <v>64.680073126142602</v>
      </c>
      <c r="AG195" s="75">
        <f t="shared" si="229"/>
        <v>64.680073126142602</v>
      </c>
      <c r="AH195" s="75">
        <f t="shared" si="229"/>
        <v>64.680073126142602</v>
      </c>
      <c r="AI195" s="75">
        <f t="shared" si="229"/>
        <v>64.680073126142602</v>
      </c>
      <c r="AJ195" s="75">
        <f t="shared" si="229"/>
        <v>64.680073126142602</v>
      </c>
      <c r="AK195" s="75">
        <f t="shared" si="229"/>
        <v>64.680073126142602</v>
      </c>
      <c r="AL195" s="75">
        <f t="shared" si="229"/>
        <v>64.680073126142602</v>
      </c>
      <c r="AM195" s="75">
        <f t="shared" si="229"/>
        <v>64.680073126142602</v>
      </c>
      <c r="AN195" s="75">
        <f t="shared" si="229"/>
        <v>64.680073126142602</v>
      </c>
      <c r="AO195" s="75">
        <f t="shared" si="229"/>
        <v>64.680073126142602</v>
      </c>
    </row>
    <row r="196" spans="1:41" x14ac:dyDescent="0.35">
      <c r="A196" s="67" t="s">
        <v>52</v>
      </c>
      <c r="B196" s="68" t="s">
        <v>24</v>
      </c>
      <c r="C196" s="75" t="s">
        <v>35</v>
      </c>
      <c r="D196" s="75" t="s">
        <v>80</v>
      </c>
      <c r="E196" s="80">
        <v>64.680073126142602</v>
      </c>
      <c r="F196" s="80">
        <v>64.680073126142602</v>
      </c>
      <c r="G196" s="80">
        <v>64.680073126142602</v>
      </c>
      <c r="H196" s="80">
        <v>64.680073126142602</v>
      </c>
      <c r="I196" s="80">
        <v>64.680073126142602</v>
      </c>
      <c r="J196" s="80">
        <v>64.680073126142602</v>
      </c>
      <c r="K196" s="80">
        <v>64.680073126142602</v>
      </c>
      <c r="L196" s="80">
        <v>64.680073126142602</v>
      </c>
      <c r="M196" s="80">
        <v>64.680073126142602</v>
      </c>
      <c r="N196" s="80">
        <v>64.680073126142602</v>
      </c>
      <c r="O196" s="80">
        <v>64.680073126142602</v>
      </c>
      <c r="P196" s="80">
        <v>64.680073126142602</v>
      </c>
      <c r="Q196" s="80">
        <v>64.680073126142602</v>
      </c>
      <c r="R196" s="80">
        <v>64.680073126142602</v>
      </c>
      <c r="S196" s="80">
        <v>64.680073126142602</v>
      </c>
      <c r="T196" s="80">
        <v>64.680073126142602</v>
      </c>
      <c r="U196" s="80">
        <v>64.680073126142602</v>
      </c>
      <c r="V196" s="80">
        <v>64.680073126142602</v>
      </c>
      <c r="W196" s="80">
        <v>64.680073126142602</v>
      </c>
      <c r="X196" s="80">
        <v>64.680073126142602</v>
      </c>
      <c r="Y196" s="80">
        <v>64.680073126142602</v>
      </c>
      <c r="Z196" s="80">
        <v>64.680073126142602</v>
      </c>
      <c r="AA196" s="80">
        <v>64.680073126142602</v>
      </c>
      <c r="AB196" s="80">
        <v>64.680073126142602</v>
      </c>
      <c r="AC196" s="80">
        <v>64.680073126142602</v>
      </c>
      <c r="AD196" s="80">
        <v>64.680073126142602</v>
      </c>
      <c r="AE196" s="80">
        <v>64.680073126142602</v>
      </c>
      <c r="AF196" s="75">
        <f t="shared" ref="AF196:AO196" si="230">AE196</f>
        <v>64.680073126142602</v>
      </c>
      <c r="AG196" s="75">
        <f t="shared" si="230"/>
        <v>64.680073126142602</v>
      </c>
      <c r="AH196" s="75">
        <f t="shared" si="230"/>
        <v>64.680073126142602</v>
      </c>
      <c r="AI196" s="75">
        <f t="shared" si="230"/>
        <v>64.680073126142602</v>
      </c>
      <c r="AJ196" s="75">
        <f t="shared" si="230"/>
        <v>64.680073126142602</v>
      </c>
      <c r="AK196" s="75">
        <f t="shared" si="230"/>
        <v>64.680073126142602</v>
      </c>
      <c r="AL196" s="75">
        <f t="shared" si="230"/>
        <v>64.680073126142602</v>
      </c>
      <c r="AM196" s="75">
        <f t="shared" si="230"/>
        <v>64.680073126142602</v>
      </c>
      <c r="AN196" s="75">
        <f t="shared" si="230"/>
        <v>64.680073126142602</v>
      </c>
      <c r="AO196" s="75">
        <f t="shared" si="230"/>
        <v>64.680073126142602</v>
      </c>
    </row>
    <row r="197" spans="1:41" x14ac:dyDescent="0.35">
      <c r="A197" s="67" t="s">
        <v>52</v>
      </c>
      <c r="B197" s="72" t="s">
        <v>26</v>
      </c>
      <c r="C197" s="73" t="s">
        <v>35</v>
      </c>
      <c r="D197" s="73" t="s">
        <v>80</v>
      </c>
      <c r="E197" s="79">
        <v>1745.3016453382099</v>
      </c>
      <c r="F197" s="79">
        <v>1745.3016453382099</v>
      </c>
      <c r="G197" s="79">
        <v>1745.3016453382099</v>
      </c>
      <c r="H197" s="79">
        <v>1745.3016453382099</v>
      </c>
      <c r="I197" s="79">
        <v>1745.3016453382099</v>
      </c>
      <c r="J197" s="79">
        <v>1745.3016453382099</v>
      </c>
      <c r="K197" s="79">
        <v>1745.3016453382099</v>
      </c>
      <c r="L197" s="79">
        <v>1745.3016453382099</v>
      </c>
      <c r="M197" s="79">
        <v>1745.3016453382099</v>
      </c>
      <c r="N197" s="79">
        <v>1745.3016453382099</v>
      </c>
      <c r="O197" s="79">
        <v>1745.3016453382099</v>
      </c>
      <c r="P197" s="79">
        <v>1745.3016453382099</v>
      </c>
      <c r="Q197" s="79">
        <v>1745.3016453382099</v>
      </c>
      <c r="R197" s="79">
        <v>1745.3016453382099</v>
      </c>
      <c r="S197" s="79">
        <v>1745.3016453382099</v>
      </c>
      <c r="T197" s="79">
        <v>1745.3016453382099</v>
      </c>
      <c r="U197" s="79">
        <v>1745.3016453382099</v>
      </c>
      <c r="V197" s="79">
        <v>1745.3016453382099</v>
      </c>
      <c r="W197" s="79">
        <v>1745.3016453382099</v>
      </c>
      <c r="X197" s="79">
        <v>1745.3016453382099</v>
      </c>
      <c r="Y197" s="79">
        <v>1745.3016453382099</v>
      </c>
      <c r="Z197" s="79">
        <v>1745.3016453382099</v>
      </c>
      <c r="AA197" s="79">
        <v>1745.3016453382099</v>
      </c>
      <c r="AB197" s="79">
        <v>1745.3016453382099</v>
      </c>
      <c r="AC197" s="79">
        <v>1745.3016453382099</v>
      </c>
      <c r="AD197" s="79">
        <v>1745.3016453382099</v>
      </c>
      <c r="AE197" s="79">
        <v>1745.3016453382099</v>
      </c>
      <c r="AF197" s="75">
        <f t="shared" ref="AF197:AO197" si="231">AE197</f>
        <v>1745.3016453382099</v>
      </c>
      <c r="AG197" s="75">
        <f t="shared" si="231"/>
        <v>1745.3016453382099</v>
      </c>
      <c r="AH197" s="75">
        <f t="shared" si="231"/>
        <v>1745.3016453382099</v>
      </c>
      <c r="AI197" s="75">
        <f t="shared" si="231"/>
        <v>1745.3016453382099</v>
      </c>
      <c r="AJ197" s="75">
        <f t="shared" si="231"/>
        <v>1745.3016453382099</v>
      </c>
      <c r="AK197" s="75">
        <f t="shared" si="231"/>
        <v>1745.3016453382099</v>
      </c>
      <c r="AL197" s="75">
        <f t="shared" si="231"/>
        <v>1745.3016453382099</v>
      </c>
      <c r="AM197" s="75">
        <f t="shared" si="231"/>
        <v>1745.3016453382099</v>
      </c>
      <c r="AN197" s="75">
        <f t="shared" si="231"/>
        <v>1745.3016453382099</v>
      </c>
      <c r="AO197" s="75">
        <f t="shared" si="231"/>
        <v>1745.3016453382099</v>
      </c>
    </row>
    <row r="198" spans="1:41" x14ac:dyDescent="0.35">
      <c r="A198" s="67" t="s">
        <v>52</v>
      </c>
      <c r="B198" s="68" t="s">
        <v>28</v>
      </c>
      <c r="C198" s="75" t="s">
        <v>35</v>
      </c>
      <c r="D198" s="75" t="s">
        <v>80</v>
      </c>
      <c r="E198" s="80">
        <v>346.72760511883001</v>
      </c>
      <c r="F198" s="80">
        <v>346.72760511883001</v>
      </c>
      <c r="G198" s="80">
        <v>346.72760511883001</v>
      </c>
      <c r="H198" s="80">
        <v>346.72760511883001</v>
      </c>
      <c r="I198" s="80">
        <v>346.72760511883001</v>
      </c>
      <c r="J198" s="80">
        <v>346.72760511883001</v>
      </c>
      <c r="K198" s="80">
        <v>346.72760511883001</v>
      </c>
      <c r="L198" s="80">
        <v>346.72760511883001</v>
      </c>
      <c r="M198" s="80">
        <v>346.72760511883001</v>
      </c>
      <c r="N198" s="80">
        <v>346.72760511883001</v>
      </c>
      <c r="O198" s="80">
        <v>346.72760511883001</v>
      </c>
      <c r="P198" s="80">
        <v>346.72760511883001</v>
      </c>
      <c r="Q198" s="80">
        <v>346.72760511883001</v>
      </c>
      <c r="R198" s="80">
        <v>346.72760511883001</v>
      </c>
      <c r="S198" s="80">
        <v>346.72760511883001</v>
      </c>
      <c r="T198" s="80">
        <v>346.72760511883001</v>
      </c>
      <c r="U198" s="80">
        <v>346.72760511883001</v>
      </c>
      <c r="V198" s="80">
        <v>346.72760511883001</v>
      </c>
      <c r="W198" s="80">
        <v>346.72760511883001</v>
      </c>
      <c r="X198" s="80">
        <v>346.72760511883001</v>
      </c>
      <c r="Y198" s="80">
        <v>346.72760511883001</v>
      </c>
      <c r="Z198" s="80">
        <v>346.72760511883001</v>
      </c>
      <c r="AA198" s="80">
        <v>346.72760511883001</v>
      </c>
      <c r="AB198" s="80">
        <v>346.72760511883001</v>
      </c>
      <c r="AC198" s="80">
        <v>346.72760511883001</v>
      </c>
      <c r="AD198" s="80">
        <v>346.72760511883001</v>
      </c>
      <c r="AE198" s="80">
        <v>346.72760511883001</v>
      </c>
      <c r="AF198" s="75">
        <f t="shared" ref="AF198:AO198" si="232">AE198</f>
        <v>346.72760511883001</v>
      </c>
      <c r="AG198" s="75">
        <f t="shared" si="232"/>
        <v>346.72760511883001</v>
      </c>
      <c r="AH198" s="75">
        <f t="shared" si="232"/>
        <v>346.72760511883001</v>
      </c>
      <c r="AI198" s="75">
        <f t="shared" si="232"/>
        <v>346.72760511883001</v>
      </c>
      <c r="AJ198" s="75">
        <f t="shared" si="232"/>
        <v>346.72760511883001</v>
      </c>
      <c r="AK198" s="75">
        <f t="shared" si="232"/>
        <v>346.72760511883001</v>
      </c>
      <c r="AL198" s="75">
        <f t="shared" si="232"/>
        <v>346.72760511883001</v>
      </c>
      <c r="AM198" s="75">
        <f t="shared" si="232"/>
        <v>346.72760511883001</v>
      </c>
      <c r="AN198" s="75">
        <f t="shared" si="232"/>
        <v>346.72760511883001</v>
      </c>
      <c r="AO198" s="75">
        <f t="shared" si="232"/>
        <v>346.72760511883001</v>
      </c>
    </row>
    <row r="199" spans="1:41" x14ac:dyDescent="0.35">
      <c r="A199" s="67" t="s">
        <v>52</v>
      </c>
      <c r="B199" s="72" t="s">
        <v>12</v>
      </c>
      <c r="C199" s="73" t="s">
        <v>35</v>
      </c>
      <c r="D199" s="73" t="s">
        <v>80</v>
      </c>
      <c r="E199" s="79">
        <v>1631.12627986348</v>
      </c>
      <c r="F199" s="79">
        <v>1631.12627986348</v>
      </c>
      <c r="G199" s="79">
        <v>1631.12627986348</v>
      </c>
      <c r="H199" s="79">
        <v>1631.12627986348</v>
      </c>
      <c r="I199" s="79">
        <v>1631.12627986348</v>
      </c>
      <c r="J199" s="79">
        <v>1631.12627986348</v>
      </c>
      <c r="K199" s="79">
        <v>1631.12627986348</v>
      </c>
      <c r="L199" s="79">
        <v>1631.12627986348</v>
      </c>
      <c r="M199" s="79">
        <v>1631.12627986348</v>
      </c>
      <c r="N199" s="79">
        <v>1631.12627986348</v>
      </c>
      <c r="O199" s="79">
        <v>1631.12627986348</v>
      </c>
      <c r="P199" s="79">
        <v>1631.12627986348</v>
      </c>
      <c r="Q199" s="79">
        <v>1631.12627986348</v>
      </c>
      <c r="R199" s="79">
        <v>1631.12627986348</v>
      </c>
      <c r="S199" s="79">
        <v>1631.12627986348</v>
      </c>
      <c r="T199" s="79">
        <v>1631.12627986348</v>
      </c>
      <c r="U199" s="79">
        <v>1631.12627986348</v>
      </c>
      <c r="V199" s="79">
        <v>1631.12627986348</v>
      </c>
      <c r="W199" s="79">
        <v>1631.12627986348</v>
      </c>
      <c r="X199" s="79">
        <v>1631.12627986348</v>
      </c>
      <c r="Y199" s="79">
        <v>1631.12627986348</v>
      </c>
      <c r="Z199" s="79">
        <v>1631.12627986348</v>
      </c>
      <c r="AA199" s="79">
        <v>1631.12627986348</v>
      </c>
      <c r="AB199" s="79">
        <v>1631.12627986348</v>
      </c>
      <c r="AC199" s="79">
        <v>1631.12627986348</v>
      </c>
      <c r="AD199" s="79">
        <v>1631.12627986348</v>
      </c>
      <c r="AE199" s="79">
        <v>1631.12627986348</v>
      </c>
      <c r="AF199" s="75">
        <f t="shared" ref="AF199:AO199" si="233">AE199</f>
        <v>1631.12627986348</v>
      </c>
      <c r="AG199" s="75">
        <f t="shared" si="233"/>
        <v>1631.12627986348</v>
      </c>
      <c r="AH199" s="75">
        <f t="shared" si="233"/>
        <v>1631.12627986348</v>
      </c>
      <c r="AI199" s="75">
        <f t="shared" si="233"/>
        <v>1631.12627986348</v>
      </c>
      <c r="AJ199" s="75">
        <f t="shared" si="233"/>
        <v>1631.12627986348</v>
      </c>
      <c r="AK199" s="75">
        <f t="shared" si="233"/>
        <v>1631.12627986348</v>
      </c>
      <c r="AL199" s="75">
        <f t="shared" si="233"/>
        <v>1631.12627986348</v>
      </c>
      <c r="AM199" s="75">
        <f t="shared" si="233"/>
        <v>1631.12627986348</v>
      </c>
      <c r="AN199" s="75">
        <f t="shared" si="233"/>
        <v>1631.12627986348</v>
      </c>
      <c r="AO199" s="75">
        <f t="shared" si="233"/>
        <v>1631.12627986348</v>
      </c>
    </row>
    <row r="200" spans="1:41" x14ac:dyDescent="0.35">
      <c r="A200" s="67" t="s">
        <v>52</v>
      </c>
      <c r="B200" s="68" t="s">
        <v>15</v>
      </c>
      <c r="C200" s="75" t="s">
        <v>95</v>
      </c>
      <c r="D200" s="75" t="s">
        <v>80</v>
      </c>
      <c r="E200" s="80">
        <v>14581.31389749162</v>
      </c>
      <c r="F200" s="80">
        <v>14581.31389749162</v>
      </c>
      <c r="G200" s="80">
        <v>14581.31389749162</v>
      </c>
      <c r="H200" s="80">
        <v>14581.31389749162</v>
      </c>
      <c r="I200" s="80">
        <v>14581.31389749162</v>
      </c>
      <c r="J200" s="80">
        <v>14581.31389749162</v>
      </c>
      <c r="K200" s="80">
        <v>14581.31389749162</v>
      </c>
      <c r="L200" s="80">
        <v>14581.31389749162</v>
      </c>
      <c r="M200" s="80">
        <v>14581.31389749162</v>
      </c>
      <c r="N200" s="80">
        <v>14581.31389749162</v>
      </c>
      <c r="O200" s="80">
        <v>14581.31389749162</v>
      </c>
      <c r="P200" s="80">
        <v>14581.31389749162</v>
      </c>
      <c r="Q200" s="80">
        <v>14581.31389749162</v>
      </c>
      <c r="R200" s="80">
        <v>14581.31389749162</v>
      </c>
      <c r="S200" s="80">
        <v>14581.31389749162</v>
      </c>
      <c r="T200" s="80">
        <v>14581.31389749162</v>
      </c>
      <c r="U200" s="80">
        <v>14581.31389749162</v>
      </c>
      <c r="V200" s="80">
        <v>14581.31389749162</v>
      </c>
      <c r="W200" s="80">
        <v>14581.31389749162</v>
      </c>
      <c r="X200" s="80">
        <v>14581.31389749162</v>
      </c>
      <c r="Y200" s="80">
        <v>14581.31389749162</v>
      </c>
      <c r="Z200" s="80">
        <v>14581.31389749162</v>
      </c>
      <c r="AA200" s="80">
        <v>14581.31389749162</v>
      </c>
      <c r="AB200" s="80">
        <v>14581.31389749162</v>
      </c>
      <c r="AC200" s="80">
        <v>14581.31389749162</v>
      </c>
      <c r="AD200" s="80">
        <v>14581.31389749162</v>
      </c>
      <c r="AE200" s="80">
        <v>14581.31389749162</v>
      </c>
      <c r="AF200" s="80">
        <v>14581.31389749162</v>
      </c>
      <c r="AG200" s="80">
        <v>14581.31389749162</v>
      </c>
      <c r="AH200" s="80">
        <v>14581.31389749162</v>
      </c>
      <c r="AI200" s="80">
        <v>14581.31389749162</v>
      </c>
      <c r="AJ200" s="80">
        <v>14581.31389749162</v>
      </c>
      <c r="AK200" s="80">
        <v>14581.31389749162</v>
      </c>
      <c r="AL200" s="80">
        <v>14581.31389749162</v>
      </c>
      <c r="AM200" s="80">
        <v>14581.31389749162</v>
      </c>
      <c r="AN200" s="80">
        <v>14581.31389749162</v>
      </c>
      <c r="AO200" s="80">
        <v>14581.31389749162</v>
      </c>
    </row>
    <row r="201" spans="1:41" x14ac:dyDescent="0.35">
      <c r="A201" s="67" t="s">
        <v>52</v>
      </c>
      <c r="B201" s="72" t="s">
        <v>25</v>
      </c>
      <c r="C201" s="75" t="s">
        <v>95</v>
      </c>
      <c r="D201" s="73" t="s">
        <v>80</v>
      </c>
      <c r="E201" s="79">
        <v>65857.636251920892</v>
      </c>
      <c r="F201" s="79">
        <v>65857.636251920892</v>
      </c>
      <c r="G201" s="79">
        <v>65857.636251920892</v>
      </c>
      <c r="H201" s="79">
        <v>65857.636251920892</v>
      </c>
      <c r="I201" s="79">
        <v>65857.636251920892</v>
      </c>
      <c r="J201" s="79">
        <v>65857.636251920892</v>
      </c>
      <c r="K201" s="79">
        <v>65857.636251920892</v>
      </c>
      <c r="L201" s="79">
        <v>65857.636251920892</v>
      </c>
      <c r="M201" s="79">
        <v>65857.636251920892</v>
      </c>
      <c r="N201" s="79">
        <v>65857.636251920892</v>
      </c>
      <c r="O201" s="79">
        <v>65857.636251920892</v>
      </c>
      <c r="P201" s="79">
        <v>65857.636251920892</v>
      </c>
      <c r="Q201" s="79">
        <v>65857.636251920892</v>
      </c>
      <c r="R201" s="79">
        <v>65857.636251920892</v>
      </c>
      <c r="S201" s="79">
        <v>65857.636251920892</v>
      </c>
      <c r="T201" s="79">
        <v>65857.636251920892</v>
      </c>
      <c r="U201" s="79">
        <v>65857.636251920892</v>
      </c>
      <c r="V201" s="79">
        <v>65857.636251920892</v>
      </c>
      <c r="W201" s="79">
        <v>65857.636251920892</v>
      </c>
      <c r="X201" s="79">
        <v>65857.636251920892</v>
      </c>
      <c r="Y201" s="79">
        <v>65857.636251920892</v>
      </c>
      <c r="Z201" s="79">
        <v>65857.636251920892</v>
      </c>
      <c r="AA201" s="79">
        <v>65857.636251920892</v>
      </c>
      <c r="AB201" s="79">
        <v>65857.636251920892</v>
      </c>
      <c r="AC201" s="79">
        <v>65857.636251920892</v>
      </c>
      <c r="AD201" s="79">
        <v>65857.636251920892</v>
      </c>
      <c r="AE201" s="79">
        <v>65857.636251920892</v>
      </c>
      <c r="AF201" s="80">
        <v>65857.636251920892</v>
      </c>
      <c r="AG201" s="80">
        <v>65857.636251920892</v>
      </c>
      <c r="AH201" s="80">
        <v>65857.636251920892</v>
      </c>
      <c r="AI201" s="80">
        <v>65857.636251920892</v>
      </c>
      <c r="AJ201" s="80">
        <v>65857.636251920892</v>
      </c>
      <c r="AK201" s="80">
        <v>65857.636251920892</v>
      </c>
      <c r="AL201" s="80">
        <v>65857.636251920892</v>
      </c>
      <c r="AM201" s="80">
        <v>65857.636251920892</v>
      </c>
      <c r="AN201" s="80">
        <v>65857.636251920892</v>
      </c>
      <c r="AO201" s="80">
        <v>65857.636251920892</v>
      </c>
    </row>
    <row r="202" spans="1:41" x14ac:dyDescent="0.35">
      <c r="A202" s="67" t="s">
        <v>52</v>
      </c>
      <c r="B202" s="68" t="s">
        <v>17</v>
      </c>
      <c r="C202" s="75" t="s">
        <v>95</v>
      </c>
      <c r="D202" s="75" t="s">
        <v>80</v>
      </c>
      <c r="E202" s="80">
        <v>12072.154624203364</v>
      </c>
      <c r="F202" s="80">
        <v>12072.154624203364</v>
      </c>
      <c r="G202" s="80">
        <v>12072.154624203364</v>
      </c>
      <c r="H202" s="80">
        <v>12072.154624203364</v>
      </c>
      <c r="I202" s="80">
        <v>12072.154624203364</v>
      </c>
      <c r="J202" s="80">
        <v>12072.154624203364</v>
      </c>
      <c r="K202" s="80">
        <v>12072.154624203364</v>
      </c>
      <c r="L202" s="80">
        <v>12072.154624203364</v>
      </c>
      <c r="M202" s="80">
        <v>12072.154624203364</v>
      </c>
      <c r="N202" s="80">
        <v>12072.154624203364</v>
      </c>
      <c r="O202" s="80">
        <v>12072.154624203364</v>
      </c>
      <c r="P202" s="80">
        <v>12072.154624203364</v>
      </c>
      <c r="Q202" s="80">
        <v>12072.154624203364</v>
      </c>
      <c r="R202" s="80">
        <v>12072.154624203364</v>
      </c>
      <c r="S202" s="80">
        <v>12072.154624203364</v>
      </c>
      <c r="T202" s="80">
        <v>12072.154624203364</v>
      </c>
      <c r="U202" s="80">
        <v>12072.154624203364</v>
      </c>
      <c r="V202" s="80">
        <v>12072.154624203364</v>
      </c>
      <c r="W202" s="80">
        <v>12072.154624203364</v>
      </c>
      <c r="X202" s="80">
        <v>12072.154624203364</v>
      </c>
      <c r="Y202" s="80">
        <v>12072.154624203364</v>
      </c>
      <c r="Z202" s="80">
        <v>12072.154624203364</v>
      </c>
      <c r="AA202" s="80">
        <v>12072.154624203364</v>
      </c>
      <c r="AB202" s="80">
        <v>12072.154624203364</v>
      </c>
      <c r="AC202" s="80">
        <v>12072.154624203364</v>
      </c>
      <c r="AD202" s="80">
        <v>12072.154624203364</v>
      </c>
      <c r="AE202" s="80">
        <v>12072.154624203364</v>
      </c>
      <c r="AF202" s="80">
        <v>12072.154624203364</v>
      </c>
      <c r="AG202" s="80">
        <v>12072.154624203364</v>
      </c>
      <c r="AH202" s="80">
        <v>12072.154624203364</v>
      </c>
      <c r="AI202" s="80">
        <v>12072.154624203364</v>
      </c>
      <c r="AJ202" s="80">
        <v>12072.154624203364</v>
      </c>
      <c r="AK202" s="80">
        <v>12072.154624203364</v>
      </c>
      <c r="AL202" s="80">
        <v>12072.154624203364</v>
      </c>
      <c r="AM202" s="80">
        <v>12072.154624203364</v>
      </c>
      <c r="AN202" s="80">
        <v>12072.154624203364</v>
      </c>
      <c r="AO202" s="80">
        <v>12072.154624203364</v>
      </c>
    </row>
    <row r="203" spans="1:41" x14ac:dyDescent="0.35">
      <c r="A203" s="67" t="s">
        <v>52</v>
      </c>
      <c r="B203" s="72" t="s">
        <v>18</v>
      </c>
      <c r="C203" s="75" t="s">
        <v>95</v>
      </c>
      <c r="D203" s="73" t="s">
        <v>80</v>
      </c>
      <c r="E203" s="79">
        <v>12072.154624203364</v>
      </c>
      <c r="F203" s="79">
        <v>12072.154624203364</v>
      </c>
      <c r="G203" s="79">
        <v>12072.154624203364</v>
      </c>
      <c r="H203" s="79">
        <v>12072.154624203364</v>
      </c>
      <c r="I203" s="79">
        <v>12072.154624203364</v>
      </c>
      <c r="J203" s="79">
        <v>12072.154624203364</v>
      </c>
      <c r="K203" s="79">
        <v>12072.154624203364</v>
      </c>
      <c r="L203" s="79">
        <v>12072.154624203364</v>
      </c>
      <c r="M203" s="79">
        <v>12072.154624203364</v>
      </c>
      <c r="N203" s="79">
        <v>12072.154624203364</v>
      </c>
      <c r="O203" s="79">
        <v>12072.154624203364</v>
      </c>
      <c r="P203" s="79">
        <v>12072.154624203364</v>
      </c>
      <c r="Q203" s="79">
        <v>12072.154624203364</v>
      </c>
      <c r="R203" s="79">
        <v>12072.154624203364</v>
      </c>
      <c r="S203" s="79">
        <v>12072.154624203364</v>
      </c>
      <c r="T203" s="79">
        <v>12072.154624203364</v>
      </c>
      <c r="U203" s="79">
        <v>12072.154624203364</v>
      </c>
      <c r="V203" s="79">
        <v>12072.154624203364</v>
      </c>
      <c r="W203" s="79">
        <v>12072.154624203364</v>
      </c>
      <c r="X203" s="79">
        <v>12072.154624203364</v>
      </c>
      <c r="Y203" s="79">
        <v>12072.154624203364</v>
      </c>
      <c r="Z203" s="79">
        <v>12072.154624203364</v>
      </c>
      <c r="AA203" s="79">
        <v>12072.154624203364</v>
      </c>
      <c r="AB203" s="79">
        <v>12072.154624203364</v>
      </c>
      <c r="AC203" s="79">
        <v>12072.154624203364</v>
      </c>
      <c r="AD203" s="79">
        <v>12072.154624203364</v>
      </c>
      <c r="AE203" s="79">
        <v>12072.154624203364</v>
      </c>
      <c r="AF203" s="79">
        <v>12072.154624203364</v>
      </c>
      <c r="AG203" s="79">
        <v>12072.154624203364</v>
      </c>
      <c r="AH203" s="79">
        <v>12072.154624203364</v>
      </c>
      <c r="AI203" s="79">
        <v>12072.154624203364</v>
      </c>
      <c r="AJ203" s="79">
        <v>12072.154624203364</v>
      </c>
      <c r="AK203" s="79">
        <v>12072.154624203364</v>
      </c>
      <c r="AL203" s="79">
        <v>12072.154624203364</v>
      </c>
      <c r="AM203" s="79">
        <v>12072.154624203364</v>
      </c>
      <c r="AN203" s="79">
        <v>12072.154624203364</v>
      </c>
      <c r="AO203" s="79">
        <v>12072.154624203364</v>
      </c>
    </row>
    <row r="204" spans="1:41" x14ac:dyDescent="0.35">
      <c r="A204" s="67" t="s">
        <v>52</v>
      </c>
      <c r="B204" s="68" t="s">
        <v>19</v>
      </c>
      <c r="C204" s="75" t="s">
        <v>95</v>
      </c>
      <c r="D204" s="75" t="s">
        <v>80</v>
      </c>
      <c r="E204" s="79">
        <v>12072.154624203364</v>
      </c>
      <c r="F204" s="79">
        <v>12072.154624203364</v>
      </c>
      <c r="G204" s="79">
        <v>12072.154624203364</v>
      </c>
      <c r="H204" s="79">
        <v>12072.154624203364</v>
      </c>
      <c r="I204" s="79">
        <v>12072.154624203364</v>
      </c>
      <c r="J204" s="79">
        <v>12072.154624203364</v>
      </c>
      <c r="K204" s="79">
        <v>12072.154624203364</v>
      </c>
      <c r="L204" s="79">
        <v>12072.154624203364</v>
      </c>
      <c r="M204" s="79">
        <v>12072.154624203364</v>
      </c>
      <c r="N204" s="79">
        <v>12072.154624203364</v>
      </c>
      <c r="O204" s="79">
        <v>12072.154624203364</v>
      </c>
      <c r="P204" s="79">
        <v>12072.154624203364</v>
      </c>
      <c r="Q204" s="79">
        <v>12072.154624203364</v>
      </c>
      <c r="R204" s="79">
        <v>12072.154624203364</v>
      </c>
      <c r="S204" s="79">
        <v>12072.154624203364</v>
      </c>
      <c r="T204" s="79">
        <v>12072.154624203364</v>
      </c>
      <c r="U204" s="79">
        <v>12072.154624203364</v>
      </c>
      <c r="V204" s="79">
        <v>12072.154624203364</v>
      </c>
      <c r="W204" s="79">
        <v>12072.154624203364</v>
      </c>
      <c r="X204" s="79">
        <v>12072.154624203364</v>
      </c>
      <c r="Y204" s="79">
        <v>12072.154624203364</v>
      </c>
      <c r="Z204" s="79">
        <v>12072.154624203364</v>
      </c>
      <c r="AA204" s="79">
        <v>12072.154624203364</v>
      </c>
      <c r="AB204" s="79">
        <v>12072.154624203364</v>
      </c>
      <c r="AC204" s="79">
        <v>12072.154624203364</v>
      </c>
      <c r="AD204" s="79">
        <v>12072.154624203364</v>
      </c>
      <c r="AE204" s="79">
        <v>12072.154624203364</v>
      </c>
      <c r="AF204" s="79">
        <v>12072.154624203364</v>
      </c>
      <c r="AG204" s="79">
        <v>12072.154624203364</v>
      </c>
      <c r="AH204" s="79">
        <v>12072.154624203364</v>
      </c>
      <c r="AI204" s="79">
        <v>12072.154624203364</v>
      </c>
      <c r="AJ204" s="79">
        <v>12072.154624203364</v>
      </c>
      <c r="AK204" s="79">
        <v>12072.154624203364</v>
      </c>
      <c r="AL204" s="79">
        <v>12072.154624203364</v>
      </c>
      <c r="AM204" s="79">
        <v>12072.154624203364</v>
      </c>
      <c r="AN204" s="79">
        <v>12072.154624203364</v>
      </c>
      <c r="AO204" s="79">
        <v>12072.154624203364</v>
      </c>
    </row>
    <row r="205" spans="1:41" x14ac:dyDescent="0.35">
      <c r="A205" s="67" t="s">
        <v>52</v>
      </c>
      <c r="B205" s="72" t="s">
        <v>20</v>
      </c>
      <c r="C205" s="75" t="s">
        <v>95</v>
      </c>
      <c r="D205" s="73" t="s">
        <v>80</v>
      </c>
      <c r="E205" s="79">
        <v>12072.154624203364</v>
      </c>
      <c r="F205" s="79">
        <v>12072.154624203364</v>
      </c>
      <c r="G205" s="79">
        <v>12072.154624203364</v>
      </c>
      <c r="H205" s="79">
        <v>12072.154624203364</v>
      </c>
      <c r="I205" s="79">
        <v>12072.154624203364</v>
      </c>
      <c r="J205" s="79">
        <v>12072.154624203364</v>
      </c>
      <c r="K205" s="79">
        <v>12072.154624203364</v>
      </c>
      <c r="L205" s="79">
        <v>12072.154624203364</v>
      </c>
      <c r="M205" s="79">
        <v>12072.154624203364</v>
      </c>
      <c r="N205" s="79">
        <v>12072.154624203364</v>
      </c>
      <c r="O205" s="79">
        <v>12072.154624203364</v>
      </c>
      <c r="P205" s="79">
        <v>12072.154624203364</v>
      </c>
      <c r="Q205" s="79">
        <v>12072.154624203364</v>
      </c>
      <c r="R205" s="79">
        <v>12072.154624203364</v>
      </c>
      <c r="S205" s="79">
        <v>12072.154624203364</v>
      </c>
      <c r="T205" s="79">
        <v>12072.154624203364</v>
      </c>
      <c r="U205" s="79">
        <v>12072.154624203364</v>
      </c>
      <c r="V205" s="79">
        <v>12072.154624203364</v>
      </c>
      <c r="W205" s="79">
        <v>12072.154624203364</v>
      </c>
      <c r="X205" s="79">
        <v>12072.154624203364</v>
      </c>
      <c r="Y205" s="79">
        <v>12072.154624203364</v>
      </c>
      <c r="Z205" s="79">
        <v>12072.154624203364</v>
      </c>
      <c r="AA205" s="79">
        <v>12072.154624203364</v>
      </c>
      <c r="AB205" s="79">
        <v>12072.154624203364</v>
      </c>
      <c r="AC205" s="79">
        <v>12072.154624203364</v>
      </c>
      <c r="AD205" s="79">
        <v>12072.154624203364</v>
      </c>
      <c r="AE205" s="79">
        <v>12072.154624203364</v>
      </c>
      <c r="AF205" s="79">
        <v>12072.154624203364</v>
      </c>
      <c r="AG205" s="79">
        <v>12072.154624203364</v>
      </c>
      <c r="AH205" s="79">
        <v>12072.154624203364</v>
      </c>
      <c r="AI205" s="79">
        <v>12072.154624203364</v>
      </c>
      <c r="AJ205" s="79">
        <v>12072.154624203364</v>
      </c>
      <c r="AK205" s="79">
        <v>12072.154624203364</v>
      </c>
      <c r="AL205" s="79">
        <v>12072.154624203364</v>
      </c>
      <c r="AM205" s="79">
        <v>12072.154624203364</v>
      </c>
      <c r="AN205" s="79">
        <v>12072.154624203364</v>
      </c>
      <c r="AO205" s="79">
        <v>12072.154624203364</v>
      </c>
    </row>
    <row r="206" spans="1:41" x14ac:dyDescent="0.35">
      <c r="A206" s="67" t="s">
        <v>52</v>
      </c>
      <c r="B206" s="68" t="s">
        <v>21</v>
      </c>
      <c r="C206" s="75" t="s">
        <v>95</v>
      </c>
      <c r="D206" s="75" t="s">
        <v>80</v>
      </c>
      <c r="E206" s="79">
        <v>12072.154624203364</v>
      </c>
      <c r="F206" s="79">
        <v>12072.154624203364</v>
      </c>
      <c r="G206" s="79">
        <v>12072.154624203364</v>
      </c>
      <c r="H206" s="79">
        <v>12072.154624203364</v>
      </c>
      <c r="I206" s="79">
        <v>12072.154624203364</v>
      </c>
      <c r="J206" s="79">
        <v>12072.154624203364</v>
      </c>
      <c r="K206" s="79">
        <v>12072.154624203364</v>
      </c>
      <c r="L206" s="79">
        <v>12072.154624203364</v>
      </c>
      <c r="M206" s="79">
        <v>12072.154624203364</v>
      </c>
      <c r="N206" s="79">
        <v>12072.154624203364</v>
      </c>
      <c r="O206" s="79">
        <v>12072.154624203364</v>
      </c>
      <c r="P206" s="79">
        <v>12072.154624203364</v>
      </c>
      <c r="Q206" s="79">
        <v>12072.154624203364</v>
      </c>
      <c r="R206" s="79">
        <v>12072.154624203364</v>
      </c>
      <c r="S206" s="79">
        <v>12072.154624203364</v>
      </c>
      <c r="T206" s="79">
        <v>12072.154624203364</v>
      </c>
      <c r="U206" s="79">
        <v>12072.154624203364</v>
      </c>
      <c r="V206" s="79">
        <v>12072.154624203364</v>
      </c>
      <c r="W206" s="79">
        <v>12072.154624203364</v>
      </c>
      <c r="X206" s="79">
        <v>12072.154624203364</v>
      </c>
      <c r="Y206" s="79">
        <v>12072.154624203364</v>
      </c>
      <c r="Z206" s="79">
        <v>12072.154624203364</v>
      </c>
      <c r="AA206" s="79">
        <v>12072.154624203364</v>
      </c>
      <c r="AB206" s="79">
        <v>12072.154624203364</v>
      </c>
      <c r="AC206" s="79">
        <v>12072.154624203364</v>
      </c>
      <c r="AD206" s="79">
        <v>12072.154624203364</v>
      </c>
      <c r="AE206" s="79">
        <v>12072.154624203364</v>
      </c>
      <c r="AF206" s="79">
        <v>12072.154624203364</v>
      </c>
      <c r="AG206" s="79">
        <v>12072.154624203364</v>
      </c>
      <c r="AH206" s="79">
        <v>12072.154624203364</v>
      </c>
      <c r="AI206" s="79">
        <v>12072.154624203364</v>
      </c>
      <c r="AJ206" s="79">
        <v>12072.154624203364</v>
      </c>
      <c r="AK206" s="79">
        <v>12072.154624203364</v>
      </c>
      <c r="AL206" s="79">
        <v>12072.154624203364</v>
      </c>
      <c r="AM206" s="79">
        <v>12072.154624203364</v>
      </c>
      <c r="AN206" s="79">
        <v>12072.154624203364</v>
      </c>
      <c r="AO206" s="79">
        <v>12072.154624203364</v>
      </c>
    </row>
    <row r="207" spans="1:41" x14ac:dyDescent="0.35">
      <c r="A207" s="67" t="s">
        <v>52</v>
      </c>
      <c r="B207" s="72" t="s">
        <v>22</v>
      </c>
      <c r="C207" s="75" t="s">
        <v>95</v>
      </c>
      <c r="D207" s="73" t="s">
        <v>80</v>
      </c>
      <c r="E207" s="79">
        <v>12072.154624203364</v>
      </c>
      <c r="F207" s="79">
        <v>12072.154624203364</v>
      </c>
      <c r="G207" s="79">
        <v>12072.154624203364</v>
      </c>
      <c r="H207" s="79">
        <v>12072.154624203364</v>
      </c>
      <c r="I207" s="79">
        <v>12072.154624203364</v>
      </c>
      <c r="J207" s="79">
        <v>12072.154624203364</v>
      </c>
      <c r="K207" s="79">
        <v>12072.154624203364</v>
      </c>
      <c r="L207" s="79">
        <v>12072.154624203364</v>
      </c>
      <c r="M207" s="79">
        <v>12072.154624203364</v>
      </c>
      <c r="N207" s="79">
        <v>12072.154624203364</v>
      </c>
      <c r="O207" s="79">
        <v>12072.154624203364</v>
      </c>
      <c r="P207" s="79">
        <v>12072.154624203364</v>
      </c>
      <c r="Q207" s="79">
        <v>12072.154624203364</v>
      </c>
      <c r="R207" s="79">
        <v>12072.154624203364</v>
      </c>
      <c r="S207" s="79">
        <v>12072.154624203364</v>
      </c>
      <c r="T207" s="79">
        <v>12072.154624203364</v>
      </c>
      <c r="U207" s="79">
        <v>12072.154624203364</v>
      </c>
      <c r="V207" s="79">
        <v>12072.154624203364</v>
      </c>
      <c r="W207" s="79">
        <v>12072.154624203364</v>
      </c>
      <c r="X207" s="79">
        <v>12072.154624203364</v>
      </c>
      <c r="Y207" s="79">
        <v>12072.154624203364</v>
      </c>
      <c r="Z207" s="79">
        <v>12072.154624203364</v>
      </c>
      <c r="AA207" s="79">
        <v>12072.154624203364</v>
      </c>
      <c r="AB207" s="79">
        <v>12072.154624203364</v>
      </c>
      <c r="AC207" s="79">
        <v>12072.154624203364</v>
      </c>
      <c r="AD207" s="79">
        <v>12072.154624203364</v>
      </c>
      <c r="AE207" s="79">
        <v>12072.154624203364</v>
      </c>
      <c r="AF207" s="79">
        <v>12072.154624203364</v>
      </c>
      <c r="AG207" s="79">
        <v>12072.154624203364</v>
      </c>
      <c r="AH207" s="79">
        <v>12072.154624203364</v>
      </c>
      <c r="AI207" s="79">
        <v>12072.154624203364</v>
      </c>
      <c r="AJ207" s="79">
        <v>12072.154624203364</v>
      </c>
      <c r="AK207" s="79">
        <v>12072.154624203364</v>
      </c>
      <c r="AL207" s="79">
        <v>12072.154624203364</v>
      </c>
      <c r="AM207" s="79">
        <v>12072.154624203364</v>
      </c>
      <c r="AN207" s="79">
        <v>12072.154624203364</v>
      </c>
      <c r="AO207" s="79">
        <v>12072.154624203364</v>
      </c>
    </row>
    <row r="208" spans="1:41" x14ac:dyDescent="0.35">
      <c r="A208" s="67" t="s">
        <v>52</v>
      </c>
      <c r="B208" s="72" t="s">
        <v>117</v>
      </c>
      <c r="C208" s="75" t="s">
        <v>95</v>
      </c>
      <c r="D208" s="73" t="s">
        <v>80</v>
      </c>
      <c r="E208" s="79">
        <v>12072.154624203364</v>
      </c>
      <c r="F208" s="79">
        <v>12072.154624203364</v>
      </c>
      <c r="G208" s="79">
        <v>12072.154624203364</v>
      </c>
      <c r="H208" s="79">
        <v>12072.154624203364</v>
      </c>
      <c r="I208" s="79">
        <v>12072.154624203364</v>
      </c>
      <c r="J208" s="79">
        <v>12072.154624203364</v>
      </c>
      <c r="K208" s="79">
        <v>12072.154624203364</v>
      </c>
      <c r="L208" s="79">
        <v>12072.154624203364</v>
      </c>
      <c r="M208" s="79">
        <v>12072.154624203364</v>
      </c>
      <c r="N208" s="79">
        <v>12072.154624203364</v>
      </c>
      <c r="O208" s="79">
        <v>12072.154624203364</v>
      </c>
      <c r="P208" s="79">
        <v>12072.154624203364</v>
      </c>
      <c r="Q208" s="79">
        <v>12072.154624203364</v>
      </c>
      <c r="R208" s="79">
        <v>12072.154624203364</v>
      </c>
      <c r="S208" s="79">
        <v>12072.154624203364</v>
      </c>
      <c r="T208" s="79">
        <v>12072.154624203364</v>
      </c>
      <c r="U208" s="79">
        <v>12072.154624203364</v>
      </c>
      <c r="V208" s="79">
        <v>12072.154624203364</v>
      </c>
      <c r="W208" s="79">
        <v>12072.154624203364</v>
      </c>
      <c r="X208" s="79">
        <v>12072.154624203364</v>
      </c>
      <c r="Y208" s="79">
        <v>12072.154624203364</v>
      </c>
      <c r="Z208" s="79">
        <v>12072.154624203364</v>
      </c>
      <c r="AA208" s="79">
        <v>12072.154624203364</v>
      </c>
      <c r="AB208" s="79">
        <v>12072.154624203364</v>
      </c>
      <c r="AC208" s="79">
        <v>12072.154624203364</v>
      </c>
      <c r="AD208" s="79">
        <v>12072.154624203364</v>
      </c>
      <c r="AE208" s="79">
        <v>12072.154624203364</v>
      </c>
      <c r="AF208" s="79">
        <v>12072.154624203364</v>
      </c>
      <c r="AG208" s="79">
        <v>12072.154624203364</v>
      </c>
      <c r="AH208" s="79">
        <v>12072.154624203364</v>
      </c>
      <c r="AI208" s="79">
        <v>12072.154624203364</v>
      </c>
      <c r="AJ208" s="79">
        <v>12072.154624203364</v>
      </c>
      <c r="AK208" s="79">
        <v>12072.154624203364</v>
      </c>
      <c r="AL208" s="79">
        <v>12072.154624203364</v>
      </c>
      <c r="AM208" s="79">
        <v>12072.154624203364</v>
      </c>
      <c r="AN208" s="79">
        <v>12072.154624203364</v>
      </c>
      <c r="AO208" s="79">
        <v>12072.154624203364</v>
      </c>
    </row>
    <row r="209" spans="1:42" x14ac:dyDescent="0.35">
      <c r="A209" s="67" t="s">
        <v>52</v>
      </c>
      <c r="B209" s="68" t="s">
        <v>23</v>
      </c>
      <c r="C209" s="75" t="s">
        <v>95</v>
      </c>
      <c r="D209" s="75" t="s">
        <v>80</v>
      </c>
      <c r="E209" s="79">
        <v>12072.154624203364</v>
      </c>
      <c r="F209" s="79">
        <v>12072.154624203364</v>
      </c>
      <c r="G209" s="79">
        <v>12072.154624203364</v>
      </c>
      <c r="H209" s="79">
        <v>12072.154624203364</v>
      </c>
      <c r="I209" s="79">
        <v>12072.154624203364</v>
      </c>
      <c r="J209" s="79">
        <v>12072.154624203364</v>
      </c>
      <c r="K209" s="79">
        <v>12072.154624203364</v>
      </c>
      <c r="L209" s="79">
        <v>12072.154624203364</v>
      </c>
      <c r="M209" s="79">
        <v>12072.154624203364</v>
      </c>
      <c r="N209" s="79">
        <v>12072.154624203364</v>
      </c>
      <c r="O209" s="79">
        <v>12072.154624203364</v>
      </c>
      <c r="P209" s="79">
        <v>12072.154624203364</v>
      </c>
      <c r="Q209" s="79">
        <v>12072.154624203364</v>
      </c>
      <c r="R209" s="79">
        <v>12072.154624203364</v>
      </c>
      <c r="S209" s="79">
        <v>12072.154624203364</v>
      </c>
      <c r="T209" s="79">
        <v>12072.154624203364</v>
      </c>
      <c r="U209" s="79">
        <v>12072.154624203364</v>
      </c>
      <c r="V209" s="79">
        <v>12072.154624203364</v>
      </c>
      <c r="W209" s="79">
        <v>12072.154624203364</v>
      </c>
      <c r="X209" s="79">
        <v>12072.154624203364</v>
      </c>
      <c r="Y209" s="79">
        <v>12072.154624203364</v>
      </c>
      <c r="Z209" s="79">
        <v>12072.154624203364</v>
      </c>
      <c r="AA209" s="79">
        <v>12072.154624203364</v>
      </c>
      <c r="AB209" s="79">
        <v>12072.154624203364</v>
      </c>
      <c r="AC209" s="79">
        <v>12072.154624203364</v>
      </c>
      <c r="AD209" s="79">
        <v>12072.154624203364</v>
      </c>
      <c r="AE209" s="79">
        <v>12072.154624203364</v>
      </c>
      <c r="AF209" s="79">
        <v>12072.154624203364</v>
      </c>
      <c r="AG209" s="79">
        <v>12072.154624203364</v>
      </c>
      <c r="AH209" s="79">
        <v>12072.154624203364</v>
      </c>
      <c r="AI209" s="79">
        <v>12072.154624203364</v>
      </c>
      <c r="AJ209" s="79">
        <v>12072.154624203364</v>
      </c>
      <c r="AK209" s="79">
        <v>12072.154624203364</v>
      </c>
      <c r="AL209" s="79">
        <v>12072.154624203364</v>
      </c>
      <c r="AM209" s="79">
        <v>12072.154624203364</v>
      </c>
      <c r="AN209" s="79">
        <v>12072.154624203364</v>
      </c>
      <c r="AO209" s="79">
        <v>12072.154624203364</v>
      </c>
    </row>
    <row r="210" spans="1:42" x14ac:dyDescent="0.35">
      <c r="A210" s="67" t="s">
        <v>52</v>
      </c>
      <c r="B210" s="72" t="s">
        <v>24</v>
      </c>
      <c r="C210" s="75" t="s">
        <v>95</v>
      </c>
      <c r="D210" s="73" t="s">
        <v>80</v>
      </c>
      <c r="E210" s="79">
        <v>12072.154624203364</v>
      </c>
      <c r="F210" s="79">
        <v>12072.154624203364</v>
      </c>
      <c r="G210" s="79">
        <v>12072.154624203364</v>
      </c>
      <c r="H210" s="79">
        <v>12072.154624203364</v>
      </c>
      <c r="I210" s="79">
        <v>12072.154624203364</v>
      </c>
      <c r="J210" s="79">
        <v>12072.154624203364</v>
      </c>
      <c r="K210" s="79">
        <v>12072.154624203364</v>
      </c>
      <c r="L210" s="79">
        <v>12072.154624203364</v>
      </c>
      <c r="M210" s="79">
        <v>12072.154624203364</v>
      </c>
      <c r="N210" s="79">
        <v>12072.154624203364</v>
      </c>
      <c r="O210" s="79">
        <v>12072.154624203364</v>
      </c>
      <c r="P210" s="79">
        <v>12072.154624203364</v>
      </c>
      <c r="Q210" s="79">
        <v>12072.154624203364</v>
      </c>
      <c r="R210" s="79">
        <v>12072.154624203364</v>
      </c>
      <c r="S210" s="79">
        <v>12072.154624203364</v>
      </c>
      <c r="T210" s="79">
        <v>12072.154624203364</v>
      </c>
      <c r="U210" s="79">
        <v>12072.154624203364</v>
      </c>
      <c r="V210" s="79">
        <v>12072.154624203364</v>
      </c>
      <c r="W210" s="79">
        <v>12072.154624203364</v>
      </c>
      <c r="X210" s="79">
        <v>12072.154624203364</v>
      </c>
      <c r="Y210" s="79">
        <v>12072.154624203364</v>
      </c>
      <c r="Z210" s="79">
        <v>12072.154624203364</v>
      </c>
      <c r="AA210" s="79">
        <v>12072.154624203364</v>
      </c>
      <c r="AB210" s="79">
        <v>12072.154624203364</v>
      </c>
      <c r="AC210" s="79">
        <v>12072.154624203364</v>
      </c>
      <c r="AD210" s="79">
        <v>12072.154624203364</v>
      </c>
      <c r="AE210" s="79">
        <v>12072.154624203364</v>
      </c>
      <c r="AF210" s="79">
        <v>12072.154624203364</v>
      </c>
      <c r="AG210" s="79">
        <v>12072.154624203364</v>
      </c>
      <c r="AH210" s="79">
        <v>12072.154624203364</v>
      </c>
      <c r="AI210" s="79">
        <v>12072.154624203364</v>
      </c>
      <c r="AJ210" s="79">
        <v>12072.154624203364</v>
      </c>
      <c r="AK210" s="79">
        <v>12072.154624203364</v>
      </c>
      <c r="AL210" s="79">
        <v>12072.154624203364</v>
      </c>
      <c r="AM210" s="79">
        <v>12072.154624203364</v>
      </c>
      <c r="AN210" s="79">
        <v>12072.154624203364</v>
      </c>
      <c r="AO210" s="79">
        <v>12072.154624203364</v>
      </c>
    </row>
    <row r="211" spans="1:42" x14ac:dyDescent="0.35">
      <c r="A211" s="67" t="s">
        <v>52</v>
      </c>
      <c r="B211" s="68" t="s">
        <v>26</v>
      </c>
      <c r="C211" s="75" t="s">
        <v>95</v>
      </c>
      <c r="D211" s="75" t="s">
        <v>80</v>
      </c>
      <c r="E211" s="80">
        <v>98244.345351334399</v>
      </c>
      <c r="F211" s="80">
        <v>98052.835906205612</v>
      </c>
      <c r="G211" s="80">
        <v>97861.326461076009</v>
      </c>
      <c r="H211" s="80">
        <v>97669.817015946406</v>
      </c>
      <c r="I211" s="80">
        <v>97478.307570817604</v>
      </c>
      <c r="J211" s="80">
        <v>97286.798125687201</v>
      </c>
      <c r="K211" s="80">
        <v>97095.288680558398</v>
      </c>
      <c r="L211" s="80">
        <v>97095.288680558398</v>
      </c>
      <c r="M211" s="80">
        <v>97095.288680558398</v>
      </c>
      <c r="N211" s="80">
        <v>97095.288680558398</v>
      </c>
      <c r="O211" s="80">
        <v>97095.288680558398</v>
      </c>
      <c r="P211" s="80">
        <v>97095.288680558398</v>
      </c>
      <c r="Q211" s="80">
        <v>97095.288680558398</v>
      </c>
      <c r="R211" s="80">
        <v>97095.288680558398</v>
      </c>
      <c r="S211" s="80">
        <v>97095.288680558398</v>
      </c>
      <c r="T211" s="80">
        <v>97095.288680558398</v>
      </c>
      <c r="U211" s="80">
        <v>97095.288680558398</v>
      </c>
      <c r="V211" s="80">
        <v>97095.288680558398</v>
      </c>
      <c r="W211" s="80">
        <v>97095.288680558398</v>
      </c>
      <c r="X211" s="80">
        <v>97095.288680558398</v>
      </c>
      <c r="Y211" s="80">
        <v>97095.288680558398</v>
      </c>
      <c r="Z211" s="80">
        <v>97095.288680558398</v>
      </c>
      <c r="AA211" s="80">
        <v>97095.288680558398</v>
      </c>
      <c r="AB211" s="80">
        <v>97095.288680558398</v>
      </c>
      <c r="AC211" s="80">
        <v>97095.288680558398</v>
      </c>
      <c r="AD211" s="80">
        <v>97095.288680558398</v>
      </c>
      <c r="AE211" s="80">
        <v>97095.288680558398</v>
      </c>
      <c r="AF211" s="80">
        <v>97095.288680558398</v>
      </c>
      <c r="AG211" s="80">
        <v>97095.288680558398</v>
      </c>
      <c r="AH211" s="80">
        <v>97095.288680558398</v>
      </c>
      <c r="AI211" s="80">
        <v>97095.288680558398</v>
      </c>
      <c r="AJ211" s="80">
        <v>97095.288680558398</v>
      </c>
      <c r="AK211" s="80">
        <v>97095.288680558398</v>
      </c>
      <c r="AL211" s="80">
        <v>97095.288680558398</v>
      </c>
      <c r="AM211" s="80">
        <v>97095.288680558398</v>
      </c>
      <c r="AN211" s="80">
        <v>97095.288680558398</v>
      </c>
      <c r="AO211" s="80">
        <v>97095.288680558398</v>
      </c>
    </row>
    <row r="212" spans="1:42" x14ac:dyDescent="0.35">
      <c r="A212" s="67" t="s">
        <v>52</v>
      </c>
      <c r="B212" s="72" t="s">
        <v>28</v>
      </c>
      <c r="C212" s="75" t="s">
        <v>95</v>
      </c>
      <c r="D212" s="73" t="s">
        <v>80</v>
      </c>
      <c r="E212" s="79">
        <v>41651</v>
      </c>
      <c r="F212" s="79">
        <f>E212</f>
        <v>41651</v>
      </c>
      <c r="G212" s="79">
        <f t="shared" ref="G212:AO212" si="234">F212</f>
        <v>41651</v>
      </c>
      <c r="H212" s="79">
        <f t="shared" si="234"/>
        <v>41651</v>
      </c>
      <c r="I212" s="79">
        <f t="shared" si="234"/>
        <v>41651</v>
      </c>
      <c r="J212" s="79">
        <f t="shared" si="234"/>
        <v>41651</v>
      </c>
      <c r="K212" s="79">
        <f t="shared" si="234"/>
        <v>41651</v>
      </c>
      <c r="L212" s="79">
        <f t="shared" si="234"/>
        <v>41651</v>
      </c>
      <c r="M212" s="79">
        <f t="shared" si="234"/>
        <v>41651</v>
      </c>
      <c r="N212" s="79">
        <f t="shared" si="234"/>
        <v>41651</v>
      </c>
      <c r="O212" s="79">
        <f t="shared" si="234"/>
        <v>41651</v>
      </c>
      <c r="P212" s="79">
        <f t="shared" si="234"/>
        <v>41651</v>
      </c>
      <c r="Q212" s="79">
        <f t="shared" si="234"/>
        <v>41651</v>
      </c>
      <c r="R212" s="79">
        <f t="shared" si="234"/>
        <v>41651</v>
      </c>
      <c r="S212" s="79">
        <f t="shared" si="234"/>
        <v>41651</v>
      </c>
      <c r="T212" s="79">
        <f t="shared" si="234"/>
        <v>41651</v>
      </c>
      <c r="U212" s="79">
        <f t="shared" si="234"/>
        <v>41651</v>
      </c>
      <c r="V212" s="79">
        <f t="shared" si="234"/>
        <v>41651</v>
      </c>
      <c r="W212" s="79">
        <f t="shared" si="234"/>
        <v>41651</v>
      </c>
      <c r="X212" s="79">
        <f t="shared" si="234"/>
        <v>41651</v>
      </c>
      <c r="Y212" s="79">
        <f t="shared" si="234"/>
        <v>41651</v>
      </c>
      <c r="Z212" s="79">
        <f t="shared" si="234"/>
        <v>41651</v>
      </c>
      <c r="AA212" s="79">
        <f t="shared" si="234"/>
        <v>41651</v>
      </c>
      <c r="AB212" s="79">
        <f t="shared" si="234"/>
        <v>41651</v>
      </c>
      <c r="AC212" s="79">
        <f t="shared" si="234"/>
        <v>41651</v>
      </c>
      <c r="AD212" s="79">
        <f t="shared" si="234"/>
        <v>41651</v>
      </c>
      <c r="AE212" s="79">
        <f t="shared" si="234"/>
        <v>41651</v>
      </c>
      <c r="AF212" s="79">
        <f t="shared" si="234"/>
        <v>41651</v>
      </c>
      <c r="AG212" s="79">
        <f t="shared" si="234"/>
        <v>41651</v>
      </c>
      <c r="AH212" s="79">
        <f t="shared" si="234"/>
        <v>41651</v>
      </c>
      <c r="AI212" s="79">
        <f t="shared" si="234"/>
        <v>41651</v>
      </c>
      <c r="AJ212" s="79">
        <f t="shared" si="234"/>
        <v>41651</v>
      </c>
      <c r="AK212" s="79">
        <f t="shared" si="234"/>
        <v>41651</v>
      </c>
      <c r="AL212" s="79">
        <f t="shared" si="234"/>
        <v>41651</v>
      </c>
      <c r="AM212" s="79">
        <f t="shared" si="234"/>
        <v>41651</v>
      </c>
      <c r="AN212" s="79">
        <f t="shared" si="234"/>
        <v>41651</v>
      </c>
      <c r="AO212" s="79">
        <f t="shared" si="234"/>
        <v>41651</v>
      </c>
    </row>
    <row r="213" spans="1:42" x14ac:dyDescent="0.35">
      <c r="A213" s="67" t="s">
        <v>52</v>
      </c>
      <c r="B213" s="68" t="s">
        <v>12</v>
      </c>
      <c r="C213" s="75" t="s">
        <v>95</v>
      </c>
      <c r="D213" s="75" t="s">
        <v>80</v>
      </c>
      <c r="E213" s="80">
        <v>122171.77187690097</v>
      </c>
      <c r="F213" s="80">
        <v>117899.00335957864</v>
      </c>
      <c r="G213" s="80">
        <v>113954.90934358738</v>
      </c>
      <c r="H213" s="80">
        <v>110365.43781587767</v>
      </c>
      <c r="I213" s="80">
        <v>107108.96545399028</v>
      </c>
      <c r="J213" s="80">
        <v>104111.9729615767</v>
      </c>
      <c r="K213" s="80">
        <v>101435.00564151262</v>
      </c>
      <c r="L213" s="80">
        <v>99013.193526430085</v>
      </c>
      <c r="M213" s="80">
        <v>96842.211951839228</v>
      </c>
      <c r="N213" s="80">
        <v>94922.060917738447</v>
      </c>
      <c r="O213" s="80">
        <v>93192.195121251367</v>
      </c>
      <c r="P213" s="80">
        <v>91704.510536272428</v>
      </c>
      <c r="Q213" s="80">
        <v>90372.513872977375</v>
      </c>
      <c r="R213" s="80">
        <v>89209.179124839793</v>
      </c>
      <c r="S213" s="80">
        <v>88218.830956350881</v>
      </c>
      <c r="T213" s="80">
        <v>87353.89805810737</v>
      </c>
      <c r="U213" s="80">
        <v>86610.055765617959</v>
      </c>
      <c r="V213" s="80">
        <v>85952.706762952919</v>
      </c>
      <c r="W213" s="80">
        <v>85390.500379094461</v>
      </c>
      <c r="X213" s="80">
        <v>84914.787285060593</v>
      </c>
      <c r="Y213" s="80">
        <v>84477.996171447565</v>
      </c>
      <c r="Z213" s="80">
        <v>84062.828380290666</v>
      </c>
      <c r="AA213" s="75">
        <v>83699.556563028353</v>
      </c>
      <c r="AB213" s="75">
        <v>83306.012094327569</v>
      </c>
      <c r="AC213" s="75">
        <v>82921.116954609126</v>
      </c>
      <c r="AD213" s="75">
        <v>82514.59849243467</v>
      </c>
      <c r="AE213" s="75">
        <v>82034.560733909515</v>
      </c>
      <c r="AF213" s="80">
        <v>82034.560733909515</v>
      </c>
      <c r="AG213" s="80">
        <v>82034.560733909515</v>
      </c>
      <c r="AH213" s="80">
        <v>82034.560733909515</v>
      </c>
      <c r="AI213" s="80">
        <v>82034.560733909515</v>
      </c>
      <c r="AJ213" s="80">
        <v>82034.560733909515</v>
      </c>
      <c r="AK213" s="80">
        <v>82034.560733909515</v>
      </c>
      <c r="AL213" s="80">
        <v>82034.560733909515</v>
      </c>
      <c r="AM213" s="80">
        <v>82034.560733909515</v>
      </c>
      <c r="AN213" s="80">
        <v>82034.560733909515</v>
      </c>
      <c r="AO213" s="80">
        <v>82034.560733909515</v>
      </c>
    </row>
    <row r="214" spans="1:42" x14ac:dyDescent="0.35">
      <c r="A214" s="158" t="s">
        <v>125</v>
      </c>
      <c r="B214" s="158" t="s">
        <v>30</v>
      </c>
      <c r="C214" s="160" t="s">
        <v>95</v>
      </c>
      <c r="D214" s="160" t="s">
        <v>80</v>
      </c>
      <c r="E214" s="158">
        <v>11234</v>
      </c>
      <c r="F214" s="158">
        <v>10677</v>
      </c>
      <c r="G214" s="158">
        <v>10377</v>
      </c>
      <c r="H214" s="158">
        <v>10087</v>
      </c>
      <c r="I214" s="158">
        <v>9826</v>
      </c>
      <c r="J214" s="158">
        <v>9548</v>
      </c>
      <c r="K214" s="158">
        <v>9281</v>
      </c>
      <c r="L214" s="158">
        <v>9114</v>
      </c>
      <c r="M214" s="158">
        <v>8927</v>
      </c>
      <c r="N214" s="158">
        <v>8756</v>
      </c>
      <c r="O214" s="158">
        <v>8589</v>
      </c>
      <c r="P214" s="158">
        <v>8405</v>
      </c>
      <c r="Q214" s="158">
        <v>8236</v>
      </c>
      <c r="R214" s="158">
        <v>8050</v>
      </c>
      <c r="S214" s="158">
        <v>7880</v>
      </c>
      <c r="T214" s="158">
        <v>7706</v>
      </c>
      <c r="U214" s="158">
        <v>7544</v>
      </c>
      <c r="V214" s="158">
        <v>7544</v>
      </c>
      <c r="W214" s="158">
        <v>7544</v>
      </c>
      <c r="X214" s="158">
        <v>7544</v>
      </c>
      <c r="Y214" s="158">
        <v>7544</v>
      </c>
      <c r="Z214" s="158">
        <v>7544</v>
      </c>
      <c r="AA214" s="158">
        <v>7544</v>
      </c>
      <c r="AB214" s="158">
        <v>7544</v>
      </c>
      <c r="AC214" s="158">
        <v>7544</v>
      </c>
      <c r="AD214" s="158">
        <v>7544</v>
      </c>
      <c r="AE214" s="158">
        <v>7544</v>
      </c>
      <c r="AF214" s="158">
        <v>7544</v>
      </c>
      <c r="AG214" s="158">
        <v>7544</v>
      </c>
      <c r="AH214" s="158">
        <v>7544</v>
      </c>
      <c r="AI214" s="158">
        <v>7544</v>
      </c>
      <c r="AJ214" s="158">
        <v>7544</v>
      </c>
      <c r="AK214" s="158">
        <v>7544</v>
      </c>
      <c r="AL214" s="158">
        <v>7544</v>
      </c>
      <c r="AM214" s="158">
        <v>7544</v>
      </c>
      <c r="AN214" s="158">
        <v>7544</v>
      </c>
      <c r="AO214" s="158">
        <v>7544</v>
      </c>
    </row>
    <row r="215" spans="1:42" x14ac:dyDescent="0.35">
      <c r="A215" s="158" t="s">
        <v>125</v>
      </c>
      <c r="B215" s="158" t="s">
        <v>32</v>
      </c>
      <c r="C215" s="160" t="s">
        <v>95</v>
      </c>
      <c r="D215" s="160" t="s">
        <v>80</v>
      </c>
      <c r="E215" s="158">
        <v>24715</v>
      </c>
      <c r="F215" s="158">
        <v>23490</v>
      </c>
      <c r="G215" s="158">
        <v>22830</v>
      </c>
      <c r="H215" s="158">
        <v>22191</v>
      </c>
      <c r="I215" s="158">
        <v>21616</v>
      </c>
      <c r="J215" s="158">
        <v>21005</v>
      </c>
      <c r="K215" s="158">
        <v>20419</v>
      </c>
      <c r="L215" s="158">
        <v>20051</v>
      </c>
      <c r="M215" s="158">
        <v>19640</v>
      </c>
      <c r="N215" s="158">
        <v>19263</v>
      </c>
      <c r="O215" s="158">
        <v>18896</v>
      </c>
      <c r="P215" s="158">
        <v>18492</v>
      </c>
      <c r="Q215" s="158">
        <v>18119</v>
      </c>
      <c r="R215" s="158">
        <v>17709</v>
      </c>
      <c r="S215" s="158">
        <v>17336</v>
      </c>
      <c r="T215" s="158">
        <v>16953</v>
      </c>
      <c r="U215" s="158">
        <v>16598</v>
      </c>
      <c r="V215" s="158">
        <v>16598</v>
      </c>
      <c r="W215" s="158">
        <v>16598</v>
      </c>
      <c r="X215" s="158">
        <v>16598</v>
      </c>
      <c r="Y215" s="158">
        <v>16598</v>
      </c>
      <c r="Z215" s="158">
        <v>16598</v>
      </c>
      <c r="AA215" s="158">
        <v>16598</v>
      </c>
      <c r="AB215" s="158">
        <v>16598</v>
      </c>
      <c r="AC215" s="158">
        <v>16598</v>
      </c>
      <c r="AD215" s="158">
        <v>16598</v>
      </c>
      <c r="AE215" s="158">
        <v>16598</v>
      </c>
      <c r="AF215" s="158">
        <v>16598</v>
      </c>
      <c r="AG215" s="158">
        <v>16598</v>
      </c>
      <c r="AH215" s="158">
        <v>16598</v>
      </c>
      <c r="AI215" s="158">
        <v>16598</v>
      </c>
      <c r="AJ215" s="158">
        <v>16598</v>
      </c>
      <c r="AK215" s="158">
        <v>16598</v>
      </c>
      <c r="AL215" s="158">
        <v>16598</v>
      </c>
      <c r="AM215" s="158">
        <v>16598</v>
      </c>
      <c r="AN215" s="158">
        <v>16598</v>
      </c>
      <c r="AO215" s="158">
        <v>16598</v>
      </c>
    </row>
    <row r="216" spans="1:42" x14ac:dyDescent="0.35">
      <c r="A216" s="158" t="s">
        <v>125</v>
      </c>
      <c r="B216" s="158" t="s">
        <v>33</v>
      </c>
      <c r="C216" s="160" t="s">
        <v>95</v>
      </c>
      <c r="D216" s="160" t="s">
        <v>80</v>
      </c>
      <c r="E216" s="158">
        <v>44487</v>
      </c>
      <c r="F216" s="158">
        <v>42283</v>
      </c>
      <c r="G216" s="158">
        <v>41094</v>
      </c>
      <c r="H216" s="158">
        <v>39945</v>
      </c>
      <c r="I216" s="158">
        <v>38910</v>
      </c>
      <c r="J216" s="158">
        <v>37809</v>
      </c>
      <c r="K216" s="158">
        <v>36754</v>
      </c>
      <c r="L216" s="158">
        <v>36092</v>
      </c>
      <c r="M216" s="158">
        <v>35352</v>
      </c>
      <c r="N216" s="158">
        <v>34674</v>
      </c>
      <c r="O216" s="158">
        <v>34013</v>
      </c>
      <c r="P216" s="158">
        <v>33285</v>
      </c>
      <c r="Q216" s="158">
        <v>32614</v>
      </c>
      <c r="R216" s="158">
        <v>31876</v>
      </c>
      <c r="S216" s="158">
        <v>31205</v>
      </c>
      <c r="T216" s="158">
        <v>30515</v>
      </c>
      <c r="U216" s="158">
        <v>29876</v>
      </c>
      <c r="V216" s="158">
        <v>29876</v>
      </c>
      <c r="W216" s="158">
        <v>29876</v>
      </c>
      <c r="X216" s="158">
        <v>29876</v>
      </c>
      <c r="Y216" s="158">
        <v>29876</v>
      </c>
      <c r="Z216" s="158">
        <v>29876</v>
      </c>
      <c r="AA216" s="158">
        <v>29876</v>
      </c>
      <c r="AB216" s="158">
        <v>29876</v>
      </c>
      <c r="AC216" s="158">
        <v>29876</v>
      </c>
      <c r="AD216" s="158">
        <v>29876</v>
      </c>
      <c r="AE216" s="158">
        <v>29876</v>
      </c>
      <c r="AF216" s="158">
        <v>29876</v>
      </c>
      <c r="AG216" s="158">
        <v>29876</v>
      </c>
      <c r="AH216" s="158">
        <v>29876</v>
      </c>
      <c r="AI216" s="158">
        <v>29876</v>
      </c>
      <c r="AJ216" s="158">
        <v>29876</v>
      </c>
      <c r="AK216" s="158">
        <v>29876</v>
      </c>
      <c r="AL216" s="158">
        <v>29876</v>
      </c>
      <c r="AM216" s="158">
        <v>29876</v>
      </c>
      <c r="AN216" s="158">
        <v>29876</v>
      </c>
      <c r="AO216" s="158">
        <v>29876</v>
      </c>
      <c r="AP216" s="121"/>
    </row>
    <row r="217" spans="1:42" x14ac:dyDescent="0.35">
      <c r="A217" s="158" t="s">
        <v>125</v>
      </c>
      <c r="B217" s="159" t="s">
        <v>13</v>
      </c>
      <c r="C217" s="160" t="s">
        <v>95</v>
      </c>
      <c r="D217" s="160" t="s">
        <v>80</v>
      </c>
      <c r="E217" s="160">
        <v>30390</v>
      </c>
      <c r="F217" s="160">
        <v>30006</v>
      </c>
      <c r="G217" s="160">
        <v>29621</v>
      </c>
      <c r="H217" s="160">
        <v>29237</v>
      </c>
      <c r="I217" s="160">
        <v>28853</v>
      </c>
      <c r="J217" s="160">
        <v>28469</v>
      </c>
      <c r="K217" s="160">
        <v>28085</v>
      </c>
      <c r="L217" s="160">
        <v>27896</v>
      </c>
      <c r="M217" s="160">
        <v>27707</v>
      </c>
      <c r="N217" s="160">
        <v>27518</v>
      </c>
      <c r="O217" s="160">
        <v>27328</v>
      </c>
      <c r="P217" s="160">
        <v>27138</v>
      </c>
      <c r="Q217" s="160">
        <v>26948</v>
      </c>
      <c r="R217" s="160">
        <v>26757</v>
      </c>
      <c r="S217" s="160">
        <v>26566</v>
      </c>
      <c r="T217" s="160">
        <v>26375</v>
      </c>
      <c r="U217" s="160">
        <v>26184</v>
      </c>
      <c r="V217" s="160">
        <v>25992</v>
      </c>
      <c r="W217" s="160">
        <v>25800</v>
      </c>
      <c r="X217" s="160">
        <v>25608</v>
      </c>
      <c r="Y217" s="160">
        <v>25415</v>
      </c>
      <c r="Z217" s="160">
        <v>25223</v>
      </c>
      <c r="AA217" s="160">
        <v>25030</v>
      </c>
      <c r="AB217" s="160">
        <v>24836</v>
      </c>
      <c r="AC217" s="160">
        <v>24642</v>
      </c>
      <c r="AD217" s="160">
        <v>24448</v>
      </c>
      <c r="AE217" s="160">
        <v>24254</v>
      </c>
      <c r="AF217" s="160">
        <v>24254</v>
      </c>
      <c r="AG217" s="160">
        <v>24254</v>
      </c>
      <c r="AH217" s="160">
        <v>24254</v>
      </c>
      <c r="AI217" s="160">
        <v>24254</v>
      </c>
      <c r="AJ217" s="160">
        <v>24254</v>
      </c>
      <c r="AK217" s="160">
        <v>24254</v>
      </c>
      <c r="AL217" s="160">
        <v>24254</v>
      </c>
      <c r="AM217" s="160">
        <v>24254</v>
      </c>
      <c r="AN217" s="160">
        <v>24254</v>
      </c>
      <c r="AO217" s="160">
        <v>24254</v>
      </c>
    </row>
    <row r="218" spans="1:42" x14ac:dyDescent="0.35">
      <c r="A218" s="158" t="s">
        <v>125</v>
      </c>
      <c r="B218" s="159" t="s">
        <v>14</v>
      </c>
      <c r="C218" s="160" t="s">
        <v>95</v>
      </c>
      <c r="D218" s="160" t="s">
        <v>80</v>
      </c>
      <c r="E218" s="160">
        <v>34948</v>
      </c>
      <c r="F218" s="160">
        <v>34507</v>
      </c>
      <c r="G218" s="160">
        <v>34065</v>
      </c>
      <c r="H218" s="160">
        <v>33623</v>
      </c>
      <c r="I218" s="160">
        <v>33181</v>
      </c>
      <c r="J218" s="160">
        <v>32739</v>
      </c>
      <c r="K218" s="160">
        <v>32298</v>
      </c>
      <c r="L218" s="160">
        <v>32080</v>
      </c>
      <c r="M218" s="160">
        <v>31863</v>
      </c>
      <c r="N218" s="160">
        <v>31645</v>
      </c>
      <c r="O218" s="160">
        <v>31427</v>
      </c>
      <c r="P218" s="160">
        <v>31209</v>
      </c>
      <c r="Q218" s="160">
        <v>30990</v>
      </c>
      <c r="R218" s="160">
        <v>30771</v>
      </c>
      <c r="S218" s="160">
        <v>30551</v>
      </c>
      <c r="T218" s="160">
        <v>30332</v>
      </c>
      <c r="U218" s="160">
        <v>30111</v>
      </c>
      <c r="V218" s="160">
        <v>29891</v>
      </c>
      <c r="W218" s="160">
        <v>29670</v>
      </c>
      <c r="X218" s="160">
        <v>29449</v>
      </c>
      <c r="Y218" s="160">
        <v>29228</v>
      </c>
      <c r="Z218" s="160">
        <v>29006</v>
      </c>
      <c r="AA218" s="160">
        <v>28784</v>
      </c>
      <c r="AB218" s="160">
        <v>28562</v>
      </c>
      <c r="AC218" s="160">
        <v>28339</v>
      </c>
      <c r="AD218" s="160">
        <v>28116</v>
      </c>
      <c r="AE218" s="160">
        <v>27892</v>
      </c>
      <c r="AF218" s="160">
        <v>27892</v>
      </c>
      <c r="AG218" s="160">
        <v>27892</v>
      </c>
      <c r="AH218" s="160">
        <v>27892</v>
      </c>
      <c r="AI218" s="160">
        <v>27892</v>
      </c>
      <c r="AJ218" s="160">
        <v>27892</v>
      </c>
      <c r="AK218" s="160">
        <v>27892</v>
      </c>
      <c r="AL218" s="160">
        <v>27892</v>
      </c>
      <c r="AM218" s="160">
        <v>27892</v>
      </c>
      <c r="AN218" s="160">
        <v>27892</v>
      </c>
      <c r="AO218" s="160">
        <v>27892</v>
      </c>
    </row>
    <row r="219" spans="1:42" x14ac:dyDescent="0.35">
      <c r="A219" s="158" t="s">
        <v>125</v>
      </c>
      <c r="B219" s="159" t="s">
        <v>10</v>
      </c>
      <c r="C219" s="160" t="s">
        <v>95</v>
      </c>
      <c r="D219" s="160" t="s">
        <v>80</v>
      </c>
      <c r="E219" s="160">
        <v>21363</v>
      </c>
      <c r="F219" s="160">
        <v>20990</v>
      </c>
      <c r="G219" s="160">
        <v>20580</v>
      </c>
      <c r="H219" s="160">
        <v>20152</v>
      </c>
      <c r="I219" s="160">
        <v>19692</v>
      </c>
      <c r="J219" s="160">
        <v>19186</v>
      </c>
      <c r="K219" s="160">
        <v>18703</v>
      </c>
      <c r="L219" s="160">
        <v>18464</v>
      </c>
      <c r="M219" s="160">
        <v>18238</v>
      </c>
      <c r="N219" s="160">
        <v>18008</v>
      </c>
      <c r="O219" s="160">
        <v>17801</v>
      </c>
      <c r="P219" s="160">
        <v>17589</v>
      </c>
      <c r="Q219" s="160">
        <v>17359</v>
      </c>
      <c r="R219" s="160">
        <v>17134</v>
      </c>
      <c r="S219" s="160">
        <v>16931</v>
      </c>
      <c r="T219" s="160">
        <v>16706</v>
      </c>
      <c r="U219" s="160">
        <v>16483</v>
      </c>
      <c r="V219" s="160">
        <v>16235</v>
      </c>
      <c r="W219" s="160">
        <v>15986</v>
      </c>
      <c r="X219" s="160">
        <v>15738</v>
      </c>
      <c r="Y219" s="160">
        <v>15490</v>
      </c>
      <c r="Z219" s="160">
        <v>15241</v>
      </c>
      <c r="AA219" s="160">
        <v>14993</v>
      </c>
      <c r="AB219" s="160">
        <v>14745</v>
      </c>
      <c r="AC219" s="160">
        <v>14497</v>
      </c>
      <c r="AD219" s="160">
        <v>14248</v>
      </c>
      <c r="AE219" s="160">
        <v>14000</v>
      </c>
      <c r="AF219" s="160">
        <v>14000</v>
      </c>
      <c r="AG219" s="160">
        <v>14000</v>
      </c>
      <c r="AH219" s="160">
        <v>14000</v>
      </c>
      <c r="AI219" s="160">
        <v>14000</v>
      </c>
      <c r="AJ219" s="160">
        <v>14000</v>
      </c>
      <c r="AK219" s="160">
        <v>14000</v>
      </c>
      <c r="AL219" s="160">
        <v>14000</v>
      </c>
      <c r="AM219" s="160">
        <v>14000</v>
      </c>
      <c r="AN219" s="160">
        <v>14000</v>
      </c>
      <c r="AO219" s="160">
        <v>14000</v>
      </c>
    </row>
    <row r="220" spans="1:42" x14ac:dyDescent="0.35">
      <c r="A220" s="158" t="s">
        <v>125</v>
      </c>
      <c r="B220" s="159" t="s">
        <v>8</v>
      </c>
      <c r="C220" s="160" t="s">
        <v>95</v>
      </c>
      <c r="D220" s="160" t="s">
        <v>80</v>
      </c>
      <c r="E220" s="160">
        <v>21363</v>
      </c>
      <c r="F220" s="160">
        <v>20990</v>
      </c>
      <c r="G220" s="160">
        <v>20580</v>
      </c>
      <c r="H220" s="160">
        <v>20152</v>
      </c>
      <c r="I220" s="160">
        <v>19692</v>
      </c>
      <c r="J220" s="160">
        <v>19186</v>
      </c>
      <c r="K220" s="160">
        <v>18703</v>
      </c>
      <c r="L220" s="160">
        <v>18464</v>
      </c>
      <c r="M220" s="160">
        <v>18238</v>
      </c>
      <c r="N220" s="160">
        <v>18008</v>
      </c>
      <c r="O220" s="160">
        <v>17801</v>
      </c>
      <c r="P220" s="160">
        <v>17589</v>
      </c>
      <c r="Q220" s="160">
        <v>17359</v>
      </c>
      <c r="R220" s="160">
        <v>17134</v>
      </c>
      <c r="S220" s="160">
        <v>16931</v>
      </c>
      <c r="T220" s="160">
        <v>16706</v>
      </c>
      <c r="U220" s="160">
        <v>16483</v>
      </c>
      <c r="V220" s="160">
        <v>16235</v>
      </c>
      <c r="W220" s="160">
        <v>15986</v>
      </c>
      <c r="X220" s="160">
        <v>15738</v>
      </c>
      <c r="Y220" s="160">
        <v>15490</v>
      </c>
      <c r="Z220" s="160">
        <v>15241</v>
      </c>
      <c r="AA220" s="160">
        <v>14993</v>
      </c>
      <c r="AB220" s="160">
        <v>14745</v>
      </c>
      <c r="AC220" s="160">
        <v>14497</v>
      </c>
      <c r="AD220" s="160">
        <v>14248</v>
      </c>
      <c r="AE220" s="160">
        <v>14000</v>
      </c>
      <c r="AF220" s="160">
        <v>14000</v>
      </c>
      <c r="AG220" s="160">
        <v>14000</v>
      </c>
      <c r="AH220" s="160">
        <v>14000</v>
      </c>
      <c r="AI220" s="160">
        <v>14000</v>
      </c>
      <c r="AJ220" s="160">
        <v>14000</v>
      </c>
      <c r="AK220" s="160">
        <v>14000</v>
      </c>
      <c r="AL220" s="160">
        <v>14000</v>
      </c>
      <c r="AM220" s="160">
        <v>14000</v>
      </c>
      <c r="AN220" s="160">
        <v>14000</v>
      </c>
      <c r="AO220" s="160">
        <v>14000</v>
      </c>
    </row>
    <row r="221" spans="1:42" x14ac:dyDescent="0.35">
      <c r="A221" s="158" t="s">
        <v>125</v>
      </c>
      <c r="B221" s="159" t="s">
        <v>11</v>
      </c>
      <c r="C221" s="160" t="s">
        <v>95</v>
      </c>
      <c r="D221" s="160" t="s">
        <v>80</v>
      </c>
      <c r="E221" s="160">
        <v>21363</v>
      </c>
      <c r="F221" s="160">
        <v>20990</v>
      </c>
      <c r="G221" s="160">
        <v>20580</v>
      </c>
      <c r="H221" s="160">
        <v>20152</v>
      </c>
      <c r="I221" s="160">
        <v>19692</v>
      </c>
      <c r="J221" s="160">
        <v>19186</v>
      </c>
      <c r="K221" s="160">
        <v>18703</v>
      </c>
      <c r="L221" s="160">
        <v>18464</v>
      </c>
      <c r="M221" s="160">
        <v>18238</v>
      </c>
      <c r="N221" s="160">
        <v>18008</v>
      </c>
      <c r="O221" s="160">
        <v>17801</v>
      </c>
      <c r="P221" s="160">
        <v>17589</v>
      </c>
      <c r="Q221" s="160">
        <v>17359</v>
      </c>
      <c r="R221" s="160">
        <v>17134</v>
      </c>
      <c r="S221" s="160">
        <v>16931</v>
      </c>
      <c r="T221" s="160">
        <v>16706</v>
      </c>
      <c r="U221" s="160">
        <v>16483</v>
      </c>
      <c r="V221" s="160">
        <v>16235</v>
      </c>
      <c r="W221" s="160">
        <v>15986</v>
      </c>
      <c r="X221" s="160">
        <v>15738</v>
      </c>
      <c r="Y221" s="160">
        <v>15490</v>
      </c>
      <c r="Z221" s="160">
        <v>15241</v>
      </c>
      <c r="AA221" s="160">
        <v>14993</v>
      </c>
      <c r="AB221" s="160">
        <v>14745</v>
      </c>
      <c r="AC221" s="160">
        <v>14497</v>
      </c>
      <c r="AD221" s="160">
        <v>14248</v>
      </c>
      <c r="AE221" s="160">
        <v>14000</v>
      </c>
      <c r="AF221" s="160">
        <v>14000</v>
      </c>
      <c r="AG221" s="160">
        <v>14000</v>
      </c>
      <c r="AH221" s="160">
        <v>14000</v>
      </c>
      <c r="AI221" s="160">
        <v>14000</v>
      </c>
      <c r="AJ221" s="160">
        <v>14000</v>
      </c>
      <c r="AK221" s="160">
        <v>14000</v>
      </c>
      <c r="AL221" s="160">
        <v>14000</v>
      </c>
      <c r="AM221" s="160">
        <v>14000</v>
      </c>
      <c r="AN221" s="160">
        <v>14000</v>
      </c>
      <c r="AO221" s="160">
        <v>14000</v>
      </c>
    </row>
    <row r="222" spans="1:42" x14ac:dyDescent="0.35">
      <c r="A222" s="161" t="s">
        <v>126</v>
      </c>
      <c r="B222" s="162" t="s">
        <v>30</v>
      </c>
      <c r="C222" s="163" t="s">
        <v>95</v>
      </c>
      <c r="D222" s="163" t="s">
        <v>80</v>
      </c>
      <c r="E222" s="163">
        <v>10477</v>
      </c>
      <c r="F222" s="163">
        <v>9690</v>
      </c>
      <c r="G222" s="163">
        <v>9204</v>
      </c>
      <c r="H222" s="163">
        <v>8799</v>
      </c>
      <c r="I222" s="163">
        <v>8452</v>
      </c>
      <c r="J222" s="163">
        <v>8162</v>
      </c>
      <c r="K222" s="163">
        <v>7823</v>
      </c>
      <c r="L222" s="163">
        <v>7674</v>
      </c>
      <c r="M222" s="163">
        <v>7516</v>
      </c>
      <c r="N222" s="163">
        <v>7376</v>
      </c>
      <c r="O222" s="163">
        <v>7238</v>
      </c>
      <c r="P222" s="163">
        <v>7092</v>
      </c>
      <c r="Q222" s="163">
        <v>6953</v>
      </c>
      <c r="R222" s="163">
        <v>6817</v>
      </c>
      <c r="S222" s="163">
        <v>6689</v>
      </c>
      <c r="T222" s="163">
        <v>6548</v>
      </c>
      <c r="U222" s="163">
        <v>6467</v>
      </c>
      <c r="V222" s="163">
        <v>6467</v>
      </c>
      <c r="W222" s="163">
        <v>6467</v>
      </c>
      <c r="X222" s="163">
        <v>6467</v>
      </c>
      <c r="Y222" s="163">
        <v>6467</v>
      </c>
      <c r="Z222" s="163">
        <v>6467</v>
      </c>
      <c r="AA222" s="163">
        <v>6467</v>
      </c>
      <c r="AB222" s="163">
        <v>6467</v>
      </c>
      <c r="AC222" s="163">
        <v>6467</v>
      </c>
      <c r="AD222" s="163">
        <v>6467</v>
      </c>
      <c r="AE222" s="163">
        <v>6467</v>
      </c>
      <c r="AF222" s="163">
        <v>6467</v>
      </c>
      <c r="AG222" s="163">
        <v>6467</v>
      </c>
      <c r="AH222" s="163">
        <v>6467</v>
      </c>
      <c r="AI222" s="163">
        <v>6467</v>
      </c>
      <c r="AJ222" s="163">
        <v>6467</v>
      </c>
      <c r="AK222" s="163">
        <v>6467</v>
      </c>
      <c r="AL222" s="163">
        <v>6467</v>
      </c>
      <c r="AM222" s="163">
        <v>6467</v>
      </c>
      <c r="AN222" s="163">
        <v>6467</v>
      </c>
      <c r="AO222" s="163">
        <v>6467</v>
      </c>
      <c r="AP222" s="121"/>
    </row>
    <row r="223" spans="1:42" x14ac:dyDescent="0.35">
      <c r="A223" s="161" t="s">
        <v>126</v>
      </c>
      <c r="B223" s="162" t="s">
        <v>32</v>
      </c>
      <c r="C223" s="163" t="s">
        <v>95</v>
      </c>
      <c r="D223" s="163" t="s">
        <v>80</v>
      </c>
      <c r="E223" s="163">
        <v>23050</v>
      </c>
      <c r="F223" s="163">
        <v>21318</v>
      </c>
      <c r="G223" s="163">
        <v>20250</v>
      </c>
      <c r="H223" s="163">
        <v>19359</v>
      </c>
      <c r="I223" s="163">
        <v>18595</v>
      </c>
      <c r="J223" s="163">
        <v>17956</v>
      </c>
      <c r="K223" s="163">
        <v>17210</v>
      </c>
      <c r="L223" s="163">
        <v>16883</v>
      </c>
      <c r="M223" s="163">
        <v>16534</v>
      </c>
      <c r="N223" s="163">
        <v>16227</v>
      </c>
      <c r="O223" s="163">
        <v>15924</v>
      </c>
      <c r="P223" s="163">
        <v>15603</v>
      </c>
      <c r="Q223" s="163">
        <v>15297</v>
      </c>
      <c r="R223" s="163">
        <v>14997</v>
      </c>
      <c r="S223" s="163">
        <v>14716</v>
      </c>
      <c r="T223" s="163">
        <v>14405</v>
      </c>
      <c r="U223" s="163">
        <v>14227</v>
      </c>
      <c r="V223" s="163">
        <v>14227</v>
      </c>
      <c r="W223" s="163">
        <v>14227</v>
      </c>
      <c r="X223" s="163">
        <v>14227</v>
      </c>
      <c r="Y223" s="163">
        <v>14227</v>
      </c>
      <c r="Z223" s="163">
        <v>14227</v>
      </c>
      <c r="AA223" s="163">
        <v>14227</v>
      </c>
      <c r="AB223" s="163">
        <v>14227</v>
      </c>
      <c r="AC223" s="163">
        <v>14227</v>
      </c>
      <c r="AD223" s="163">
        <v>14227</v>
      </c>
      <c r="AE223" s="163">
        <v>14227</v>
      </c>
      <c r="AF223" s="163">
        <v>14227</v>
      </c>
      <c r="AG223" s="163">
        <v>14227</v>
      </c>
      <c r="AH223" s="163">
        <v>14227</v>
      </c>
      <c r="AI223" s="163">
        <v>14227</v>
      </c>
      <c r="AJ223" s="163">
        <v>14227</v>
      </c>
      <c r="AK223" s="163">
        <v>14227</v>
      </c>
      <c r="AL223" s="163">
        <v>14227</v>
      </c>
      <c r="AM223" s="163">
        <v>14227</v>
      </c>
      <c r="AN223" s="163">
        <v>14227</v>
      </c>
      <c r="AO223" s="163">
        <v>14227</v>
      </c>
      <c r="AP223" s="121"/>
    </row>
    <row r="224" spans="1:42" x14ac:dyDescent="0.35">
      <c r="A224" s="161" t="s">
        <v>126</v>
      </c>
      <c r="B224" s="162" t="s">
        <v>33</v>
      </c>
      <c r="C224" s="163" t="s">
        <v>95</v>
      </c>
      <c r="D224" s="163" t="s">
        <v>80</v>
      </c>
      <c r="E224" s="163">
        <v>41491</v>
      </c>
      <c r="F224" s="163">
        <v>38373</v>
      </c>
      <c r="G224" s="163">
        <v>36450</v>
      </c>
      <c r="H224" s="163">
        <v>34846</v>
      </c>
      <c r="I224" s="163">
        <v>33470</v>
      </c>
      <c r="J224" s="163">
        <v>32320</v>
      </c>
      <c r="K224" s="163">
        <v>30977</v>
      </c>
      <c r="L224" s="163">
        <v>30389</v>
      </c>
      <c r="M224" s="163">
        <v>29762</v>
      </c>
      <c r="N224" s="163">
        <v>29209</v>
      </c>
      <c r="O224" s="163">
        <v>28664</v>
      </c>
      <c r="P224" s="163">
        <v>28085</v>
      </c>
      <c r="Q224" s="163">
        <v>27535</v>
      </c>
      <c r="R224" s="163">
        <v>26995</v>
      </c>
      <c r="S224" s="163">
        <v>26488</v>
      </c>
      <c r="T224" s="163">
        <v>25929</v>
      </c>
      <c r="U224" s="163">
        <v>25609</v>
      </c>
      <c r="V224" s="163">
        <v>25609</v>
      </c>
      <c r="W224" s="163">
        <v>25609</v>
      </c>
      <c r="X224" s="163">
        <v>25609</v>
      </c>
      <c r="Y224" s="163">
        <v>25609</v>
      </c>
      <c r="Z224" s="163">
        <v>25609</v>
      </c>
      <c r="AA224" s="163">
        <v>25609</v>
      </c>
      <c r="AB224" s="163">
        <v>25609</v>
      </c>
      <c r="AC224" s="163">
        <v>25609</v>
      </c>
      <c r="AD224" s="163">
        <v>25609</v>
      </c>
      <c r="AE224" s="163">
        <v>25609</v>
      </c>
      <c r="AF224" s="163">
        <v>25609</v>
      </c>
      <c r="AG224" s="163">
        <v>25609</v>
      </c>
      <c r="AH224" s="163">
        <v>25609</v>
      </c>
      <c r="AI224" s="163">
        <v>25609</v>
      </c>
      <c r="AJ224" s="163">
        <v>25609</v>
      </c>
      <c r="AK224" s="163">
        <v>25609</v>
      </c>
      <c r="AL224" s="163">
        <v>25609</v>
      </c>
      <c r="AM224" s="163">
        <v>25609</v>
      </c>
      <c r="AN224" s="163">
        <v>25609</v>
      </c>
      <c r="AO224" s="163">
        <v>25609</v>
      </c>
    </row>
    <row r="225" spans="1:42" x14ac:dyDescent="0.35">
      <c r="A225" s="161" t="s">
        <v>126</v>
      </c>
      <c r="B225" s="162" t="s">
        <v>13</v>
      </c>
      <c r="C225" s="163" t="s">
        <v>95</v>
      </c>
      <c r="D225" s="163" t="s">
        <v>80</v>
      </c>
      <c r="E225" s="163">
        <v>28257</v>
      </c>
      <c r="F225" s="163">
        <v>27764</v>
      </c>
      <c r="G225" s="163">
        <v>27222</v>
      </c>
      <c r="H225" s="163">
        <v>26656</v>
      </c>
      <c r="I225" s="163">
        <v>26047</v>
      </c>
      <c r="J225" s="163">
        <v>25378</v>
      </c>
      <c r="K225" s="163">
        <v>24739</v>
      </c>
      <c r="L225" s="163">
        <v>24422</v>
      </c>
      <c r="M225" s="163">
        <v>24124</v>
      </c>
      <c r="N225" s="163">
        <v>23820</v>
      </c>
      <c r="O225" s="163">
        <v>23546</v>
      </c>
      <c r="P225" s="163">
        <v>23266</v>
      </c>
      <c r="Q225" s="163">
        <v>22961</v>
      </c>
      <c r="R225" s="163">
        <v>22663</v>
      </c>
      <c r="S225" s="163">
        <v>22395</v>
      </c>
      <c r="T225" s="163">
        <v>22097</v>
      </c>
      <c r="U225" s="163">
        <v>21802</v>
      </c>
      <c r="V225" s="163">
        <v>21802</v>
      </c>
      <c r="W225" s="163">
        <v>21802</v>
      </c>
      <c r="X225" s="163">
        <v>21802</v>
      </c>
      <c r="Y225" s="163">
        <v>21802</v>
      </c>
      <c r="Z225" s="163">
        <v>21802</v>
      </c>
      <c r="AA225" s="163">
        <v>21802</v>
      </c>
      <c r="AB225" s="163">
        <v>21802</v>
      </c>
      <c r="AC225" s="163">
        <v>21802</v>
      </c>
      <c r="AD225" s="163">
        <v>21802</v>
      </c>
      <c r="AE225" s="163">
        <v>21802</v>
      </c>
      <c r="AF225" s="163">
        <v>21802</v>
      </c>
      <c r="AG225" s="163">
        <v>21802</v>
      </c>
      <c r="AH225" s="163">
        <v>21802</v>
      </c>
      <c r="AI225" s="163">
        <v>21802</v>
      </c>
      <c r="AJ225" s="163">
        <v>21802</v>
      </c>
      <c r="AK225" s="163">
        <v>21802</v>
      </c>
      <c r="AL225" s="163">
        <v>21802</v>
      </c>
      <c r="AM225" s="163">
        <v>21802</v>
      </c>
      <c r="AN225" s="163">
        <v>21802</v>
      </c>
      <c r="AO225" s="163">
        <v>21802</v>
      </c>
      <c r="AP225" s="121"/>
    </row>
    <row r="226" spans="1:42" x14ac:dyDescent="0.35">
      <c r="A226" s="161" t="s">
        <v>126</v>
      </c>
      <c r="B226" s="162" t="s">
        <v>14</v>
      </c>
      <c r="C226" s="163" t="s">
        <v>95</v>
      </c>
      <c r="D226" s="163" t="s">
        <v>80</v>
      </c>
      <c r="E226" s="163">
        <v>32495</v>
      </c>
      <c r="F226" s="163">
        <v>28985</v>
      </c>
      <c r="G226" s="163">
        <v>28614</v>
      </c>
      <c r="H226" s="163">
        <v>28243</v>
      </c>
      <c r="I226" s="163">
        <v>27872</v>
      </c>
      <c r="J226" s="163">
        <v>27501</v>
      </c>
      <c r="K226" s="163">
        <v>27130</v>
      </c>
      <c r="L226" s="163">
        <v>26948</v>
      </c>
      <c r="M226" s="163">
        <v>26765</v>
      </c>
      <c r="N226" s="163">
        <v>26582</v>
      </c>
      <c r="O226" s="163">
        <v>26399</v>
      </c>
      <c r="P226" s="163">
        <v>26215</v>
      </c>
      <c r="Q226" s="163">
        <v>26031</v>
      </c>
      <c r="R226" s="163">
        <v>25847</v>
      </c>
      <c r="S226" s="163">
        <v>25663</v>
      </c>
      <c r="T226" s="163">
        <v>25479</v>
      </c>
      <c r="U226" s="163">
        <v>25294</v>
      </c>
      <c r="V226" s="163">
        <v>25108</v>
      </c>
      <c r="W226" s="163">
        <v>24923</v>
      </c>
      <c r="X226" s="163">
        <v>24737</v>
      </c>
      <c r="Y226" s="163">
        <v>24551</v>
      </c>
      <c r="Z226" s="163">
        <v>24365</v>
      </c>
      <c r="AA226" s="163">
        <v>24179</v>
      </c>
      <c r="AB226" s="163">
        <v>23992</v>
      </c>
      <c r="AC226" s="163">
        <v>23805</v>
      </c>
      <c r="AD226" s="163">
        <v>23617</v>
      </c>
      <c r="AE226" s="163">
        <v>23430</v>
      </c>
      <c r="AF226" s="163">
        <v>23430</v>
      </c>
      <c r="AG226" s="163">
        <v>23430</v>
      </c>
      <c r="AH226" s="163">
        <v>23430</v>
      </c>
      <c r="AI226" s="163">
        <v>23430</v>
      </c>
      <c r="AJ226" s="163">
        <v>23430</v>
      </c>
      <c r="AK226" s="163">
        <v>23430</v>
      </c>
      <c r="AL226" s="163">
        <v>23430</v>
      </c>
      <c r="AM226" s="163">
        <v>23430</v>
      </c>
      <c r="AN226" s="163">
        <v>23430</v>
      </c>
      <c r="AO226" s="163">
        <v>23430</v>
      </c>
    </row>
    <row r="227" spans="1:42" x14ac:dyDescent="0.35">
      <c r="A227" s="161" t="s">
        <v>126</v>
      </c>
      <c r="B227" s="162" t="s">
        <v>10</v>
      </c>
      <c r="C227" s="163" t="s">
        <v>95</v>
      </c>
      <c r="D227" s="163" t="s">
        <v>80</v>
      </c>
      <c r="E227" s="163">
        <v>19422</v>
      </c>
      <c r="F227" s="163">
        <v>18800</v>
      </c>
      <c r="G227" s="163">
        <v>18178</v>
      </c>
      <c r="H227" s="163">
        <v>17556</v>
      </c>
      <c r="I227" s="163">
        <v>16934</v>
      </c>
      <c r="J227" s="163">
        <v>16312</v>
      </c>
      <c r="K227" s="163">
        <v>15690</v>
      </c>
      <c r="L227" s="163">
        <v>15393</v>
      </c>
      <c r="M227" s="163">
        <v>15095</v>
      </c>
      <c r="N227" s="163">
        <v>14798</v>
      </c>
      <c r="O227" s="163">
        <v>14500</v>
      </c>
      <c r="P227" s="163">
        <v>14203</v>
      </c>
      <c r="Q227" s="163">
        <v>13977</v>
      </c>
      <c r="R227" s="163">
        <v>13751</v>
      </c>
      <c r="S227" s="163">
        <v>13525</v>
      </c>
      <c r="T227" s="163">
        <v>13300</v>
      </c>
      <c r="U227" s="163">
        <v>13074</v>
      </c>
      <c r="V227" s="163">
        <v>12937</v>
      </c>
      <c r="W227" s="163">
        <v>12800</v>
      </c>
      <c r="X227" s="163">
        <v>12663</v>
      </c>
      <c r="Y227" s="163">
        <v>12526</v>
      </c>
      <c r="Z227" s="163">
        <v>12389</v>
      </c>
      <c r="AA227" s="163">
        <v>12281</v>
      </c>
      <c r="AB227" s="163">
        <v>12172</v>
      </c>
      <c r="AC227" s="163">
        <v>12063</v>
      </c>
      <c r="AD227" s="163">
        <v>11954</v>
      </c>
      <c r="AE227" s="163">
        <v>11846</v>
      </c>
      <c r="AF227" s="163">
        <v>11846</v>
      </c>
      <c r="AG227" s="163">
        <v>11846</v>
      </c>
      <c r="AH227" s="163">
        <v>11846</v>
      </c>
      <c r="AI227" s="163">
        <v>11846</v>
      </c>
      <c r="AJ227" s="163">
        <v>11846</v>
      </c>
      <c r="AK227" s="163">
        <v>11846</v>
      </c>
      <c r="AL227" s="163">
        <v>11846</v>
      </c>
      <c r="AM227" s="163">
        <v>11846</v>
      </c>
      <c r="AN227" s="163">
        <v>11846</v>
      </c>
      <c r="AO227" s="163">
        <v>11846</v>
      </c>
    </row>
    <row r="228" spans="1:42" x14ac:dyDescent="0.35">
      <c r="A228" s="161" t="s">
        <v>126</v>
      </c>
      <c r="B228" s="162" t="s">
        <v>8</v>
      </c>
      <c r="C228" s="163" t="s">
        <v>95</v>
      </c>
      <c r="D228" s="163" t="s">
        <v>80</v>
      </c>
      <c r="E228" s="163">
        <v>19422</v>
      </c>
      <c r="F228" s="163">
        <v>18800</v>
      </c>
      <c r="G228" s="163">
        <v>18178</v>
      </c>
      <c r="H228" s="163">
        <v>17556</v>
      </c>
      <c r="I228" s="163">
        <v>16934</v>
      </c>
      <c r="J228" s="163">
        <v>16312</v>
      </c>
      <c r="K228" s="163">
        <v>15690</v>
      </c>
      <c r="L228" s="163">
        <v>15393</v>
      </c>
      <c r="M228" s="163">
        <v>15095</v>
      </c>
      <c r="N228" s="163">
        <v>14798</v>
      </c>
      <c r="O228" s="163">
        <v>14500</v>
      </c>
      <c r="P228" s="163">
        <v>14203</v>
      </c>
      <c r="Q228" s="163">
        <v>13977</v>
      </c>
      <c r="R228" s="163">
        <v>13751</v>
      </c>
      <c r="S228" s="163">
        <v>13525</v>
      </c>
      <c r="T228" s="163">
        <v>13300</v>
      </c>
      <c r="U228" s="163">
        <v>13074</v>
      </c>
      <c r="V228" s="163">
        <v>12937</v>
      </c>
      <c r="W228" s="163">
        <v>12800</v>
      </c>
      <c r="X228" s="163">
        <v>12663</v>
      </c>
      <c r="Y228" s="163">
        <v>12526</v>
      </c>
      <c r="Z228" s="163">
        <v>12389</v>
      </c>
      <c r="AA228" s="163">
        <v>12281</v>
      </c>
      <c r="AB228" s="163">
        <v>12172</v>
      </c>
      <c r="AC228" s="163">
        <v>12063</v>
      </c>
      <c r="AD228" s="163">
        <v>11954</v>
      </c>
      <c r="AE228" s="163">
        <v>11846</v>
      </c>
      <c r="AF228" s="163">
        <v>11846</v>
      </c>
      <c r="AG228" s="163">
        <v>11846</v>
      </c>
      <c r="AH228" s="163">
        <v>11846</v>
      </c>
      <c r="AI228" s="163">
        <v>11846</v>
      </c>
      <c r="AJ228" s="163">
        <v>11846</v>
      </c>
      <c r="AK228" s="163">
        <v>11846</v>
      </c>
      <c r="AL228" s="163">
        <v>11846</v>
      </c>
      <c r="AM228" s="163">
        <v>11846</v>
      </c>
      <c r="AN228" s="163">
        <v>11846</v>
      </c>
      <c r="AO228" s="163">
        <v>11846</v>
      </c>
    </row>
    <row r="229" spans="1:42" x14ac:dyDescent="0.35">
      <c r="A229" s="161" t="s">
        <v>126</v>
      </c>
      <c r="B229" s="162" t="s">
        <v>11</v>
      </c>
      <c r="C229" s="163" t="s">
        <v>95</v>
      </c>
      <c r="D229" s="163" t="s">
        <v>80</v>
      </c>
      <c r="E229" s="163">
        <v>19422</v>
      </c>
      <c r="F229" s="163">
        <v>18800</v>
      </c>
      <c r="G229" s="163">
        <v>18178</v>
      </c>
      <c r="H229" s="163">
        <v>17556</v>
      </c>
      <c r="I229" s="163">
        <v>16934</v>
      </c>
      <c r="J229" s="163">
        <v>16312</v>
      </c>
      <c r="K229" s="163">
        <v>15690</v>
      </c>
      <c r="L229" s="163">
        <v>15393</v>
      </c>
      <c r="M229" s="163">
        <v>15095</v>
      </c>
      <c r="N229" s="163">
        <v>14798</v>
      </c>
      <c r="O229" s="163">
        <v>14500</v>
      </c>
      <c r="P229" s="163">
        <v>14203</v>
      </c>
      <c r="Q229" s="163">
        <v>13977</v>
      </c>
      <c r="R229" s="163">
        <v>13751</v>
      </c>
      <c r="S229" s="163">
        <v>13525</v>
      </c>
      <c r="T229" s="163">
        <v>13300</v>
      </c>
      <c r="U229" s="163">
        <v>13074</v>
      </c>
      <c r="V229" s="163">
        <v>12937</v>
      </c>
      <c r="W229" s="163">
        <v>12800</v>
      </c>
      <c r="X229" s="163">
        <v>12663</v>
      </c>
      <c r="Y229" s="163">
        <v>12526</v>
      </c>
      <c r="Z229" s="163">
        <v>12389</v>
      </c>
      <c r="AA229" s="163">
        <v>12281</v>
      </c>
      <c r="AB229" s="163">
        <v>12172</v>
      </c>
      <c r="AC229" s="163">
        <v>12063</v>
      </c>
      <c r="AD229" s="163">
        <v>11954</v>
      </c>
      <c r="AE229" s="163">
        <v>11846</v>
      </c>
      <c r="AF229" s="163">
        <v>11846</v>
      </c>
      <c r="AG229" s="163">
        <v>11846</v>
      </c>
      <c r="AH229" s="163">
        <v>11846</v>
      </c>
      <c r="AI229" s="163">
        <v>11846</v>
      </c>
      <c r="AJ229" s="163">
        <v>11846</v>
      </c>
      <c r="AK229" s="163">
        <v>11846</v>
      </c>
      <c r="AL229" s="163">
        <v>11846</v>
      </c>
      <c r="AM229" s="163">
        <v>11846</v>
      </c>
      <c r="AN229" s="163">
        <v>11846</v>
      </c>
      <c r="AO229" s="163">
        <v>11846</v>
      </c>
    </row>
    <row r="230" spans="1:42" x14ac:dyDescent="0.35">
      <c r="A230" s="164" t="s">
        <v>127</v>
      </c>
      <c r="B230" s="165" t="s">
        <v>30</v>
      </c>
      <c r="C230" s="166" t="s">
        <v>95</v>
      </c>
      <c r="D230" s="166" t="s">
        <v>80</v>
      </c>
      <c r="E230" s="166">
        <v>9721</v>
      </c>
      <c r="F230" s="166">
        <v>8703</v>
      </c>
      <c r="G230" s="166">
        <v>8032</v>
      </c>
      <c r="H230" s="166">
        <v>7512</v>
      </c>
      <c r="I230" s="166">
        <v>7079</v>
      </c>
      <c r="J230" s="166">
        <v>6775</v>
      </c>
      <c r="K230" s="166">
        <v>6364</v>
      </c>
      <c r="L230" s="166">
        <v>6234</v>
      </c>
      <c r="M230" s="166">
        <v>6104</v>
      </c>
      <c r="N230" s="166">
        <v>5996</v>
      </c>
      <c r="O230" s="166">
        <v>5887</v>
      </c>
      <c r="P230" s="166">
        <v>5779</v>
      </c>
      <c r="Q230" s="166">
        <v>5671</v>
      </c>
      <c r="R230" s="166">
        <v>5584</v>
      </c>
      <c r="S230" s="166">
        <v>5498</v>
      </c>
      <c r="T230" s="166">
        <v>5389</v>
      </c>
      <c r="U230" s="166">
        <v>5389</v>
      </c>
      <c r="V230" s="166">
        <v>5389</v>
      </c>
      <c r="W230" s="166">
        <v>5389</v>
      </c>
      <c r="X230" s="166">
        <v>5389</v>
      </c>
      <c r="Y230" s="166">
        <v>5389</v>
      </c>
      <c r="Z230" s="166">
        <v>5389</v>
      </c>
      <c r="AA230" s="166">
        <v>5389</v>
      </c>
      <c r="AB230" s="166">
        <v>5389</v>
      </c>
      <c r="AC230" s="166">
        <v>5389</v>
      </c>
      <c r="AD230" s="166">
        <v>5389</v>
      </c>
      <c r="AE230" s="166">
        <v>5389</v>
      </c>
      <c r="AF230" s="166">
        <v>5389</v>
      </c>
      <c r="AG230" s="166">
        <v>5389</v>
      </c>
      <c r="AH230" s="166">
        <v>5389</v>
      </c>
      <c r="AI230" s="166">
        <v>5389</v>
      </c>
      <c r="AJ230" s="166">
        <v>5389</v>
      </c>
      <c r="AK230" s="166">
        <v>5389</v>
      </c>
      <c r="AL230" s="166">
        <v>5389</v>
      </c>
      <c r="AM230" s="166">
        <v>5389</v>
      </c>
      <c r="AN230" s="166">
        <v>5389</v>
      </c>
      <c r="AO230" s="166">
        <v>5389</v>
      </c>
    </row>
    <row r="231" spans="1:42" x14ac:dyDescent="0.35">
      <c r="A231" s="164" t="s">
        <v>127</v>
      </c>
      <c r="B231" s="165" t="s">
        <v>32</v>
      </c>
      <c r="C231" s="166" t="s">
        <v>95</v>
      </c>
      <c r="D231" s="166" t="s">
        <v>80</v>
      </c>
      <c r="E231" s="166">
        <v>21386</v>
      </c>
      <c r="F231" s="166">
        <v>19146</v>
      </c>
      <c r="G231" s="166">
        <v>17669</v>
      </c>
      <c r="H231" s="166">
        <v>16526</v>
      </c>
      <c r="I231" s="166">
        <v>15573</v>
      </c>
      <c r="J231" s="166">
        <v>14906</v>
      </c>
      <c r="K231" s="166">
        <v>14001</v>
      </c>
      <c r="L231" s="166">
        <v>13715</v>
      </c>
      <c r="M231" s="166">
        <v>13429</v>
      </c>
      <c r="N231" s="166">
        <v>13191</v>
      </c>
      <c r="O231" s="166">
        <v>12952</v>
      </c>
      <c r="P231" s="166">
        <v>12714</v>
      </c>
      <c r="Q231" s="166">
        <v>12476</v>
      </c>
      <c r="R231" s="166">
        <v>12285</v>
      </c>
      <c r="S231" s="166">
        <v>12095</v>
      </c>
      <c r="T231" s="166">
        <v>11856</v>
      </c>
      <c r="U231" s="166">
        <v>11856</v>
      </c>
      <c r="V231" s="166">
        <v>11856</v>
      </c>
      <c r="W231" s="166">
        <v>11856</v>
      </c>
      <c r="X231" s="166">
        <v>11856</v>
      </c>
      <c r="Y231" s="166">
        <v>11856</v>
      </c>
      <c r="Z231" s="166">
        <v>11856</v>
      </c>
      <c r="AA231" s="166">
        <v>11856</v>
      </c>
      <c r="AB231" s="166">
        <v>11856</v>
      </c>
      <c r="AC231" s="166">
        <v>11856</v>
      </c>
      <c r="AD231" s="166">
        <v>11856</v>
      </c>
      <c r="AE231" s="166">
        <v>11856</v>
      </c>
      <c r="AF231" s="166">
        <v>11856</v>
      </c>
      <c r="AG231" s="166">
        <v>11856</v>
      </c>
      <c r="AH231" s="166">
        <v>11856</v>
      </c>
      <c r="AI231" s="166">
        <v>11856</v>
      </c>
      <c r="AJ231" s="166">
        <v>11856</v>
      </c>
      <c r="AK231" s="166">
        <v>11856</v>
      </c>
      <c r="AL231" s="166">
        <v>11856</v>
      </c>
      <c r="AM231" s="166">
        <v>11856</v>
      </c>
      <c r="AN231" s="166">
        <v>11856</v>
      </c>
      <c r="AO231" s="166">
        <v>11856</v>
      </c>
    </row>
    <row r="232" spans="1:42" x14ac:dyDescent="0.35">
      <c r="A232" s="164" t="s">
        <v>127</v>
      </c>
      <c r="B232" s="165" t="s">
        <v>33</v>
      </c>
      <c r="C232" s="166" t="s">
        <v>95</v>
      </c>
      <c r="D232" s="166" t="s">
        <v>80</v>
      </c>
      <c r="E232" s="166">
        <v>38494</v>
      </c>
      <c r="F232" s="166">
        <v>34464</v>
      </c>
      <c r="G232" s="166">
        <v>31805</v>
      </c>
      <c r="H232" s="166">
        <v>29747</v>
      </c>
      <c r="I232" s="166">
        <v>28031</v>
      </c>
      <c r="J232" s="166">
        <v>26831</v>
      </c>
      <c r="K232" s="166">
        <v>25201</v>
      </c>
      <c r="L232" s="166">
        <v>24686</v>
      </c>
      <c r="M232" s="166">
        <v>24172</v>
      </c>
      <c r="N232" s="166">
        <v>23743</v>
      </c>
      <c r="O232" s="166">
        <v>23314</v>
      </c>
      <c r="P232" s="166">
        <v>22885</v>
      </c>
      <c r="Q232" s="166">
        <v>22457</v>
      </c>
      <c r="R232" s="166">
        <v>22114</v>
      </c>
      <c r="S232" s="166">
        <v>21770</v>
      </c>
      <c r="T232" s="166">
        <v>21342</v>
      </c>
      <c r="U232" s="166">
        <v>21342</v>
      </c>
      <c r="V232" s="166">
        <v>21342</v>
      </c>
      <c r="W232" s="166">
        <v>21342</v>
      </c>
      <c r="X232" s="166">
        <v>21342</v>
      </c>
      <c r="Y232" s="166">
        <v>21342</v>
      </c>
      <c r="Z232" s="166">
        <v>21342</v>
      </c>
      <c r="AA232" s="166">
        <v>21342</v>
      </c>
      <c r="AB232" s="166">
        <v>21342</v>
      </c>
      <c r="AC232" s="166">
        <v>21342</v>
      </c>
      <c r="AD232" s="166">
        <v>21342</v>
      </c>
      <c r="AE232" s="166">
        <v>21342</v>
      </c>
      <c r="AF232" s="166">
        <v>21342</v>
      </c>
      <c r="AG232" s="166">
        <v>21342</v>
      </c>
      <c r="AH232" s="166">
        <v>21342</v>
      </c>
      <c r="AI232" s="166">
        <v>21342</v>
      </c>
      <c r="AJ232" s="166">
        <v>21342</v>
      </c>
      <c r="AK232" s="166">
        <v>21342</v>
      </c>
      <c r="AL232" s="166">
        <v>21342</v>
      </c>
      <c r="AM232" s="166">
        <v>21342</v>
      </c>
      <c r="AN232" s="166">
        <v>21342</v>
      </c>
      <c r="AO232" s="166">
        <v>21342</v>
      </c>
    </row>
    <row r="233" spans="1:42" x14ac:dyDescent="0.35">
      <c r="A233" s="164" t="s">
        <v>127</v>
      </c>
      <c r="B233" s="165" t="s">
        <v>13</v>
      </c>
      <c r="C233" s="166" t="s">
        <v>95</v>
      </c>
      <c r="D233" s="166" t="s">
        <v>80</v>
      </c>
      <c r="E233" s="166">
        <v>25527</v>
      </c>
      <c r="F233" s="166">
        <v>25082</v>
      </c>
      <c r="G233" s="166">
        <v>24592</v>
      </c>
      <c r="H233" s="166">
        <v>24081</v>
      </c>
      <c r="I233" s="166">
        <v>23531</v>
      </c>
      <c r="J233" s="166">
        <v>22926</v>
      </c>
      <c r="K233" s="166">
        <v>22349</v>
      </c>
      <c r="L233" s="166">
        <v>22063</v>
      </c>
      <c r="M233" s="166">
        <v>21794</v>
      </c>
      <c r="N233" s="166">
        <v>21519</v>
      </c>
      <c r="O233" s="166">
        <v>21271</v>
      </c>
      <c r="P233" s="166">
        <v>21018</v>
      </c>
      <c r="Q233" s="166">
        <v>20743</v>
      </c>
      <c r="R233" s="166">
        <v>20474</v>
      </c>
      <c r="S233" s="166">
        <v>20232</v>
      </c>
      <c r="T233" s="166">
        <v>19963</v>
      </c>
      <c r="U233" s="166">
        <v>19696</v>
      </c>
      <c r="V233" s="166">
        <v>19696</v>
      </c>
      <c r="W233" s="166">
        <v>19696</v>
      </c>
      <c r="X233" s="166">
        <v>19696</v>
      </c>
      <c r="Y233" s="166">
        <v>19696</v>
      </c>
      <c r="Z233" s="166">
        <v>19696</v>
      </c>
      <c r="AA233" s="166">
        <v>19696</v>
      </c>
      <c r="AB233" s="166">
        <v>19696</v>
      </c>
      <c r="AC233" s="166">
        <v>19696</v>
      </c>
      <c r="AD233" s="166">
        <v>19696</v>
      </c>
      <c r="AE233" s="166">
        <v>19696</v>
      </c>
      <c r="AF233" s="166">
        <v>19696</v>
      </c>
      <c r="AG233" s="166">
        <v>19696</v>
      </c>
      <c r="AH233" s="166">
        <v>19696</v>
      </c>
      <c r="AI233" s="166">
        <v>19696</v>
      </c>
      <c r="AJ233" s="166">
        <v>19696</v>
      </c>
      <c r="AK233" s="166">
        <v>19696</v>
      </c>
      <c r="AL233" s="166">
        <v>19696</v>
      </c>
      <c r="AM233" s="166">
        <v>19696</v>
      </c>
      <c r="AN233" s="166">
        <v>19696</v>
      </c>
      <c r="AO233" s="166">
        <v>19696</v>
      </c>
    </row>
    <row r="234" spans="1:42" x14ac:dyDescent="0.35">
      <c r="A234" s="164" t="s">
        <v>127</v>
      </c>
      <c r="B234" s="165" t="s">
        <v>14</v>
      </c>
      <c r="C234" s="166" t="s">
        <v>95</v>
      </c>
      <c r="D234" s="166" t="s">
        <v>80</v>
      </c>
      <c r="E234" s="166">
        <v>29356</v>
      </c>
      <c r="F234" s="166">
        <v>28844</v>
      </c>
      <c r="G234" s="166">
        <v>28281</v>
      </c>
      <c r="H234" s="166">
        <v>27693</v>
      </c>
      <c r="I234" s="166">
        <v>27061</v>
      </c>
      <c r="J234" s="166">
        <v>26365</v>
      </c>
      <c r="K234" s="166">
        <v>25701</v>
      </c>
      <c r="L234" s="166">
        <v>25373</v>
      </c>
      <c r="M234" s="166">
        <v>25063</v>
      </c>
      <c r="N234" s="166">
        <v>24747</v>
      </c>
      <c r="O234" s="166">
        <v>24462</v>
      </c>
      <c r="P234" s="166">
        <v>24171</v>
      </c>
      <c r="Q234" s="166">
        <v>23855</v>
      </c>
      <c r="R234" s="166">
        <v>23545</v>
      </c>
      <c r="S234" s="166">
        <v>23267</v>
      </c>
      <c r="T234" s="166">
        <v>22957</v>
      </c>
      <c r="U234" s="166">
        <v>22650</v>
      </c>
      <c r="V234" s="166">
        <v>22650</v>
      </c>
      <c r="W234" s="166">
        <v>22650</v>
      </c>
      <c r="X234" s="166">
        <v>22650</v>
      </c>
      <c r="Y234" s="166">
        <v>22650</v>
      </c>
      <c r="Z234" s="166">
        <v>22650</v>
      </c>
      <c r="AA234" s="166">
        <v>22650</v>
      </c>
      <c r="AB234" s="166">
        <v>22650</v>
      </c>
      <c r="AC234" s="166">
        <v>22650</v>
      </c>
      <c r="AD234" s="166">
        <v>22650</v>
      </c>
      <c r="AE234" s="166">
        <v>22650</v>
      </c>
      <c r="AF234" s="166">
        <v>22650</v>
      </c>
      <c r="AG234" s="166">
        <v>22650</v>
      </c>
      <c r="AH234" s="166">
        <v>22650</v>
      </c>
      <c r="AI234" s="166">
        <v>22650</v>
      </c>
      <c r="AJ234" s="166">
        <v>22650</v>
      </c>
      <c r="AK234" s="166">
        <v>22650</v>
      </c>
      <c r="AL234" s="166">
        <v>22650</v>
      </c>
      <c r="AM234" s="166">
        <v>22650</v>
      </c>
      <c r="AN234" s="166">
        <v>22650</v>
      </c>
      <c r="AO234" s="166">
        <v>22650</v>
      </c>
    </row>
    <row r="235" spans="1:42" x14ac:dyDescent="0.35">
      <c r="A235" s="164" t="s">
        <v>127</v>
      </c>
      <c r="B235" s="165" t="s">
        <v>10</v>
      </c>
      <c r="C235" s="166" t="s">
        <v>95</v>
      </c>
      <c r="D235" s="166" t="s">
        <v>80</v>
      </c>
      <c r="E235" s="166">
        <v>16993</v>
      </c>
      <c r="F235" s="166">
        <v>16404</v>
      </c>
      <c r="G235" s="166">
        <v>15891</v>
      </c>
      <c r="H235" s="166">
        <v>15350</v>
      </c>
      <c r="I235" s="166">
        <v>14768</v>
      </c>
      <c r="J235" s="166">
        <v>14167</v>
      </c>
      <c r="K235" s="166">
        <v>13589</v>
      </c>
      <c r="L235" s="166">
        <v>13263</v>
      </c>
      <c r="M235" s="166">
        <v>12963</v>
      </c>
      <c r="N235" s="166">
        <v>12656</v>
      </c>
      <c r="O235" s="166">
        <v>12370</v>
      </c>
      <c r="P235" s="166">
        <v>12063</v>
      </c>
      <c r="Q235" s="166">
        <v>11784</v>
      </c>
      <c r="R235" s="166">
        <v>11510</v>
      </c>
      <c r="S235" s="166">
        <v>11235</v>
      </c>
      <c r="T235" s="166">
        <v>10935</v>
      </c>
      <c r="U235" s="166">
        <v>10644</v>
      </c>
      <c r="V235" s="166">
        <v>10644</v>
      </c>
      <c r="W235" s="166">
        <v>10644</v>
      </c>
      <c r="X235" s="166">
        <v>10644</v>
      </c>
      <c r="Y235" s="166">
        <v>10644</v>
      </c>
      <c r="Z235" s="166">
        <v>10644</v>
      </c>
      <c r="AA235" s="166">
        <v>10644</v>
      </c>
      <c r="AB235" s="166">
        <v>10644</v>
      </c>
      <c r="AC235" s="166">
        <v>10644</v>
      </c>
      <c r="AD235" s="166">
        <v>10644</v>
      </c>
      <c r="AE235" s="166">
        <v>10644</v>
      </c>
      <c r="AF235" s="166">
        <v>10644</v>
      </c>
      <c r="AG235" s="166">
        <v>10644</v>
      </c>
      <c r="AH235" s="166">
        <v>10644</v>
      </c>
      <c r="AI235" s="166">
        <v>10644</v>
      </c>
      <c r="AJ235" s="166">
        <v>10644</v>
      </c>
      <c r="AK235" s="166">
        <v>10644</v>
      </c>
      <c r="AL235" s="166">
        <v>10644</v>
      </c>
      <c r="AM235" s="166">
        <v>10644</v>
      </c>
      <c r="AN235" s="166">
        <v>10644</v>
      </c>
      <c r="AO235" s="166">
        <v>10644</v>
      </c>
    </row>
    <row r="236" spans="1:42" x14ac:dyDescent="0.35">
      <c r="A236" s="164" t="s">
        <v>127</v>
      </c>
      <c r="B236" s="165" t="s">
        <v>8</v>
      </c>
      <c r="C236" s="166" t="s">
        <v>95</v>
      </c>
      <c r="D236" s="166" t="s">
        <v>80</v>
      </c>
      <c r="E236" s="166">
        <v>16993</v>
      </c>
      <c r="F236" s="166">
        <v>16404</v>
      </c>
      <c r="G236" s="166">
        <v>15891</v>
      </c>
      <c r="H236" s="166">
        <v>15350</v>
      </c>
      <c r="I236" s="166">
        <v>14768</v>
      </c>
      <c r="J236" s="166">
        <v>14167</v>
      </c>
      <c r="K236" s="166">
        <v>13589</v>
      </c>
      <c r="L236" s="166">
        <v>13263</v>
      </c>
      <c r="M236" s="166">
        <v>12963</v>
      </c>
      <c r="N236" s="166">
        <v>12656</v>
      </c>
      <c r="O236" s="166">
        <v>12370</v>
      </c>
      <c r="P236" s="166">
        <v>12063</v>
      </c>
      <c r="Q236" s="166">
        <v>11784</v>
      </c>
      <c r="R236" s="166">
        <v>11510</v>
      </c>
      <c r="S236" s="166">
        <v>11235</v>
      </c>
      <c r="T236" s="166">
        <v>10935</v>
      </c>
      <c r="U236" s="166">
        <v>10644</v>
      </c>
      <c r="V236" s="166">
        <v>10644</v>
      </c>
      <c r="W236" s="166">
        <v>10644</v>
      </c>
      <c r="X236" s="166">
        <v>10644</v>
      </c>
      <c r="Y236" s="166">
        <v>10644</v>
      </c>
      <c r="Z236" s="166">
        <v>10644</v>
      </c>
      <c r="AA236" s="166">
        <v>10644</v>
      </c>
      <c r="AB236" s="166">
        <v>10644</v>
      </c>
      <c r="AC236" s="166">
        <v>10644</v>
      </c>
      <c r="AD236" s="166">
        <v>10644</v>
      </c>
      <c r="AE236" s="166">
        <v>10644</v>
      </c>
      <c r="AF236" s="166">
        <v>10644</v>
      </c>
      <c r="AG236" s="166">
        <v>10644</v>
      </c>
      <c r="AH236" s="166">
        <v>10644</v>
      </c>
      <c r="AI236" s="166">
        <v>10644</v>
      </c>
      <c r="AJ236" s="166">
        <v>10644</v>
      </c>
      <c r="AK236" s="166">
        <v>10644</v>
      </c>
      <c r="AL236" s="166">
        <v>10644</v>
      </c>
      <c r="AM236" s="166">
        <v>10644</v>
      </c>
      <c r="AN236" s="166">
        <v>10644</v>
      </c>
      <c r="AO236" s="166">
        <v>10644</v>
      </c>
    </row>
    <row r="237" spans="1:42" x14ac:dyDescent="0.35">
      <c r="A237" s="164" t="s">
        <v>127</v>
      </c>
      <c r="B237" s="165" t="s">
        <v>11</v>
      </c>
      <c r="C237" s="166" t="s">
        <v>95</v>
      </c>
      <c r="D237" s="166" t="s">
        <v>80</v>
      </c>
      <c r="E237" s="166">
        <v>16993</v>
      </c>
      <c r="F237" s="166">
        <v>16404</v>
      </c>
      <c r="G237" s="166">
        <v>15891</v>
      </c>
      <c r="H237" s="166">
        <v>15350</v>
      </c>
      <c r="I237" s="166">
        <v>14768</v>
      </c>
      <c r="J237" s="166">
        <v>14167</v>
      </c>
      <c r="K237" s="166">
        <v>13589</v>
      </c>
      <c r="L237" s="166">
        <v>13263</v>
      </c>
      <c r="M237" s="166">
        <v>12963</v>
      </c>
      <c r="N237" s="166">
        <v>12656</v>
      </c>
      <c r="O237" s="166">
        <v>12370</v>
      </c>
      <c r="P237" s="166">
        <v>12063</v>
      </c>
      <c r="Q237" s="166">
        <v>11784</v>
      </c>
      <c r="R237" s="166">
        <v>11510</v>
      </c>
      <c r="S237" s="166">
        <v>11235</v>
      </c>
      <c r="T237" s="166">
        <v>10935</v>
      </c>
      <c r="U237" s="166">
        <v>10644</v>
      </c>
      <c r="V237" s="166">
        <v>10644</v>
      </c>
      <c r="W237" s="166">
        <v>10644</v>
      </c>
      <c r="X237" s="166">
        <v>10644</v>
      </c>
      <c r="Y237" s="166">
        <v>10644</v>
      </c>
      <c r="Z237" s="166">
        <v>10644</v>
      </c>
      <c r="AA237" s="166">
        <v>10644</v>
      </c>
      <c r="AB237" s="166">
        <v>10644</v>
      </c>
      <c r="AC237" s="166">
        <v>10644</v>
      </c>
      <c r="AD237" s="166">
        <v>10644</v>
      </c>
      <c r="AE237" s="166">
        <v>10644</v>
      </c>
      <c r="AF237" s="166">
        <v>10644</v>
      </c>
      <c r="AG237" s="166">
        <v>10644</v>
      </c>
      <c r="AH237" s="166">
        <v>10644</v>
      </c>
      <c r="AI237" s="166">
        <v>10644</v>
      </c>
      <c r="AJ237" s="166">
        <v>10644</v>
      </c>
      <c r="AK237" s="166">
        <v>10644</v>
      </c>
      <c r="AL237" s="166">
        <v>10644</v>
      </c>
      <c r="AM237" s="166">
        <v>10644</v>
      </c>
      <c r="AN237" s="166">
        <v>10644</v>
      </c>
      <c r="AO237" s="166">
        <v>10644</v>
      </c>
    </row>
    <row r="238" spans="1:42" x14ac:dyDescent="0.35">
      <c r="A238" s="131" t="str">
        <f>A249</f>
        <v>HIGH_PMR1b</v>
      </c>
      <c r="B238" s="134" t="s">
        <v>30</v>
      </c>
      <c r="C238" s="133" t="s">
        <v>95</v>
      </c>
      <c r="D238" s="135" t="s">
        <v>80</v>
      </c>
      <c r="E238" s="153"/>
      <c r="F238" s="120">
        <v>10677.272727272726</v>
      </c>
      <c r="G238" s="120">
        <v>9175.0349756659089</v>
      </c>
      <c r="H238" s="120">
        <v>8176.4999999999991</v>
      </c>
      <c r="I238" s="120">
        <v>7649.4113160237721</v>
      </c>
      <c r="J238" s="120">
        <v>7270.8643853385447</v>
      </c>
      <c r="K238" s="120">
        <v>7061.5227272726815</v>
      </c>
      <c r="L238" s="120">
        <v>6949.4115425962264</v>
      </c>
      <c r="M238" s="120">
        <v>6848.82394161109</v>
      </c>
      <c r="N238" s="120">
        <v>6759.8253079440001</v>
      </c>
      <c r="O238" s="120">
        <v>6682.4810252215902</v>
      </c>
      <c r="P238" s="120">
        <v>6616.8564770704997</v>
      </c>
      <c r="Q238" s="120">
        <v>6563.0170471174088</v>
      </c>
      <c r="R238" s="120">
        <v>6521.0281189889538</v>
      </c>
      <c r="S238" s="120">
        <v>6490.9550763118632</v>
      </c>
      <c r="T238" s="120">
        <v>6472.8633027126816</v>
      </c>
      <c r="U238" s="120">
        <v>6466.8181818181811</v>
      </c>
      <c r="V238" s="120">
        <v>6466.8181818181811</v>
      </c>
      <c r="W238" s="120">
        <v>6466.8181818181811</v>
      </c>
      <c r="X238" s="120">
        <v>6466.8181818181811</v>
      </c>
      <c r="Y238" s="120">
        <v>6466.8181818181811</v>
      </c>
      <c r="Z238" s="120">
        <v>6466.8181818181811</v>
      </c>
      <c r="AA238" s="120">
        <v>6466.8181818181811</v>
      </c>
      <c r="AB238" s="120">
        <v>6466.8181818181811</v>
      </c>
      <c r="AC238" s="120">
        <v>6466.8181818181811</v>
      </c>
      <c r="AD238" s="120">
        <v>6466.8181818181811</v>
      </c>
      <c r="AE238" s="120">
        <v>6466.8181818181811</v>
      </c>
      <c r="AF238" s="120">
        <f>AE238</f>
        <v>6466.8181818181811</v>
      </c>
      <c r="AG238" s="120">
        <f t="shared" ref="AG238:AO238" si="235">AF238</f>
        <v>6466.8181818181811</v>
      </c>
      <c r="AH238" s="120">
        <f t="shared" si="235"/>
        <v>6466.8181818181811</v>
      </c>
      <c r="AI238" s="120">
        <f t="shared" si="235"/>
        <v>6466.8181818181811</v>
      </c>
      <c r="AJ238" s="120">
        <f t="shared" si="235"/>
        <v>6466.8181818181811</v>
      </c>
      <c r="AK238" s="120">
        <f t="shared" si="235"/>
        <v>6466.8181818181811</v>
      </c>
      <c r="AL238" s="120">
        <f t="shared" si="235"/>
        <v>6466.8181818181811</v>
      </c>
      <c r="AM238" s="120">
        <f t="shared" si="235"/>
        <v>6466.8181818181811</v>
      </c>
      <c r="AN238" s="120">
        <f t="shared" si="235"/>
        <v>6466.8181818181811</v>
      </c>
      <c r="AO238" s="120">
        <f t="shared" si="235"/>
        <v>6466.8181818181811</v>
      </c>
    </row>
    <row r="239" spans="1:42" x14ac:dyDescent="0.35">
      <c r="A239" s="131" t="str">
        <f>A238</f>
        <v>HIGH_PMR1b</v>
      </c>
      <c r="B239" s="132" t="s">
        <v>32</v>
      </c>
      <c r="C239" s="133" t="s">
        <v>95</v>
      </c>
      <c r="D239" s="133" t="s">
        <v>80</v>
      </c>
      <c r="E239" s="153"/>
      <c r="F239" s="118">
        <v>23490</v>
      </c>
      <c r="G239" s="118">
        <v>20185.076946465</v>
      </c>
      <c r="H239" s="118">
        <v>17988.3</v>
      </c>
      <c r="I239" s="118">
        <v>16828.7048952523</v>
      </c>
      <c r="J239" s="118">
        <v>15995.9016477448</v>
      </c>
      <c r="K239" s="118">
        <v>15535.3499999999</v>
      </c>
      <c r="L239" s="118">
        <v>15288.7053937117</v>
      </c>
      <c r="M239" s="118">
        <v>15067.4126715444</v>
      </c>
      <c r="N239" s="118">
        <v>14871.615677476801</v>
      </c>
      <c r="O239" s="118">
        <v>14701.4582554875</v>
      </c>
      <c r="P239" s="118">
        <v>14557.084249555101</v>
      </c>
      <c r="Q239" s="118">
        <v>14438.637503658299</v>
      </c>
      <c r="R239" s="118">
        <v>14346.2618617757</v>
      </c>
      <c r="S239" s="118">
        <v>14280.1011678861</v>
      </c>
      <c r="T239" s="118">
        <v>14240.2992659679</v>
      </c>
      <c r="U239" s="118">
        <v>14227</v>
      </c>
      <c r="V239" s="118">
        <v>14227</v>
      </c>
      <c r="W239" s="118">
        <v>14227</v>
      </c>
      <c r="X239" s="118">
        <v>14227</v>
      </c>
      <c r="Y239" s="118">
        <v>14227</v>
      </c>
      <c r="Z239" s="118">
        <v>14227</v>
      </c>
      <c r="AA239" s="118">
        <v>14227</v>
      </c>
      <c r="AB239" s="118">
        <v>14227</v>
      </c>
      <c r="AC239" s="118">
        <v>14227</v>
      </c>
      <c r="AD239" s="118">
        <v>14227</v>
      </c>
      <c r="AE239" s="118">
        <v>14227</v>
      </c>
      <c r="AF239" s="118">
        <f>AE239</f>
        <v>14227</v>
      </c>
      <c r="AG239" s="118">
        <f t="shared" ref="AG239:AO239" si="236">AF239</f>
        <v>14227</v>
      </c>
      <c r="AH239" s="118">
        <f t="shared" si="236"/>
        <v>14227</v>
      </c>
      <c r="AI239" s="118">
        <f t="shared" si="236"/>
        <v>14227</v>
      </c>
      <c r="AJ239" s="118">
        <f t="shared" si="236"/>
        <v>14227</v>
      </c>
      <c r="AK239" s="118">
        <f t="shared" si="236"/>
        <v>14227</v>
      </c>
      <c r="AL239" s="118">
        <f t="shared" si="236"/>
        <v>14227</v>
      </c>
      <c r="AM239" s="118">
        <f t="shared" si="236"/>
        <v>14227</v>
      </c>
      <c r="AN239" s="118">
        <f t="shared" si="236"/>
        <v>14227</v>
      </c>
      <c r="AO239" s="118">
        <f t="shared" si="236"/>
        <v>14227</v>
      </c>
      <c r="AP239" s="121"/>
    </row>
    <row r="240" spans="1:42" x14ac:dyDescent="0.35">
      <c r="A240" s="131" t="str">
        <f>A239</f>
        <v>HIGH_PMR1b</v>
      </c>
      <c r="B240" s="134" t="s">
        <v>33</v>
      </c>
      <c r="C240" s="133" t="s">
        <v>95</v>
      </c>
      <c r="D240" s="135" t="s">
        <v>80</v>
      </c>
      <c r="E240" s="153"/>
      <c r="F240" s="120">
        <v>42282</v>
      </c>
      <c r="G240" s="120">
        <v>36333.138503637005</v>
      </c>
      <c r="H240" s="120">
        <v>32378.94</v>
      </c>
      <c r="I240" s="120">
        <v>30291.668811454139</v>
      </c>
      <c r="J240" s="120">
        <v>28792.622965940642</v>
      </c>
      <c r="K240" s="120">
        <v>27963.629999999823</v>
      </c>
      <c r="L240" s="120">
        <v>27519.66970868106</v>
      </c>
      <c r="M240" s="120">
        <v>27121.342808779922</v>
      </c>
      <c r="N240" s="120">
        <v>26768.908219458241</v>
      </c>
      <c r="O240" s="120">
        <v>26462.624859877498</v>
      </c>
      <c r="P240" s="120">
        <v>26202.751649199181</v>
      </c>
      <c r="Q240" s="120">
        <v>25989.547506584939</v>
      </c>
      <c r="R240" s="120">
        <v>25823.271351196261</v>
      </c>
      <c r="S240" s="120">
        <v>25704.18210219498</v>
      </c>
      <c r="T240" s="120">
        <v>25632.538678742221</v>
      </c>
      <c r="U240" s="120">
        <v>25608.600000000002</v>
      </c>
      <c r="V240" s="120">
        <v>25608.600000000002</v>
      </c>
      <c r="W240" s="120">
        <v>25608.600000000002</v>
      </c>
      <c r="X240" s="120">
        <v>25608.600000000002</v>
      </c>
      <c r="Y240" s="120">
        <v>25608.600000000002</v>
      </c>
      <c r="Z240" s="120">
        <v>25608.600000000002</v>
      </c>
      <c r="AA240" s="120">
        <v>25608.600000000002</v>
      </c>
      <c r="AB240" s="120">
        <v>25608.600000000002</v>
      </c>
      <c r="AC240" s="120">
        <v>25608.600000000002</v>
      </c>
      <c r="AD240" s="120">
        <v>25608.600000000002</v>
      </c>
      <c r="AE240" s="120">
        <v>25608.600000000002</v>
      </c>
      <c r="AF240" s="120">
        <f>AE240</f>
        <v>25608.600000000002</v>
      </c>
      <c r="AG240" s="120">
        <f t="shared" ref="AG240:AO240" si="237">AF240</f>
        <v>25608.600000000002</v>
      </c>
      <c r="AH240" s="120">
        <f t="shared" si="237"/>
        <v>25608.600000000002</v>
      </c>
      <c r="AI240" s="120">
        <f t="shared" si="237"/>
        <v>25608.600000000002</v>
      </c>
      <c r="AJ240" s="120">
        <f t="shared" si="237"/>
        <v>25608.600000000002</v>
      </c>
      <c r="AK240" s="120">
        <f t="shared" si="237"/>
        <v>25608.600000000002</v>
      </c>
      <c r="AL240" s="120">
        <f t="shared" si="237"/>
        <v>25608.600000000002</v>
      </c>
      <c r="AM240" s="120">
        <f t="shared" si="237"/>
        <v>25608.600000000002</v>
      </c>
      <c r="AN240" s="120">
        <f t="shared" si="237"/>
        <v>25608.600000000002</v>
      </c>
      <c r="AO240" s="120">
        <f t="shared" si="237"/>
        <v>25608.600000000002</v>
      </c>
      <c r="AP240" s="121"/>
    </row>
    <row r="241" spans="1:42" x14ac:dyDescent="0.35">
      <c r="A241" s="131" t="s">
        <v>119</v>
      </c>
      <c r="B241" s="132" t="s">
        <v>17</v>
      </c>
      <c r="C241" s="133" t="s">
        <v>95</v>
      </c>
      <c r="D241" s="133" t="s">
        <v>80</v>
      </c>
      <c r="E241" s="118">
        <v>17878</v>
      </c>
      <c r="F241" s="118">
        <v>17878</v>
      </c>
      <c r="G241" s="118">
        <v>17878</v>
      </c>
      <c r="H241" s="118">
        <v>17878</v>
      </c>
      <c r="I241" s="118">
        <v>17878</v>
      </c>
      <c r="J241" s="118">
        <v>17878</v>
      </c>
      <c r="K241" s="118">
        <v>17878</v>
      </c>
      <c r="L241" s="118">
        <v>17878</v>
      </c>
      <c r="M241" s="118">
        <v>17878</v>
      </c>
      <c r="N241" s="118">
        <v>17878</v>
      </c>
      <c r="O241" s="118">
        <v>17878</v>
      </c>
      <c r="P241" s="118">
        <v>17878</v>
      </c>
      <c r="Q241" s="118">
        <v>17878</v>
      </c>
      <c r="R241" s="118">
        <v>17878</v>
      </c>
      <c r="S241" s="118">
        <v>17878</v>
      </c>
      <c r="T241" s="118">
        <v>17878</v>
      </c>
      <c r="U241" s="118">
        <v>17878</v>
      </c>
      <c r="V241" s="118">
        <v>17878</v>
      </c>
      <c r="W241" s="118">
        <v>17878</v>
      </c>
      <c r="X241" s="118">
        <v>17878</v>
      </c>
      <c r="Y241" s="118">
        <v>17878</v>
      </c>
      <c r="Z241" s="118">
        <v>17878</v>
      </c>
      <c r="AA241" s="118">
        <v>17878</v>
      </c>
      <c r="AB241" s="118">
        <v>17878</v>
      </c>
      <c r="AC241" s="118">
        <v>17878</v>
      </c>
      <c r="AD241" s="118">
        <v>17878</v>
      </c>
      <c r="AE241" s="118">
        <v>17878</v>
      </c>
      <c r="AF241" s="118">
        <v>17878</v>
      </c>
      <c r="AG241" s="118">
        <v>17878</v>
      </c>
      <c r="AH241" s="118">
        <v>17878</v>
      </c>
      <c r="AI241" s="118">
        <v>17878</v>
      </c>
      <c r="AJ241" s="118">
        <v>17878</v>
      </c>
      <c r="AK241" s="118">
        <v>17878</v>
      </c>
      <c r="AL241" s="118">
        <v>17878</v>
      </c>
      <c r="AM241" s="118">
        <v>17878</v>
      </c>
      <c r="AN241" s="118">
        <v>17878</v>
      </c>
      <c r="AO241" s="118">
        <v>17878</v>
      </c>
    </row>
    <row r="242" spans="1:42" x14ac:dyDescent="0.35">
      <c r="A242" s="131" t="str">
        <f>A241</f>
        <v>HIGH_PMR1b</v>
      </c>
      <c r="B242" s="132" t="s">
        <v>15</v>
      </c>
      <c r="C242" s="133" t="s">
        <v>95</v>
      </c>
      <c r="D242" s="133" t="s">
        <v>80</v>
      </c>
      <c r="E242" s="118">
        <v>34340</v>
      </c>
      <c r="F242" s="118">
        <f>E242</f>
        <v>34340</v>
      </c>
      <c r="G242" s="118">
        <f t="shared" ref="G242:AO242" si="238">F242</f>
        <v>34340</v>
      </c>
      <c r="H242" s="118">
        <f t="shared" si="238"/>
        <v>34340</v>
      </c>
      <c r="I242" s="118">
        <f t="shared" si="238"/>
        <v>34340</v>
      </c>
      <c r="J242" s="118">
        <f t="shared" si="238"/>
        <v>34340</v>
      </c>
      <c r="K242" s="118">
        <f t="shared" si="238"/>
        <v>34340</v>
      </c>
      <c r="L242" s="118">
        <f t="shared" si="238"/>
        <v>34340</v>
      </c>
      <c r="M242" s="118">
        <f t="shared" si="238"/>
        <v>34340</v>
      </c>
      <c r="N242" s="118">
        <f t="shared" si="238"/>
        <v>34340</v>
      </c>
      <c r="O242" s="118">
        <f t="shared" si="238"/>
        <v>34340</v>
      </c>
      <c r="P242" s="118">
        <f t="shared" si="238"/>
        <v>34340</v>
      </c>
      <c r="Q242" s="118">
        <f t="shared" si="238"/>
        <v>34340</v>
      </c>
      <c r="R242" s="118">
        <f t="shared" si="238"/>
        <v>34340</v>
      </c>
      <c r="S242" s="118">
        <f t="shared" si="238"/>
        <v>34340</v>
      </c>
      <c r="T242" s="118">
        <f t="shared" si="238"/>
        <v>34340</v>
      </c>
      <c r="U242" s="118">
        <f t="shared" si="238"/>
        <v>34340</v>
      </c>
      <c r="V242" s="118">
        <f t="shared" si="238"/>
        <v>34340</v>
      </c>
      <c r="W242" s="118">
        <f t="shared" si="238"/>
        <v>34340</v>
      </c>
      <c r="X242" s="118">
        <f t="shared" si="238"/>
        <v>34340</v>
      </c>
      <c r="Y242" s="118">
        <f t="shared" si="238"/>
        <v>34340</v>
      </c>
      <c r="Z242" s="118">
        <f t="shared" si="238"/>
        <v>34340</v>
      </c>
      <c r="AA242" s="118">
        <f t="shared" si="238"/>
        <v>34340</v>
      </c>
      <c r="AB242" s="118">
        <f t="shared" si="238"/>
        <v>34340</v>
      </c>
      <c r="AC242" s="118">
        <f t="shared" si="238"/>
        <v>34340</v>
      </c>
      <c r="AD242" s="118">
        <f t="shared" si="238"/>
        <v>34340</v>
      </c>
      <c r="AE242" s="118">
        <f t="shared" si="238"/>
        <v>34340</v>
      </c>
      <c r="AF242" s="118">
        <f t="shared" si="238"/>
        <v>34340</v>
      </c>
      <c r="AG242" s="118">
        <f t="shared" si="238"/>
        <v>34340</v>
      </c>
      <c r="AH242" s="118">
        <f t="shared" si="238"/>
        <v>34340</v>
      </c>
      <c r="AI242" s="118">
        <f t="shared" si="238"/>
        <v>34340</v>
      </c>
      <c r="AJ242" s="118">
        <f t="shared" si="238"/>
        <v>34340</v>
      </c>
      <c r="AK242" s="118">
        <f t="shared" si="238"/>
        <v>34340</v>
      </c>
      <c r="AL242" s="118">
        <f t="shared" si="238"/>
        <v>34340</v>
      </c>
      <c r="AM242" s="118">
        <f t="shared" si="238"/>
        <v>34340</v>
      </c>
      <c r="AN242" s="118">
        <f t="shared" si="238"/>
        <v>34340</v>
      </c>
      <c r="AO242" s="118">
        <f t="shared" si="238"/>
        <v>34340</v>
      </c>
    </row>
    <row r="243" spans="1:42" x14ac:dyDescent="0.35">
      <c r="A243" s="131" t="str">
        <f t="shared" ref="A243:A254" si="239">A242</f>
        <v>HIGH_PMR1b</v>
      </c>
      <c r="B243" s="134" t="s">
        <v>18</v>
      </c>
      <c r="C243" s="133" t="s">
        <v>95</v>
      </c>
      <c r="D243" s="135" t="s">
        <v>80</v>
      </c>
      <c r="E243" s="153">
        <v>17878</v>
      </c>
      <c r="F243" s="153">
        <v>17878</v>
      </c>
      <c r="G243" s="153">
        <v>17878</v>
      </c>
      <c r="H243" s="153">
        <v>17878</v>
      </c>
      <c r="I243" s="153">
        <v>17878</v>
      </c>
      <c r="J243" s="153">
        <v>17878</v>
      </c>
      <c r="K243" s="153">
        <v>17878</v>
      </c>
      <c r="L243" s="153">
        <v>17878</v>
      </c>
      <c r="M243" s="153">
        <v>17878</v>
      </c>
      <c r="N243" s="153">
        <v>17878</v>
      </c>
      <c r="O243" s="153">
        <v>17878</v>
      </c>
      <c r="P243" s="153">
        <v>17878</v>
      </c>
      <c r="Q243" s="153">
        <v>17878</v>
      </c>
      <c r="R243" s="153">
        <v>17878</v>
      </c>
      <c r="S243" s="153">
        <v>17878</v>
      </c>
      <c r="T243" s="153">
        <v>17878</v>
      </c>
      <c r="U243" s="153">
        <v>17878</v>
      </c>
      <c r="V243" s="153">
        <v>17878</v>
      </c>
      <c r="W243" s="153">
        <v>17878</v>
      </c>
      <c r="X243" s="153">
        <v>17878</v>
      </c>
      <c r="Y243" s="153">
        <v>17878</v>
      </c>
      <c r="Z243" s="153">
        <v>17878</v>
      </c>
      <c r="AA243" s="153">
        <v>17878</v>
      </c>
      <c r="AB243" s="153">
        <v>17878</v>
      </c>
      <c r="AC243" s="153">
        <v>17878</v>
      </c>
      <c r="AD243" s="153">
        <v>17878</v>
      </c>
      <c r="AE243" s="153">
        <v>17878</v>
      </c>
      <c r="AF243" s="153">
        <v>17878</v>
      </c>
      <c r="AG243" s="153">
        <v>17878</v>
      </c>
      <c r="AH243" s="153">
        <v>17878</v>
      </c>
      <c r="AI243" s="153">
        <v>17878</v>
      </c>
      <c r="AJ243" s="153">
        <v>17878</v>
      </c>
      <c r="AK243" s="153">
        <v>17878</v>
      </c>
      <c r="AL243" s="153">
        <v>17878</v>
      </c>
      <c r="AM243" s="153">
        <v>17878</v>
      </c>
      <c r="AN243" s="153">
        <v>17878</v>
      </c>
      <c r="AO243" s="153">
        <v>17878</v>
      </c>
    </row>
    <row r="244" spans="1:42" x14ac:dyDescent="0.35">
      <c r="A244" s="131" t="str">
        <f t="shared" si="239"/>
        <v>HIGH_PMR1b</v>
      </c>
      <c r="B244" s="132" t="s">
        <v>19</v>
      </c>
      <c r="C244" s="133" t="s">
        <v>95</v>
      </c>
      <c r="D244" s="133" t="s">
        <v>80</v>
      </c>
      <c r="E244" s="153">
        <v>17878</v>
      </c>
      <c r="F244" s="153">
        <v>17878</v>
      </c>
      <c r="G244" s="153">
        <v>17878</v>
      </c>
      <c r="H244" s="153">
        <v>17878</v>
      </c>
      <c r="I244" s="153">
        <v>17878</v>
      </c>
      <c r="J244" s="153">
        <v>17878</v>
      </c>
      <c r="K244" s="153">
        <v>17878</v>
      </c>
      <c r="L244" s="153">
        <v>17878</v>
      </c>
      <c r="M244" s="153">
        <v>17878</v>
      </c>
      <c r="N244" s="153">
        <v>17878</v>
      </c>
      <c r="O244" s="153">
        <v>17878</v>
      </c>
      <c r="P244" s="153">
        <v>17878</v>
      </c>
      <c r="Q244" s="153">
        <v>17878</v>
      </c>
      <c r="R244" s="153">
        <v>17878</v>
      </c>
      <c r="S244" s="153">
        <v>17878</v>
      </c>
      <c r="T244" s="153">
        <v>17878</v>
      </c>
      <c r="U244" s="153">
        <v>17878</v>
      </c>
      <c r="V244" s="153">
        <v>17878</v>
      </c>
      <c r="W244" s="153">
        <v>17878</v>
      </c>
      <c r="X244" s="153">
        <v>17878</v>
      </c>
      <c r="Y244" s="153">
        <v>17878</v>
      </c>
      <c r="Z244" s="153">
        <v>17878</v>
      </c>
      <c r="AA244" s="153">
        <v>17878</v>
      </c>
      <c r="AB244" s="153">
        <v>17878</v>
      </c>
      <c r="AC244" s="153">
        <v>17878</v>
      </c>
      <c r="AD244" s="153">
        <v>17878</v>
      </c>
      <c r="AE244" s="153">
        <v>17878</v>
      </c>
      <c r="AF244" s="153">
        <v>17878</v>
      </c>
      <c r="AG244" s="153">
        <v>17878</v>
      </c>
      <c r="AH244" s="153">
        <v>17878</v>
      </c>
      <c r="AI244" s="153">
        <v>17878</v>
      </c>
      <c r="AJ244" s="153">
        <v>17878</v>
      </c>
      <c r="AK244" s="153">
        <v>17878</v>
      </c>
      <c r="AL244" s="153">
        <v>17878</v>
      </c>
      <c r="AM244" s="153">
        <v>17878</v>
      </c>
      <c r="AN244" s="153">
        <v>17878</v>
      </c>
      <c r="AO244" s="153">
        <v>17878</v>
      </c>
    </row>
    <row r="245" spans="1:42" x14ac:dyDescent="0.35">
      <c r="A245" s="131" t="str">
        <f t="shared" si="239"/>
        <v>HIGH_PMR1b</v>
      </c>
      <c r="B245" s="134" t="s">
        <v>20</v>
      </c>
      <c r="C245" s="133" t="s">
        <v>95</v>
      </c>
      <c r="D245" s="135" t="s">
        <v>80</v>
      </c>
      <c r="E245" s="153">
        <v>17878</v>
      </c>
      <c r="F245" s="153">
        <v>17878</v>
      </c>
      <c r="G245" s="153">
        <v>17878</v>
      </c>
      <c r="H245" s="153">
        <v>17878</v>
      </c>
      <c r="I245" s="153">
        <v>17878</v>
      </c>
      <c r="J245" s="153">
        <v>17878</v>
      </c>
      <c r="K245" s="153">
        <v>17878</v>
      </c>
      <c r="L245" s="153">
        <v>17878</v>
      </c>
      <c r="M245" s="153">
        <v>17878</v>
      </c>
      <c r="N245" s="153">
        <v>17878</v>
      </c>
      <c r="O245" s="153">
        <v>17878</v>
      </c>
      <c r="P245" s="153">
        <v>17878</v>
      </c>
      <c r="Q245" s="153">
        <v>17878</v>
      </c>
      <c r="R245" s="153">
        <v>17878</v>
      </c>
      <c r="S245" s="153">
        <v>17878</v>
      </c>
      <c r="T245" s="153">
        <v>17878</v>
      </c>
      <c r="U245" s="153">
        <v>17878</v>
      </c>
      <c r="V245" s="153">
        <v>17878</v>
      </c>
      <c r="W245" s="153">
        <v>17878</v>
      </c>
      <c r="X245" s="153">
        <v>17878</v>
      </c>
      <c r="Y245" s="153">
        <v>17878</v>
      </c>
      <c r="Z245" s="153">
        <v>17878</v>
      </c>
      <c r="AA245" s="153">
        <v>17878</v>
      </c>
      <c r="AB245" s="153">
        <v>17878</v>
      </c>
      <c r="AC245" s="153">
        <v>17878</v>
      </c>
      <c r="AD245" s="153">
        <v>17878</v>
      </c>
      <c r="AE245" s="153">
        <v>17878</v>
      </c>
      <c r="AF245" s="153">
        <v>17878</v>
      </c>
      <c r="AG245" s="153">
        <v>17878</v>
      </c>
      <c r="AH245" s="153">
        <v>17878</v>
      </c>
      <c r="AI245" s="153">
        <v>17878</v>
      </c>
      <c r="AJ245" s="153">
        <v>17878</v>
      </c>
      <c r="AK245" s="153">
        <v>17878</v>
      </c>
      <c r="AL245" s="153">
        <v>17878</v>
      </c>
      <c r="AM245" s="153">
        <v>17878</v>
      </c>
      <c r="AN245" s="153">
        <v>17878</v>
      </c>
      <c r="AO245" s="153">
        <v>17878</v>
      </c>
    </row>
    <row r="246" spans="1:42" x14ac:dyDescent="0.35">
      <c r="A246" s="131" t="str">
        <f t="shared" si="239"/>
        <v>HIGH_PMR1b</v>
      </c>
      <c r="B246" s="132" t="s">
        <v>21</v>
      </c>
      <c r="C246" s="133" t="s">
        <v>95</v>
      </c>
      <c r="D246" s="133" t="s">
        <v>80</v>
      </c>
      <c r="E246" s="153">
        <v>17878</v>
      </c>
      <c r="F246" s="153">
        <v>17878</v>
      </c>
      <c r="G246" s="153">
        <v>17878</v>
      </c>
      <c r="H246" s="153">
        <v>17878</v>
      </c>
      <c r="I246" s="153">
        <v>17878</v>
      </c>
      <c r="J246" s="153">
        <v>17878</v>
      </c>
      <c r="K246" s="153">
        <v>17878</v>
      </c>
      <c r="L246" s="153">
        <v>17878</v>
      </c>
      <c r="M246" s="153">
        <v>17878</v>
      </c>
      <c r="N246" s="153">
        <v>17878</v>
      </c>
      <c r="O246" s="153">
        <v>17878</v>
      </c>
      <c r="P246" s="153">
        <v>17878</v>
      </c>
      <c r="Q246" s="153">
        <v>17878</v>
      </c>
      <c r="R246" s="153">
        <v>17878</v>
      </c>
      <c r="S246" s="153">
        <v>17878</v>
      </c>
      <c r="T246" s="153">
        <v>17878</v>
      </c>
      <c r="U246" s="153">
        <v>17878</v>
      </c>
      <c r="V246" s="153">
        <v>17878</v>
      </c>
      <c r="W246" s="153">
        <v>17878</v>
      </c>
      <c r="X246" s="153">
        <v>17878</v>
      </c>
      <c r="Y246" s="153">
        <v>17878</v>
      </c>
      <c r="Z246" s="153">
        <v>17878</v>
      </c>
      <c r="AA246" s="153">
        <v>17878</v>
      </c>
      <c r="AB246" s="153">
        <v>17878</v>
      </c>
      <c r="AC246" s="153">
        <v>17878</v>
      </c>
      <c r="AD246" s="153">
        <v>17878</v>
      </c>
      <c r="AE246" s="153">
        <v>17878</v>
      </c>
      <c r="AF246" s="153">
        <v>17878</v>
      </c>
      <c r="AG246" s="153">
        <v>17878</v>
      </c>
      <c r="AH246" s="153">
        <v>17878</v>
      </c>
      <c r="AI246" s="153">
        <v>17878</v>
      </c>
      <c r="AJ246" s="153">
        <v>17878</v>
      </c>
      <c r="AK246" s="153">
        <v>17878</v>
      </c>
      <c r="AL246" s="153">
        <v>17878</v>
      </c>
      <c r="AM246" s="153">
        <v>17878</v>
      </c>
      <c r="AN246" s="153">
        <v>17878</v>
      </c>
      <c r="AO246" s="153">
        <v>17878</v>
      </c>
    </row>
    <row r="247" spans="1:42" x14ac:dyDescent="0.35">
      <c r="A247" s="131" t="str">
        <f t="shared" si="239"/>
        <v>HIGH_PMR1b</v>
      </c>
      <c r="B247" s="134" t="s">
        <v>22</v>
      </c>
      <c r="C247" s="133" t="s">
        <v>95</v>
      </c>
      <c r="D247" s="135" t="s">
        <v>80</v>
      </c>
      <c r="E247" s="153">
        <v>17878</v>
      </c>
      <c r="F247" s="153">
        <v>17878</v>
      </c>
      <c r="G247" s="153">
        <v>17878</v>
      </c>
      <c r="H247" s="153">
        <v>17878</v>
      </c>
      <c r="I247" s="153">
        <v>17878</v>
      </c>
      <c r="J247" s="153">
        <v>17878</v>
      </c>
      <c r="K247" s="153">
        <v>17878</v>
      </c>
      <c r="L247" s="153">
        <v>17878</v>
      </c>
      <c r="M247" s="153">
        <v>17878</v>
      </c>
      <c r="N247" s="153">
        <v>17878</v>
      </c>
      <c r="O247" s="153">
        <v>17878</v>
      </c>
      <c r="P247" s="153">
        <v>17878</v>
      </c>
      <c r="Q247" s="153">
        <v>17878</v>
      </c>
      <c r="R247" s="153">
        <v>17878</v>
      </c>
      <c r="S247" s="153">
        <v>17878</v>
      </c>
      <c r="T247" s="153">
        <v>17878</v>
      </c>
      <c r="U247" s="153">
        <v>17878</v>
      </c>
      <c r="V247" s="153">
        <v>17878</v>
      </c>
      <c r="W247" s="153">
        <v>17878</v>
      </c>
      <c r="X247" s="153">
        <v>17878</v>
      </c>
      <c r="Y247" s="153">
        <v>17878</v>
      </c>
      <c r="Z247" s="153">
        <v>17878</v>
      </c>
      <c r="AA247" s="153">
        <v>17878</v>
      </c>
      <c r="AB247" s="153">
        <v>17878</v>
      </c>
      <c r="AC247" s="153">
        <v>17878</v>
      </c>
      <c r="AD247" s="153">
        <v>17878</v>
      </c>
      <c r="AE247" s="153">
        <v>17878</v>
      </c>
      <c r="AF247" s="153">
        <v>17878</v>
      </c>
      <c r="AG247" s="153">
        <v>17878</v>
      </c>
      <c r="AH247" s="153">
        <v>17878</v>
      </c>
      <c r="AI247" s="153">
        <v>17878</v>
      </c>
      <c r="AJ247" s="153">
        <v>17878</v>
      </c>
      <c r="AK247" s="153">
        <v>17878</v>
      </c>
      <c r="AL247" s="153">
        <v>17878</v>
      </c>
      <c r="AM247" s="153">
        <v>17878</v>
      </c>
      <c r="AN247" s="153">
        <v>17878</v>
      </c>
      <c r="AO247" s="153">
        <v>17878</v>
      </c>
    </row>
    <row r="248" spans="1:42" x14ac:dyDescent="0.35">
      <c r="A248" s="131" t="str">
        <f t="shared" si="239"/>
        <v>HIGH_PMR1b</v>
      </c>
      <c r="B248" s="134" t="s">
        <v>117</v>
      </c>
      <c r="C248" s="133" t="s">
        <v>95</v>
      </c>
      <c r="D248" s="135" t="s">
        <v>80</v>
      </c>
      <c r="E248" s="153">
        <v>17878</v>
      </c>
      <c r="F248" s="153">
        <v>17878</v>
      </c>
      <c r="G248" s="153">
        <v>17878</v>
      </c>
      <c r="H248" s="153">
        <v>17878</v>
      </c>
      <c r="I248" s="153">
        <v>17878</v>
      </c>
      <c r="J248" s="153">
        <v>17878</v>
      </c>
      <c r="K248" s="153">
        <v>17878</v>
      </c>
      <c r="L248" s="153">
        <v>17878</v>
      </c>
      <c r="M248" s="153">
        <v>17878</v>
      </c>
      <c r="N248" s="153">
        <v>17878</v>
      </c>
      <c r="O248" s="153">
        <v>17878</v>
      </c>
      <c r="P248" s="153">
        <v>17878</v>
      </c>
      <c r="Q248" s="153">
        <v>17878</v>
      </c>
      <c r="R248" s="153">
        <v>17878</v>
      </c>
      <c r="S248" s="153">
        <v>17878</v>
      </c>
      <c r="T248" s="153">
        <v>17878</v>
      </c>
      <c r="U248" s="153">
        <v>17878</v>
      </c>
      <c r="V248" s="153">
        <v>17878</v>
      </c>
      <c r="W248" s="153">
        <v>17878</v>
      </c>
      <c r="X248" s="153">
        <v>17878</v>
      </c>
      <c r="Y248" s="153">
        <v>17878</v>
      </c>
      <c r="Z248" s="153">
        <v>17878</v>
      </c>
      <c r="AA248" s="153">
        <v>17878</v>
      </c>
      <c r="AB248" s="153">
        <v>17878</v>
      </c>
      <c r="AC248" s="153">
        <v>17878</v>
      </c>
      <c r="AD248" s="153">
        <v>17878</v>
      </c>
      <c r="AE248" s="153">
        <v>17878</v>
      </c>
      <c r="AF248" s="153">
        <v>17878</v>
      </c>
      <c r="AG248" s="153">
        <v>17878</v>
      </c>
      <c r="AH248" s="153">
        <v>17878</v>
      </c>
      <c r="AI248" s="153">
        <v>17878</v>
      </c>
      <c r="AJ248" s="153">
        <v>17878</v>
      </c>
      <c r="AK248" s="153">
        <v>17878</v>
      </c>
      <c r="AL248" s="153">
        <v>17878</v>
      </c>
      <c r="AM248" s="153">
        <v>17878</v>
      </c>
      <c r="AN248" s="153">
        <v>17878</v>
      </c>
      <c r="AO248" s="153">
        <v>17878</v>
      </c>
    </row>
    <row r="249" spans="1:42" x14ac:dyDescent="0.35">
      <c r="A249" s="131" t="str">
        <f t="shared" si="239"/>
        <v>HIGH_PMR1b</v>
      </c>
      <c r="B249" s="132" t="s">
        <v>23</v>
      </c>
      <c r="C249" s="133" t="s">
        <v>95</v>
      </c>
      <c r="D249" s="133" t="s">
        <v>80</v>
      </c>
      <c r="E249" s="153">
        <v>17878</v>
      </c>
      <c r="F249" s="153">
        <v>17878</v>
      </c>
      <c r="G249" s="153">
        <v>17878</v>
      </c>
      <c r="H249" s="153">
        <v>17878</v>
      </c>
      <c r="I249" s="153">
        <v>17878</v>
      </c>
      <c r="J249" s="153">
        <v>17878</v>
      </c>
      <c r="K249" s="153">
        <v>17878</v>
      </c>
      <c r="L249" s="153">
        <v>17878</v>
      </c>
      <c r="M249" s="153">
        <v>17878</v>
      </c>
      <c r="N249" s="153">
        <v>17878</v>
      </c>
      <c r="O249" s="153">
        <v>17878</v>
      </c>
      <c r="P249" s="153">
        <v>17878</v>
      </c>
      <c r="Q249" s="153">
        <v>17878</v>
      </c>
      <c r="R249" s="153">
        <v>17878</v>
      </c>
      <c r="S249" s="153">
        <v>17878</v>
      </c>
      <c r="T249" s="153">
        <v>17878</v>
      </c>
      <c r="U249" s="153">
        <v>17878</v>
      </c>
      <c r="V249" s="153">
        <v>17878</v>
      </c>
      <c r="W249" s="153">
        <v>17878</v>
      </c>
      <c r="X249" s="153">
        <v>17878</v>
      </c>
      <c r="Y249" s="153">
        <v>17878</v>
      </c>
      <c r="Z249" s="153">
        <v>17878</v>
      </c>
      <c r="AA249" s="153">
        <v>17878</v>
      </c>
      <c r="AB249" s="153">
        <v>17878</v>
      </c>
      <c r="AC249" s="153">
        <v>17878</v>
      </c>
      <c r="AD249" s="153">
        <v>17878</v>
      </c>
      <c r="AE249" s="153">
        <v>17878</v>
      </c>
      <c r="AF249" s="153">
        <v>17878</v>
      </c>
      <c r="AG249" s="153">
        <v>17878</v>
      </c>
      <c r="AH249" s="153">
        <v>17878</v>
      </c>
      <c r="AI249" s="153">
        <v>17878</v>
      </c>
      <c r="AJ249" s="153">
        <v>17878</v>
      </c>
      <c r="AK249" s="153">
        <v>17878</v>
      </c>
      <c r="AL249" s="153">
        <v>17878</v>
      </c>
      <c r="AM249" s="153">
        <v>17878</v>
      </c>
      <c r="AN249" s="153">
        <v>17878</v>
      </c>
      <c r="AO249" s="153">
        <v>17878</v>
      </c>
    </row>
    <row r="250" spans="1:42" x14ac:dyDescent="0.35">
      <c r="A250" s="131" t="str">
        <f>A240</f>
        <v>HIGH_PMR1b</v>
      </c>
      <c r="B250" s="132" t="s">
        <v>13</v>
      </c>
      <c r="C250" s="133" t="s">
        <v>95</v>
      </c>
      <c r="D250" s="133" t="s">
        <v>80</v>
      </c>
      <c r="E250" s="153">
        <v>30389.828585317766</v>
      </c>
      <c r="F250" s="153">
        <v>30005.663046127767</v>
      </c>
      <c r="G250" s="153">
        <v>29621.497506937769</v>
      </c>
      <c r="H250" s="153">
        <v>29237.331967747865</v>
      </c>
      <c r="I250" s="153">
        <v>28853.166428557866</v>
      </c>
      <c r="J250" s="153">
        <v>28469.000889367962</v>
      </c>
      <c r="K250" s="153">
        <v>28084.83535017796</v>
      </c>
      <c r="L250" s="153">
        <v>27896.035789141064</v>
      </c>
      <c r="M250" s="153">
        <v>27706.948432239806</v>
      </c>
      <c r="N250" s="153">
        <v>27517.573279474367</v>
      </c>
      <c r="O250" s="153">
        <v>27327.910330844563</v>
      </c>
      <c r="P250" s="153">
        <v>27137.959586350582</v>
      </c>
      <c r="Q250" s="153">
        <v>26947.721045992232</v>
      </c>
      <c r="R250" s="153">
        <v>26757.194709769614</v>
      </c>
      <c r="S250" s="153">
        <v>26566.380577682816</v>
      </c>
      <c r="T250" s="153">
        <v>26375.27864973155</v>
      </c>
      <c r="U250" s="153">
        <v>26183.888925916115</v>
      </c>
      <c r="V250" s="153">
        <v>25992.211406236405</v>
      </c>
      <c r="W250" s="153">
        <v>25800.246090692424</v>
      </c>
      <c r="X250" s="153">
        <v>25607.992979284172</v>
      </c>
      <c r="Y250" s="153">
        <v>25415.452072011551</v>
      </c>
      <c r="Z250" s="153">
        <v>25222.623368874756</v>
      </c>
      <c r="AA250" s="153">
        <v>25029.506869873592</v>
      </c>
      <c r="AB250" s="153">
        <v>24836.102575008154</v>
      </c>
      <c r="AC250" s="153">
        <v>24642.410484278545</v>
      </c>
      <c r="AD250" s="153">
        <v>24448.430597684561</v>
      </c>
      <c r="AE250" s="153">
        <v>24254.162915226309</v>
      </c>
      <c r="AF250" s="153">
        <v>24254.162915226309</v>
      </c>
      <c r="AG250" s="153">
        <v>24254.162915226309</v>
      </c>
      <c r="AH250" s="153">
        <v>24254.162915226309</v>
      </c>
      <c r="AI250" s="153">
        <v>24254.162915226309</v>
      </c>
      <c r="AJ250" s="153">
        <v>24254.162915226309</v>
      </c>
      <c r="AK250" s="153">
        <v>24254.162915226309</v>
      </c>
      <c r="AL250" s="153">
        <v>24254.162915226309</v>
      </c>
      <c r="AM250" s="153">
        <v>24254.162915226309</v>
      </c>
      <c r="AN250" s="153">
        <v>24254.162915226309</v>
      </c>
      <c r="AO250" s="153">
        <v>24254.162915226309</v>
      </c>
      <c r="AP250" s="121"/>
    </row>
    <row r="251" spans="1:42" x14ac:dyDescent="0.35">
      <c r="A251" s="131" t="str">
        <f t="shared" si="239"/>
        <v>HIGH_PMR1b</v>
      </c>
      <c r="B251" s="134" t="s">
        <v>14</v>
      </c>
      <c r="C251" s="133" t="s">
        <v>95</v>
      </c>
      <c r="D251" s="135" t="s">
        <v>80</v>
      </c>
      <c r="E251" s="153">
        <v>34948.302873115441</v>
      </c>
      <c r="F251" s="153">
        <v>34506.512503046892</v>
      </c>
      <c r="G251" s="153">
        <v>34064.722132978444</v>
      </c>
      <c r="H251" s="153">
        <v>33622.931762909997</v>
      </c>
      <c r="I251" s="153">
        <v>33181.141392841557</v>
      </c>
      <c r="J251" s="153">
        <v>32739.351022773102</v>
      </c>
      <c r="K251" s="153">
        <v>32297.560652704658</v>
      </c>
      <c r="L251" s="153">
        <v>32080.441157512229</v>
      </c>
      <c r="M251" s="153">
        <v>31862.99069707582</v>
      </c>
      <c r="N251" s="153">
        <v>31645.209271395535</v>
      </c>
      <c r="O251" s="153">
        <v>31427.096880471261</v>
      </c>
      <c r="P251" s="153">
        <v>31208.653524303107</v>
      </c>
      <c r="Q251" s="153">
        <v>30989.879202891068</v>
      </c>
      <c r="R251" s="153">
        <v>30770.773916235048</v>
      </c>
      <c r="S251" s="153">
        <v>30551.337664335148</v>
      </c>
      <c r="T251" s="153">
        <v>30331.570447191356</v>
      </c>
      <c r="U251" s="153">
        <v>30111.472264803589</v>
      </c>
      <c r="V251" s="153">
        <v>29891.043117171939</v>
      </c>
      <c r="W251" s="153">
        <v>29670.283004296311</v>
      </c>
      <c r="X251" s="153">
        <v>29449.191926176794</v>
      </c>
      <c r="Y251" s="153">
        <v>29227.7698828133</v>
      </c>
      <c r="Z251" s="153">
        <v>29006.016874205921</v>
      </c>
      <c r="AA251" s="153">
        <v>28783.932900354659</v>
      </c>
      <c r="AB251" s="153">
        <v>28561.517961259415</v>
      </c>
      <c r="AC251" s="153">
        <v>28338.77205692029</v>
      </c>
      <c r="AD251" s="153">
        <v>28115.695187337184</v>
      </c>
      <c r="AE251" s="153">
        <v>27892.287352510193</v>
      </c>
      <c r="AF251" s="153">
        <v>27892.287352510193</v>
      </c>
      <c r="AG251" s="153">
        <v>27892.287352510193</v>
      </c>
      <c r="AH251" s="153">
        <v>27892.287352510193</v>
      </c>
      <c r="AI251" s="153">
        <v>27892.287352510193</v>
      </c>
      <c r="AJ251" s="153">
        <v>27892.287352510193</v>
      </c>
      <c r="AK251" s="153">
        <v>27892.287352510193</v>
      </c>
      <c r="AL251" s="153">
        <v>27892.287352510193</v>
      </c>
      <c r="AM251" s="153">
        <v>27892.287352510193</v>
      </c>
      <c r="AN251" s="153">
        <v>27892.287352510193</v>
      </c>
      <c r="AO251" s="153">
        <v>27892.287352510193</v>
      </c>
    </row>
    <row r="252" spans="1:42" x14ac:dyDescent="0.35">
      <c r="A252" s="131" t="str">
        <f t="shared" si="239"/>
        <v>HIGH_PMR1b</v>
      </c>
      <c r="B252" s="132" t="s">
        <v>10</v>
      </c>
      <c r="C252" s="133" t="s">
        <v>95</v>
      </c>
      <c r="D252" s="133" t="s">
        <v>80</v>
      </c>
      <c r="E252" s="153">
        <v>21362.670190236535</v>
      </c>
      <c r="F252" s="153">
        <v>20989.946593448418</v>
      </c>
      <c r="G252" s="153">
        <v>20580.410789570196</v>
      </c>
      <c r="H252" s="153">
        <v>20152.468882146732</v>
      </c>
      <c r="I252" s="153">
        <v>19692.316293519409</v>
      </c>
      <c r="J252" s="153">
        <v>19186.148446029409</v>
      </c>
      <c r="K252" s="153">
        <v>18702.988227970793</v>
      </c>
      <c r="L252" s="153">
        <v>18463.708881884555</v>
      </c>
      <c r="M252" s="153">
        <v>18238.234113457227</v>
      </c>
      <c r="N252" s="153">
        <v>18008.157819143566</v>
      </c>
      <c r="O252" s="153">
        <v>17801.089154261288</v>
      </c>
      <c r="P252" s="153">
        <v>17589.418963492673</v>
      </c>
      <c r="Q252" s="153">
        <v>17359.342669179008</v>
      </c>
      <c r="R252" s="153">
        <v>17133.867900751684</v>
      </c>
      <c r="S252" s="153">
        <v>16931.400761755645</v>
      </c>
      <c r="T252" s="153">
        <v>16705.925993328314</v>
      </c>
      <c r="U252" s="153">
        <v>16482.856997446139</v>
      </c>
      <c r="V252" s="153">
        <f>($AE$252-$U$252)/10+U252</f>
        <v>16234.571297701525</v>
      </c>
      <c r="W252" s="153">
        <f t="shared" ref="W252:AD254" si="240">($AE$252-$U$252)/10+V252</f>
        <v>15986.28559795691</v>
      </c>
      <c r="X252" s="153">
        <f t="shared" si="240"/>
        <v>15737.999898212296</v>
      </c>
      <c r="Y252" s="153">
        <f t="shared" si="240"/>
        <v>15489.714198467682</v>
      </c>
      <c r="Z252" s="153">
        <f t="shared" si="240"/>
        <v>15241.428498723068</v>
      </c>
      <c r="AA252" s="153">
        <f t="shared" si="240"/>
        <v>14993.142798978453</v>
      </c>
      <c r="AB252" s="153">
        <f t="shared" si="240"/>
        <v>14744.857099233839</v>
      </c>
      <c r="AC252" s="153">
        <f t="shared" si="240"/>
        <v>14496.571399489225</v>
      </c>
      <c r="AD252" s="153">
        <f t="shared" si="240"/>
        <v>14248.285699744611</v>
      </c>
      <c r="AE252" s="153">
        <v>14000</v>
      </c>
      <c r="AF252" s="153">
        <v>14000</v>
      </c>
      <c r="AG252" s="153">
        <v>14000</v>
      </c>
      <c r="AH252" s="153">
        <v>14000</v>
      </c>
      <c r="AI252" s="153">
        <v>14000</v>
      </c>
      <c r="AJ252" s="153">
        <v>14000</v>
      </c>
      <c r="AK252" s="153">
        <v>14000</v>
      </c>
      <c r="AL252" s="153">
        <v>14000</v>
      </c>
      <c r="AM252" s="153">
        <v>14000</v>
      </c>
      <c r="AN252" s="153">
        <v>14000</v>
      </c>
      <c r="AO252" s="153">
        <v>14000</v>
      </c>
    </row>
    <row r="253" spans="1:42" x14ac:dyDescent="0.35">
      <c r="A253" s="131" t="str">
        <f t="shared" si="239"/>
        <v>HIGH_PMR1b</v>
      </c>
      <c r="B253" s="134" t="s">
        <v>8</v>
      </c>
      <c r="C253" s="133" t="s">
        <v>95</v>
      </c>
      <c r="D253" s="135" t="s">
        <v>80</v>
      </c>
      <c r="E253" s="153">
        <v>21362.670190236535</v>
      </c>
      <c r="F253" s="153">
        <v>20989.946593448418</v>
      </c>
      <c r="G253" s="153">
        <v>20580.410789570196</v>
      </c>
      <c r="H253" s="153">
        <v>20152.468882146732</v>
      </c>
      <c r="I253" s="153">
        <v>19692.316293519409</v>
      </c>
      <c r="J253" s="153">
        <v>19186.148446029409</v>
      </c>
      <c r="K253" s="153">
        <v>18702.988227970793</v>
      </c>
      <c r="L253" s="153">
        <v>18463.708881884555</v>
      </c>
      <c r="M253" s="153">
        <v>18238.234113457227</v>
      </c>
      <c r="N253" s="153">
        <v>18008.157819143566</v>
      </c>
      <c r="O253" s="153">
        <v>17801.089154261288</v>
      </c>
      <c r="P253" s="153">
        <v>17589.418963492673</v>
      </c>
      <c r="Q253" s="153">
        <v>17359.342669179008</v>
      </c>
      <c r="R253" s="153">
        <v>17133.867900751684</v>
      </c>
      <c r="S253" s="153">
        <v>16931.400761755645</v>
      </c>
      <c r="T253" s="153">
        <v>16705.925993328314</v>
      </c>
      <c r="U253" s="153">
        <v>16482.856997446139</v>
      </c>
      <c r="V253" s="153">
        <f>($AE$252-$U$252)/10+U253</f>
        <v>16234.571297701525</v>
      </c>
      <c r="W253" s="153">
        <f t="shared" si="240"/>
        <v>15986.28559795691</v>
      </c>
      <c r="X253" s="153">
        <f t="shared" si="240"/>
        <v>15737.999898212296</v>
      </c>
      <c r="Y253" s="153">
        <f t="shared" si="240"/>
        <v>15489.714198467682</v>
      </c>
      <c r="Z253" s="153">
        <f t="shared" si="240"/>
        <v>15241.428498723068</v>
      </c>
      <c r="AA253" s="153">
        <f t="shared" si="240"/>
        <v>14993.142798978453</v>
      </c>
      <c r="AB253" s="153">
        <f t="shared" si="240"/>
        <v>14744.857099233839</v>
      </c>
      <c r="AC253" s="153">
        <f t="shared" si="240"/>
        <v>14496.571399489225</v>
      </c>
      <c r="AD253" s="153">
        <f t="shared" si="240"/>
        <v>14248.285699744611</v>
      </c>
      <c r="AE253" s="153">
        <v>14000</v>
      </c>
      <c r="AF253" s="153">
        <v>14000</v>
      </c>
      <c r="AG253" s="153">
        <v>14000</v>
      </c>
      <c r="AH253" s="153">
        <v>14000</v>
      </c>
      <c r="AI253" s="153">
        <v>14000</v>
      </c>
      <c r="AJ253" s="153">
        <v>14000</v>
      </c>
      <c r="AK253" s="153">
        <v>14000</v>
      </c>
      <c r="AL253" s="153">
        <v>14000</v>
      </c>
      <c r="AM253" s="153">
        <v>14000</v>
      </c>
      <c r="AN253" s="153">
        <v>14000</v>
      </c>
      <c r="AO253" s="153">
        <v>14000</v>
      </c>
    </row>
    <row r="254" spans="1:42" x14ac:dyDescent="0.35">
      <c r="A254" s="131" t="str">
        <f t="shared" si="239"/>
        <v>HIGH_PMR1b</v>
      </c>
      <c r="B254" s="132" t="s">
        <v>11</v>
      </c>
      <c r="C254" s="133" t="s">
        <v>95</v>
      </c>
      <c r="D254" s="133" t="s">
        <v>80</v>
      </c>
      <c r="E254" s="153">
        <v>21362.670190236535</v>
      </c>
      <c r="F254" s="153">
        <v>20989.946593448418</v>
      </c>
      <c r="G254" s="153">
        <v>20580.410789570196</v>
      </c>
      <c r="H254" s="153">
        <v>20152.468882146732</v>
      </c>
      <c r="I254" s="153">
        <v>19692.316293519409</v>
      </c>
      <c r="J254" s="153">
        <v>19186.148446029409</v>
      </c>
      <c r="K254" s="153">
        <v>18702.988227970793</v>
      </c>
      <c r="L254" s="153">
        <v>18463.708881884555</v>
      </c>
      <c r="M254" s="153">
        <v>18238.234113457227</v>
      </c>
      <c r="N254" s="153">
        <v>18008.157819143566</v>
      </c>
      <c r="O254" s="153">
        <v>17801.089154261288</v>
      </c>
      <c r="P254" s="153">
        <v>17589.418963492673</v>
      </c>
      <c r="Q254" s="153">
        <v>17359.342669179008</v>
      </c>
      <c r="R254" s="153">
        <v>17133.867900751684</v>
      </c>
      <c r="S254" s="153">
        <v>16931.400761755645</v>
      </c>
      <c r="T254" s="153">
        <v>16705.925993328314</v>
      </c>
      <c r="U254" s="153">
        <v>16482.856997446139</v>
      </c>
      <c r="V254" s="153">
        <f>($AE$252-$U$252)/10+U254</f>
        <v>16234.571297701525</v>
      </c>
      <c r="W254" s="153">
        <f t="shared" si="240"/>
        <v>15986.28559795691</v>
      </c>
      <c r="X254" s="153">
        <f t="shared" si="240"/>
        <v>15737.999898212296</v>
      </c>
      <c r="Y254" s="153">
        <f t="shared" si="240"/>
        <v>15489.714198467682</v>
      </c>
      <c r="Z254" s="153">
        <f t="shared" si="240"/>
        <v>15241.428498723068</v>
      </c>
      <c r="AA254" s="153">
        <f t="shared" si="240"/>
        <v>14993.142798978453</v>
      </c>
      <c r="AB254" s="153">
        <f t="shared" si="240"/>
        <v>14744.857099233839</v>
      </c>
      <c r="AC254" s="153">
        <f t="shared" si="240"/>
        <v>14496.571399489225</v>
      </c>
      <c r="AD254" s="153">
        <f t="shared" si="240"/>
        <v>14248.285699744611</v>
      </c>
      <c r="AE254" s="153">
        <v>14000</v>
      </c>
      <c r="AF254" s="153">
        <v>14000</v>
      </c>
      <c r="AG254" s="153">
        <v>14000</v>
      </c>
      <c r="AH254" s="153">
        <v>14000</v>
      </c>
      <c r="AI254" s="153">
        <v>14000</v>
      </c>
      <c r="AJ254" s="153">
        <v>14000</v>
      </c>
      <c r="AK254" s="153">
        <v>14000</v>
      </c>
      <c r="AL254" s="153">
        <v>14000</v>
      </c>
      <c r="AM254" s="153">
        <v>14000</v>
      </c>
      <c r="AN254" s="153">
        <v>14000</v>
      </c>
      <c r="AO254" s="153">
        <v>14000</v>
      </c>
    </row>
    <row r="255" spans="1:42" x14ac:dyDescent="0.35">
      <c r="A255" s="136" t="str">
        <f>A266</f>
        <v>BASE_PMR1b</v>
      </c>
      <c r="B255" s="139" t="s">
        <v>30</v>
      </c>
      <c r="C255" s="138" t="s">
        <v>95</v>
      </c>
      <c r="D255" s="140" t="s">
        <v>80</v>
      </c>
      <c r="F255" s="120">
        <v>9690</v>
      </c>
      <c r="G255" s="120">
        <v>8366.5022841219088</v>
      </c>
      <c r="H255" s="120">
        <v>7433.181818181818</v>
      </c>
      <c r="I255" s="120">
        <v>6864.583079408545</v>
      </c>
      <c r="J255" s="120">
        <v>6436.9255831422724</v>
      </c>
      <c r="K255" s="120">
        <v>6173.1681818181814</v>
      </c>
      <c r="L255" s="120">
        <v>6007.3637084894544</v>
      </c>
      <c r="M255" s="120">
        <v>5858.0848770711355</v>
      </c>
      <c r="N255" s="120">
        <v>5725.0703612908628</v>
      </c>
      <c r="O255" s="120">
        <v>5608.0588348762722</v>
      </c>
      <c r="P255" s="120">
        <v>5506.78897155509</v>
      </c>
      <c r="Q255" s="120">
        <v>5420.9994450549539</v>
      </c>
      <c r="R255" s="120">
        <v>5350.4289291035457</v>
      </c>
      <c r="S255" s="120">
        <v>5294.8160974284547</v>
      </c>
      <c r="T255" s="120">
        <v>5253.8996237574538</v>
      </c>
      <c r="U255" s="120">
        <v>5227.4181818181814</v>
      </c>
      <c r="V255" s="120">
        <v>5208.7259526960452</v>
      </c>
      <c r="W255" s="120">
        <v>5191.4395481437268</v>
      </c>
      <c r="X255" s="120">
        <v>5175.6912878894545</v>
      </c>
      <c r="Y255" s="120">
        <v>5161.613491661682</v>
      </c>
      <c r="Z255" s="120">
        <v>5149.3384791886365</v>
      </c>
      <c r="AA255" s="120">
        <v>5138.9985701986816</v>
      </c>
      <c r="AB255" s="120">
        <v>5130.7260844201364</v>
      </c>
      <c r="AC255" s="120">
        <v>5124.6533415813628</v>
      </c>
      <c r="AD255" s="120">
        <v>5120.9126614106362</v>
      </c>
      <c r="AE255" s="120">
        <v>5119.6363636363185</v>
      </c>
      <c r="AF255" s="120">
        <f>AE255</f>
        <v>5119.6363636363185</v>
      </c>
      <c r="AG255" s="120">
        <f t="shared" ref="AG255:AO255" si="241">AF255</f>
        <v>5119.6363636363185</v>
      </c>
      <c r="AH255" s="120">
        <f t="shared" si="241"/>
        <v>5119.6363636363185</v>
      </c>
      <c r="AI255" s="120">
        <f t="shared" si="241"/>
        <v>5119.6363636363185</v>
      </c>
      <c r="AJ255" s="120">
        <f t="shared" si="241"/>
        <v>5119.6363636363185</v>
      </c>
      <c r="AK255" s="120">
        <f t="shared" si="241"/>
        <v>5119.6363636363185</v>
      </c>
      <c r="AL255" s="120">
        <f t="shared" si="241"/>
        <v>5119.6363636363185</v>
      </c>
      <c r="AM255" s="120">
        <f t="shared" si="241"/>
        <v>5119.6363636363185</v>
      </c>
      <c r="AN255" s="120">
        <f t="shared" si="241"/>
        <v>5119.6363636363185</v>
      </c>
      <c r="AO255" s="120">
        <f t="shared" si="241"/>
        <v>5119.6363636363185</v>
      </c>
    </row>
    <row r="256" spans="1:42" x14ac:dyDescent="0.35">
      <c r="A256" s="136" t="str">
        <f>A255</f>
        <v>BASE_PMR1b</v>
      </c>
      <c r="B256" s="137" t="s">
        <v>32</v>
      </c>
      <c r="C256" s="138" t="s">
        <v>95</v>
      </c>
      <c r="D256" s="138" t="s">
        <v>80</v>
      </c>
      <c r="F256" s="118">
        <v>21318</v>
      </c>
      <c r="G256" s="118">
        <v>18406.305025068199</v>
      </c>
      <c r="H256" s="118">
        <v>16353</v>
      </c>
      <c r="I256" s="118">
        <v>15102.0827746988</v>
      </c>
      <c r="J256" s="118">
        <v>14161.236282913</v>
      </c>
      <c r="K256" s="118">
        <v>13580.97</v>
      </c>
      <c r="L256" s="118">
        <v>13216.2001586768</v>
      </c>
      <c r="M256" s="118">
        <v>12887.786729556499</v>
      </c>
      <c r="N256" s="118">
        <v>12595.1547948399</v>
      </c>
      <c r="O256" s="118">
        <v>12337.729436727799</v>
      </c>
      <c r="P256" s="118">
        <v>12114.9357374212</v>
      </c>
      <c r="Q256" s="118">
        <v>11926.198779120899</v>
      </c>
      <c r="R256" s="118">
        <v>11770.9436440278</v>
      </c>
      <c r="S256" s="118">
        <v>11648.595414342601</v>
      </c>
      <c r="T256" s="118">
        <v>11558.5791722664</v>
      </c>
      <c r="U256" s="118">
        <v>11500.32</v>
      </c>
      <c r="V256" s="118">
        <v>11459.1970959313</v>
      </c>
      <c r="W256" s="118">
        <v>11421.167005916201</v>
      </c>
      <c r="X256" s="118">
        <v>11386.520833356801</v>
      </c>
      <c r="Y256" s="118">
        <v>11355.549681655701</v>
      </c>
      <c r="Z256" s="118">
        <v>11328.544654215</v>
      </c>
      <c r="AA256" s="118">
        <v>11305.7968544371</v>
      </c>
      <c r="AB256" s="118">
        <v>11287.597385724301</v>
      </c>
      <c r="AC256" s="118">
        <v>11274.237351479</v>
      </c>
      <c r="AD256" s="118">
        <v>11266.0078551034</v>
      </c>
      <c r="AE256" s="118">
        <v>11263.199999999901</v>
      </c>
      <c r="AF256" s="118">
        <f>AE256</f>
        <v>11263.199999999901</v>
      </c>
      <c r="AG256" s="118">
        <f t="shared" ref="AG256:AO256" si="242">AF256</f>
        <v>11263.199999999901</v>
      </c>
      <c r="AH256" s="118">
        <f t="shared" si="242"/>
        <v>11263.199999999901</v>
      </c>
      <c r="AI256" s="118">
        <f t="shared" si="242"/>
        <v>11263.199999999901</v>
      </c>
      <c r="AJ256" s="118">
        <f t="shared" si="242"/>
        <v>11263.199999999901</v>
      </c>
      <c r="AK256" s="118">
        <f t="shared" si="242"/>
        <v>11263.199999999901</v>
      </c>
      <c r="AL256" s="118">
        <f t="shared" si="242"/>
        <v>11263.199999999901</v>
      </c>
      <c r="AM256" s="118">
        <f t="shared" si="242"/>
        <v>11263.199999999901</v>
      </c>
      <c r="AN256" s="118">
        <f t="shared" si="242"/>
        <v>11263.199999999901</v>
      </c>
      <c r="AO256" s="118">
        <f t="shared" si="242"/>
        <v>11263.199999999901</v>
      </c>
    </row>
    <row r="257" spans="1:41" x14ac:dyDescent="0.35">
      <c r="A257" s="136" t="str">
        <f>A256</f>
        <v>BASE_PMR1b</v>
      </c>
      <c r="B257" s="139" t="s">
        <v>33</v>
      </c>
      <c r="C257" s="138" t="s">
        <v>95</v>
      </c>
      <c r="D257" s="140" t="s">
        <v>80</v>
      </c>
      <c r="F257" s="120">
        <v>38372.400000000001</v>
      </c>
      <c r="G257" s="120">
        <v>33131.349045122763</v>
      </c>
      <c r="H257" s="120">
        <v>29435.4</v>
      </c>
      <c r="I257" s="120">
        <v>27183.748994457841</v>
      </c>
      <c r="J257" s="120">
        <v>25490.2253092434</v>
      </c>
      <c r="K257" s="120">
        <v>24445.745999999999</v>
      </c>
      <c r="L257" s="120">
        <v>23789.16028561824</v>
      </c>
      <c r="M257" s="120">
        <v>23198.016113201698</v>
      </c>
      <c r="N257" s="120">
        <v>22671.278630711822</v>
      </c>
      <c r="O257" s="120">
        <v>22207.912986110037</v>
      </c>
      <c r="P257" s="120">
        <v>21806.884327358159</v>
      </c>
      <c r="Q257" s="120">
        <v>21467.15780241762</v>
      </c>
      <c r="R257" s="120">
        <v>21187.698559250042</v>
      </c>
      <c r="S257" s="120">
        <v>20967.471745816682</v>
      </c>
      <c r="T257" s="120">
        <v>20805.44251007952</v>
      </c>
      <c r="U257" s="120">
        <v>20700.576000000001</v>
      </c>
      <c r="V257" s="120">
        <v>20626.55477267634</v>
      </c>
      <c r="W257" s="120">
        <v>20558.100610649162</v>
      </c>
      <c r="X257" s="120">
        <v>20495.737500042243</v>
      </c>
      <c r="Y257" s="120">
        <v>20439.989426980261</v>
      </c>
      <c r="Z257" s="120">
        <v>20391.380377587</v>
      </c>
      <c r="AA257" s="120">
        <v>20350.434337986779</v>
      </c>
      <c r="AB257" s="120">
        <v>20317.675294303743</v>
      </c>
      <c r="AC257" s="120">
        <v>20293.627232662198</v>
      </c>
      <c r="AD257" s="120">
        <v>20278.814139186121</v>
      </c>
      <c r="AE257" s="120">
        <v>20273.75999999982</v>
      </c>
      <c r="AF257" s="120">
        <f>AE257</f>
        <v>20273.75999999982</v>
      </c>
      <c r="AG257" s="120">
        <f t="shared" ref="AG257:AO257" si="243">AF257</f>
        <v>20273.75999999982</v>
      </c>
      <c r="AH257" s="120">
        <f t="shared" si="243"/>
        <v>20273.75999999982</v>
      </c>
      <c r="AI257" s="120">
        <f t="shared" si="243"/>
        <v>20273.75999999982</v>
      </c>
      <c r="AJ257" s="120">
        <f t="shared" si="243"/>
        <v>20273.75999999982</v>
      </c>
      <c r="AK257" s="120">
        <f t="shared" si="243"/>
        <v>20273.75999999982</v>
      </c>
      <c r="AL257" s="120">
        <f t="shared" si="243"/>
        <v>20273.75999999982</v>
      </c>
      <c r="AM257" s="120">
        <f t="shared" si="243"/>
        <v>20273.75999999982</v>
      </c>
      <c r="AN257" s="120">
        <f t="shared" si="243"/>
        <v>20273.75999999982</v>
      </c>
      <c r="AO257" s="120">
        <f t="shared" si="243"/>
        <v>20273.75999999982</v>
      </c>
    </row>
    <row r="258" spans="1:41" x14ac:dyDescent="0.35">
      <c r="A258" s="136" t="s">
        <v>120</v>
      </c>
      <c r="B258" s="137" t="s">
        <v>17</v>
      </c>
      <c r="C258" s="138" t="s">
        <v>95</v>
      </c>
      <c r="D258" s="138" t="s">
        <v>80</v>
      </c>
      <c r="E258" s="119">
        <v>15715</v>
      </c>
      <c r="F258" s="119">
        <v>15715</v>
      </c>
      <c r="G258" s="119">
        <v>15715</v>
      </c>
      <c r="H258" s="119">
        <v>15715</v>
      </c>
      <c r="I258" s="119">
        <v>15715</v>
      </c>
      <c r="J258" s="119">
        <v>15715</v>
      </c>
      <c r="K258" s="119">
        <v>15715</v>
      </c>
      <c r="L258" s="119">
        <v>15715</v>
      </c>
      <c r="M258" s="119">
        <v>15715</v>
      </c>
      <c r="N258" s="119">
        <v>15715</v>
      </c>
      <c r="O258" s="119">
        <v>15715</v>
      </c>
      <c r="P258" s="119">
        <v>15715</v>
      </c>
      <c r="Q258" s="119">
        <v>15715</v>
      </c>
      <c r="R258" s="119">
        <v>15715</v>
      </c>
      <c r="S258" s="119">
        <v>15715</v>
      </c>
      <c r="T258" s="119">
        <v>15715</v>
      </c>
      <c r="U258" s="119">
        <v>15715</v>
      </c>
      <c r="V258" s="119">
        <v>15715</v>
      </c>
      <c r="W258" s="119">
        <v>15715</v>
      </c>
      <c r="X258" s="119">
        <v>15715</v>
      </c>
      <c r="Y258" s="119">
        <v>15715</v>
      </c>
      <c r="Z258" s="119">
        <v>15715</v>
      </c>
      <c r="AA258" s="119">
        <v>15715</v>
      </c>
      <c r="AB258" s="119">
        <v>15715</v>
      </c>
      <c r="AC258" s="119">
        <v>15715</v>
      </c>
      <c r="AD258" s="119">
        <v>15715</v>
      </c>
      <c r="AE258" s="119">
        <v>15715</v>
      </c>
      <c r="AF258" s="119">
        <v>15715</v>
      </c>
      <c r="AG258" s="119">
        <v>15715</v>
      </c>
      <c r="AH258" s="119">
        <v>15715</v>
      </c>
      <c r="AI258" s="119">
        <v>15715</v>
      </c>
      <c r="AJ258" s="119">
        <v>15715</v>
      </c>
      <c r="AK258" s="119">
        <v>15715</v>
      </c>
      <c r="AL258" s="119">
        <v>15715</v>
      </c>
      <c r="AM258" s="119">
        <v>15715</v>
      </c>
      <c r="AN258" s="119">
        <v>15715</v>
      </c>
      <c r="AO258" s="119">
        <v>15715</v>
      </c>
    </row>
    <row r="259" spans="1:41" x14ac:dyDescent="0.35">
      <c r="A259" s="136" t="str">
        <f>A258</f>
        <v>BASE_PMR1b</v>
      </c>
      <c r="B259" s="137" t="s">
        <v>15</v>
      </c>
      <c r="C259" s="138" t="s">
        <v>95</v>
      </c>
      <c r="D259" s="138" t="s">
        <v>80</v>
      </c>
      <c r="E259" s="118">
        <v>17831</v>
      </c>
      <c r="F259" s="118">
        <f>E259</f>
        <v>17831</v>
      </c>
      <c r="G259" s="118">
        <f t="shared" ref="G259:AO259" si="244">F259</f>
        <v>17831</v>
      </c>
      <c r="H259" s="118">
        <f t="shared" si="244"/>
        <v>17831</v>
      </c>
      <c r="I259" s="118">
        <f t="shared" si="244"/>
        <v>17831</v>
      </c>
      <c r="J259" s="118">
        <f t="shared" si="244"/>
        <v>17831</v>
      </c>
      <c r="K259" s="118">
        <f t="shared" si="244"/>
        <v>17831</v>
      </c>
      <c r="L259" s="118">
        <f t="shared" si="244"/>
        <v>17831</v>
      </c>
      <c r="M259" s="118">
        <f t="shared" si="244"/>
        <v>17831</v>
      </c>
      <c r="N259" s="118">
        <f t="shared" si="244"/>
        <v>17831</v>
      </c>
      <c r="O259" s="118">
        <f t="shared" si="244"/>
        <v>17831</v>
      </c>
      <c r="P259" s="118">
        <f t="shared" si="244"/>
        <v>17831</v>
      </c>
      <c r="Q259" s="118">
        <f t="shared" si="244"/>
        <v>17831</v>
      </c>
      <c r="R259" s="118">
        <f t="shared" si="244"/>
        <v>17831</v>
      </c>
      <c r="S259" s="118">
        <f t="shared" si="244"/>
        <v>17831</v>
      </c>
      <c r="T259" s="118">
        <f t="shared" si="244"/>
        <v>17831</v>
      </c>
      <c r="U259" s="118">
        <f t="shared" si="244"/>
        <v>17831</v>
      </c>
      <c r="V259" s="118">
        <f t="shared" si="244"/>
        <v>17831</v>
      </c>
      <c r="W259" s="118">
        <f t="shared" si="244"/>
        <v>17831</v>
      </c>
      <c r="X259" s="118">
        <f t="shared" si="244"/>
        <v>17831</v>
      </c>
      <c r="Y259" s="118">
        <f t="shared" si="244"/>
        <v>17831</v>
      </c>
      <c r="Z259" s="118">
        <f t="shared" si="244"/>
        <v>17831</v>
      </c>
      <c r="AA259" s="118">
        <f t="shared" si="244"/>
        <v>17831</v>
      </c>
      <c r="AB259" s="118">
        <f t="shared" si="244"/>
        <v>17831</v>
      </c>
      <c r="AC259" s="118">
        <f t="shared" si="244"/>
        <v>17831</v>
      </c>
      <c r="AD259" s="118">
        <f t="shared" si="244"/>
        <v>17831</v>
      </c>
      <c r="AE259" s="118">
        <f t="shared" si="244"/>
        <v>17831</v>
      </c>
      <c r="AF259" s="118">
        <f t="shared" si="244"/>
        <v>17831</v>
      </c>
      <c r="AG259" s="118">
        <f t="shared" si="244"/>
        <v>17831</v>
      </c>
      <c r="AH259" s="118">
        <f t="shared" si="244"/>
        <v>17831</v>
      </c>
      <c r="AI259" s="118">
        <f t="shared" si="244"/>
        <v>17831</v>
      </c>
      <c r="AJ259" s="118">
        <f t="shared" si="244"/>
        <v>17831</v>
      </c>
      <c r="AK259" s="118">
        <f t="shared" si="244"/>
        <v>17831</v>
      </c>
      <c r="AL259" s="118">
        <f t="shared" si="244"/>
        <v>17831</v>
      </c>
      <c r="AM259" s="118">
        <f t="shared" si="244"/>
        <v>17831</v>
      </c>
      <c r="AN259" s="118">
        <f t="shared" si="244"/>
        <v>17831</v>
      </c>
      <c r="AO259" s="118">
        <f t="shared" si="244"/>
        <v>17831</v>
      </c>
    </row>
    <row r="260" spans="1:41" x14ac:dyDescent="0.35">
      <c r="A260" s="136" t="str">
        <f t="shared" ref="A260:A271" si="245">A259</f>
        <v>BASE_PMR1b</v>
      </c>
      <c r="B260" s="139" t="s">
        <v>18</v>
      </c>
      <c r="C260" s="138" t="s">
        <v>95</v>
      </c>
      <c r="D260" s="140" t="s">
        <v>80</v>
      </c>
      <c r="E260" s="138">
        <v>15715</v>
      </c>
      <c r="F260" s="138">
        <v>15715</v>
      </c>
      <c r="G260" s="138">
        <v>15715</v>
      </c>
      <c r="H260" s="138">
        <v>15715</v>
      </c>
      <c r="I260" s="138">
        <v>15715</v>
      </c>
      <c r="J260" s="138">
        <v>15715</v>
      </c>
      <c r="K260" s="138">
        <v>15715</v>
      </c>
      <c r="L260" s="138">
        <v>15715</v>
      </c>
      <c r="M260" s="138">
        <v>15715</v>
      </c>
      <c r="N260" s="138">
        <v>15715</v>
      </c>
      <c r="O260" s="138">
        <v>15715</v>
      </c>
      <c r="P260" s="138">
        <v>15715</v>
      </c>
      <c r="Q260" s="138">
        <v>15715</v>
      </c>
      <c r="R260" s="138">
        <v>15715</v>
      </c>
      <c r="S260" s="138">
        <v>15715</v>
      </c>
      <c r="T260" s="138">
        <v>15715</v>
      </c>
      <c r="U260" s="138">
        <v>15715</v>
      </c>
      <c r="V260" s="138">
        <v>15715</v>
      </c>
      <c r="W260" s="138">
        <v>15715</v>
      </c>
      <c r="X260" s="138">
        <v>15715</v>
      </c>
      <c r="Y260" s="138">
        <v>15715</v>
      </c>
      <c r="Z260" s="138">
        <v>15715</v>
      </c>
      <c r="AA260" s="138">
        <v>15715</v>
      </c>
      <c r="AB260" s="138">
        <v>15715</v>
      </c>
      <c r="AC260" s="138">
        <v>15715</v>
      </c>
      <c r="AD260" s="138">
        <v>15715</v>
      </c>
      <c r="AE260" s="138">
        <v>15715</v>
      </c>
      <c r="AF260" s="138">
        <v>15715</v>
      </c>
      <c r="AG260" s="138">
        <v>15715</v>
      </c>
      <c r="AH260" s="138">
        <v>15715</v>
      </c>
      <c r="AI260" s="138">
        <v>15715</v>
      </c>
      <c r="AJ260" s="138">
        <v>15715</v>
      </c>
      <c r="AK260" s="138">
        <v>15715</v>
      </c>
      <c r="AL260" s="138">
        <v>15715</v>
      </c>
      <c r="AM260" s="138">
        <v>15715</v>
      </c>
      <c r="AN260" s="138">
        <v>15715</v>
      </c>
      <c r="AO260" s="138">
        <v>15715</v>
      </c>
    </row>
    <row r="261" spans="1:41" x14ac:dyDescent="0.35">
      <c r="A261" s="136" t="str">
        <f t="shared" si="245"/>
        <v>BASE_PMR1b</v>
      </c>
      <c r="B261" s="137" t="s">
        <v>19</v>
      </c>
      <c r="C261" s="138" t="s">
        <v>95</v>
      </c>
      <c r="D261" s="138" t="s">
        <v>80</v>
      </c>
      <c r="E261" s="138">
        <v>15715</v>
      </c>
      <c r="F261" s="138">
        <v>15715</v>
      </c>
      <c r="G261" s="138">
        <v>15715</v>
      </c>
      <c r="H261" s="138">
        <v>15715</v>
      </c>
      <c r="I261" s="138">
        <v>15715</v>
      </c>
      <c r="J261" s="138">
        <v>15715</v>
      </c>
      <c r="K261" s="138">
        <v>15715</v>
      </c>
      <c r="L261" s="138">
        <v>15715</v>
      </c>
      <c r="M261" s="138">
        <v>15715</v>
      </c>
      <c r="N261" s="138">
        <v>15715</v>
      </c>
      <c r="O261" s="138">
        <v>15715</v>
      </c>
      <c r="P261" s="138">
        <v>15715</v>
      </c>
      <c r="Q261" s="138">
        <v>15715</v>
      </c>
      <c r="R261" s="138">
        <v>15715</v>
      </c>
      <c r="S261" s="138">
        <v>15715</v>
      </c>
      <c r="T261" s="138">
        <v>15715</v>
      </c>
      <c r="U261" s="138">
        <v>15715</v>
      </c>
      <c r="V261" s="138">
        <v>15715</v>
      </c>
      <c r="W261" s="138">
        <v>15715</v>
      </c>
      <c r="X261" s="138">
        <v>15715</v>
      </c>
      <c r="Y261" s="138">
        <v>15715</v>
      </c>
      <c r="Z261" s="138">
        <v>15715</v>
      </c>
      <c r="AA261" s="138">
        <v>15715</v>
      </c>
      <c r="AB261" s="138">
        <v>15715</v>
      </c>
      <c r="AC261" s="138">
        <v>15715</v>
      </c>
      <c r="AD261" s="138">
        <v>15715</v>
      </c>
      <c r="AE261" s="138">
        <v>15715</v>
      </c>
      <c r="AF261" s="138">
        <v>15715</v>
      </c>
      <c r="AG261" s="138">
        <v>15715</v>
      </c>
      <c r="AH261" s="138">
        <v>15715</v>
      </c>
      <c r="AI261" s="138">
        <v>15715</v>
      </c>
      <c r="AJ261" s="138">
        <v>15715</v>
      </c>
      <c r="AK261" s="138">
        <v>15715</v>
      </c>
      <c r="AL261" s="138">
        <v>15715</v>
      </c>
      <c r="AM261" s="138">
        <v>15715</v>
      </c>
      <c r="AN261" s="138">
        <v>15715</v>
      </c>
      <c r="AO261" s="138">
        <v>15715</v>
      </c>
    </row>
    <row r="262" spans="1:41" x14ac:dyDescent="0.35">
      <c r="A262" s="136" t="str">
        <f t="shared" si="245"/>
        <v>BASE_PMR1b</v>
      </c>
      <c r="B262" s="139" t="s">
        <v>20</v>
      </c>
      <c r="C262" s="138" t="s">
        <v>95</v>
      </c>
      <c r="D262" s="140" t="s">
        <v>80</v>
      </c>
      <c r="E262" s="138">
        <v>15715</v>
      </c>
      <c r="F262" s="138">
        <v>15715</v>
      </c>
      <c r="G262" s="138">
        <v>15715</v>
      </c>
      <c r="H262" s="138">
        <v>15715</v>
      </c>
      <c r="I262" s="138">
        <v>15715</v>
      </c>
      <c r="J262" s="138">
        <v>15715</v>
      </c>
      <c r="K262" s="138">
        <v>15715</v>
      </c>
      <c r="L262" s="138">
        <v>15715</v>
      </c>
      <c r="M262" s="138">
        <v>15715</v>
      </c>
      <c r="N262" s="138">
        <v>15715</v>
      </c>
      <c r="O262" s="138">
        <v>15715</v>
      </c>
      <c r="P262" s="138">
        <v>15715</v>
      </c>
      <c r="Q262" s="138">
        <v>15715</v>
      </c>
      <c r="R262" s="138">
        <v>15715</v>
      </c>
      <c r="S262" s="138">
        <v>15715</v>
      </c>
      <c r="T262" s="138">
        <v>15715</v>
      </c>
      <c r="U262" s="138">
        <v>15715</v>
      </c>
      <c r="V262" s="138">
        <v>15715</v>
      </c>
      <c r="W262" s="138">
        <v>15715</v>
      </c>
      <c r="X262" s="138">
        <v>15715</v>
      </c>
      <c r="Y262" s="138">
        <v>15715</v>
      </c>
      <c r="Z262" s="138">
        <v>15715</v>
      </c>
      <c r="AA262" s="138">
        <v>15715</v>
      </c>
      <c r="AB262" s="138">
        <v>15715</v>
      </c>
      <c r="AC262" s="138">
        <v>15715</v>
      </c>
      <c r="AD262" s="138">
        <v>15715</v>
      </c>
      <c r="AE262" s="138">
        <v>15715</v>
      </c>
      <c r="AF262" s="138">
        <v>15715</v>
      </c>
      <c r="AG262" s="138">
        <v>15715</v>
      </c>
      <c r="AH262" s="138">
        <v>15715</v>
      </c>
      <c r="AI262" s="138">
        <v>15715</v>
      </c>
      <c r="AJ262" s="138">
        <v>15715</v>
      </c>
      <c r="AK262" s="138">
        <v>15715</v>
      </c>
      <c r="AL262" s="138">
        <v>15715</v>
      </c>
      <c r="AM262" s="138">
        <v>15715</v>
      </c>
      <c r="AN262" s="138">
        <v>15715</v>
      </c>
      <c r="AO262" s="138">
        <v>15715</v>
      </c>
    </row>
    <row r="263" spans="1:41" x14ac:dyDescent="0.35">
      <c r="A263" s="136" t="str">
        <f t="shared" si="245"/>
        <v>BASE_PMR1b</v>
      </c>
      <c r="B263" s="137" t="s">
        <v>21</v>
      </c>
      <c r="C263" s="138" t="s">
        <v>95</v>
      </c>
      <c r="D263" s="138" t="s">
        <v>80</v>
      </c>
      <c r="E263" s="138">
        <v>15715</v>
      </c>
      <c r="F263" s="138">
        <v>15715</v>
      </c>
      <c r="G263" s="138">
        <v>15715</v>
      </c>
      <c r="H263" s="138">
        <v>15715</v>
      </c>
      <c r="I263" s="138">
        <v>15715</v>
      </c>
      <c r="J263" s="138">
        <v>15715</v>
      </c>
      <c r="K263" s="138">
        <v>15715</v>
      </c>
      <c r="L263" s="138">
        <v>15715</v>
      </c>
      <c r="M263" s="138">
        <v>15715</v>
      </c>
      <c r="N263" s="138">
        <v>15715</v>
      </c>
      <c r="O263" s="138">
        <v>15715</v>
      </c>
      <c r="P263" s="138">
        <v>15715</v>
      </c>
      <c r="Q263" s="138">
        <v>15715</v>
      </c>
      <c r="R263" s="138">
        <v>15715</v>
      </c>
      <c r="S263" s="138">
        <v>15715</v>
      </c>
      <c r="T263" s="138">
        <v>15715</v>
      </c>
      <c r="U263" s="138">
        <v>15715</v>
      </c>
      <c r="V263" s="138">
        <v>15715</v>
      </c>
      <c r="W263" s="138">
        <v>15715</v>
      </c>
      <c r="X263" s="138">
        <v>15715</v>
      </c>
      <c r="Y263" s="138">
        <v>15715</v>
      </c>
      <c r="Z263" s="138">
        <v>15715</v>
      </c>
      <c r="AA263" s="138">
        <v>15715</v>
      </c>
      <c r="AB263" s="138">
        <v>15715</v>
      </c>
      <c r="AC263" s="138">
        <v>15715</v>
      </c>
      <c r="AD263" s="138">
        <v>15715</v>
      </c>
      <c r="AE263" s="138">
        <v>15715</v>
      </c>
      <c r="AF263" s="138">
        <v>15715</v>
      </c>
      <c r="AG263" s="138">
        <v>15715</v>
      </c>
      <c r="AH263" s="138">
        <v>15715</v>
      </c>
      <c r="AI263" s="138">
        <v>15715</v>
      </c>
      <c r="AJ263" s="138">
        <v>15715</v>
      </c>
      <c r="AK263" s="138">
        <v>15715</v>
      </c>
      <c r="AL263" s="138">
        <v>15715</v>
      </c>
      <c r="AM263" s="138">
        <v>15715</v>
      </c>
      <c r="AN263" s="138">
        <v>15715</v>
      </c>
      <c r="AO263" s="138">
        <v>15715</v>
      </c>
    </row>
    <row r="264" spans="1:41" x14ac:dyDescent="0.35">
      <c r="A264" s="136" t="str">
        <f t="shared" si="245"/>
        <v>BASE_PMR1b</v>
      </c>
      <c r="B264" s="139" t="s">
        <v>22</v>
      </c>
      <c r="C264" s="138" t="s">
        <v>95</v>
      </c>
      <c r="D264" s="140" t="s">
        <v>80</v>
      </c>
      <c r="E264" s="138">
        <v>15715</v>
      </c>
      <c r="F264" s="138">
        <v>15715</v>
      </c>
      <c r="G264" s="138">
        <v>15715</v>
      </c>
      <c r="H264" s="138">
        <v>15715</v>
      </c>
      <c r="I264" s="138">
        <v>15715</v>
      </c>
      <c r="J264" s="138">
        <v>15715</v>
      </c>
      <c r="K264" s="138">
        <v>15715</v>
      </c>
      <c r="L264" s="138">
        <v>15715</v>
      </c>
      <c r="M264" s="138">
        <v>15715</v>
      </c>
      <c r="N264" s="138">
        <v>15715</v>
      </c>
      <c r="O264" s="138">
        <v>15715</v>
      </c>
      <c r="P264" s="138">
        <v>15715</v>
      </c>
      <c r="Q264" s="138">
        <v>15715</v>
      </c>
      <c r="R264" s="138">
        <v>15715</v>
      </c>
      <c r="S264" s="138">
        <v>15715</v>
      </c>
      <c r="T264" s="138">
        <v>15715</v>
      </c>
      <c r="U264" s="138">
        <v>15715</v>
      </c>
      <c r="V264" s="138">
        <v>15715</v>
      </c>
      <c r="W264" s="138">
        <v>15715</v>
      </c>
      <c r="X264" s="138">
        <v>15715</v>
      </c>
      <c r="Y264" s="138">
        <v>15715</v>
      </c>
      <c r="Z264" s="138">
        <v>15715</v>
      </c>
      <c r="AA264" s="138">
        <v>15715</v>
      </c>
      <c r="AB264" s="138">
        <v>15715</v>
      </c>
      <c r="AC264" s="138">
        <v>15715</v>
      </c>
      <c r="AD264" s="138">
        <v>15715</v>
      </c>
      <c r="AE264" s="138">
        <v>15715</v>
      </c>
      <c r="AF264" s="138">
        <v>15715</v>
      </c>
      <c r="AG264" s="138">
        <v>15715</v>
      </c>
      <c r="AH264" s="138">
        <v>15715</v>
      </c>
      <c r="AI264" s="138">
        <v>15715</v>
      </c>
      <c r="AJ264" s="138">
        <v>15715</v>
      </c>
      <c r="AK264" s="138">
        <v>15715</v>
      </c>
      <c r="AL264" s="138">
        <v>15715</v>
      </c>
      <c r="AM264" s="138">
        <v>15715</v>
      </c>
      <c r="AN264" s="138">
        <v>15715</v>
      </c>
      <c r="AO264" s="138">
        <v>15715</v>
      </c>
    </row>
    <row r="265" spans="1:41" x14ac:dyDescent="0.35">
      <c r="A265" s="136" t="str">
        <f t="shared" si="245"/>
        <v>BASE_PMR1b</v>
      </c>
      <c r="B265" s="139" t="s">
        <v>117</v>
      </c>
      <c r="C265" s="138" t="s">
        <v>95</v>
      </c>
      <c r="D265" s="140" t="s">
        <v>80</v>
      </c>
      <c r="E265" s="138">
        <v>15715</v>
      </c>
      <c r="F265" s="138">
        <v>15715</v>
      </c>
      <c r="G265" s="138">
        <v>15715</v>
      </c>
      <c r="H265" s="138">
        <v>15715</v>
      </c>
      <c r="I265" s="138">
        <v>15715</v>
      </c>
      <c r="J265" s="138">
        <v>15715</v>
      </c>
      <c r="K265" s="138">
        <v>15715</v>
      </c>
      <c r="L265" s="138">
        <v>15715</v>
      </c>
      <c r="M265" s="138">
        <v>15715</v>
      </c>
      <c r="N265" s="138">
        <v>15715</v>
      </c>
      <c r="O265" s="138">
        <v>15715</v>
      </c>
      <c r="P265" s="138">
        <v>15715</v>
      </c>
      <c r="Q265" s="138">
        <v>15715</v>
      </c>
      <c r="R265" s="138">
        <v>15715</v>
      </c>
      <c r="S265" s="138">
        <v>15715</v>
      </c>
      <c r="T265" s="138">
        <v>15715</v>
      </c>
      <c r="U265" s="138">
        <v>15715</v>
      </c>
      <c r="V265" s="138">
        <v>15715</v>
      </c>
      <c r="W265" s="138">
        <v>15715</v>
      </c>
      <c r="X265" s="138">
        <v>15715</v>
      </c>
      <c r="Y265" s="138">
        <v>15715</v>
      </c>
      <c r="Z265" s="138">
        <v>15715</v>
      </c>
      <c r="AA265" s="138">
        <v>15715</v>
      </c>
      <c r="AB265" s="138">
        <v>15715</v>
      </c>
      <c r="AC265" s="138">
        <v>15715</v>
      </c>
      <c r="AD265" s="138">
        <v>15715</v>
      </c>
      <c r="AE265" s="138">
        <v>15715</v>
      </c>
      <c r="AF265" s="138">
        <v>15715</v>
      </c>
      <c r="AG265" s="138">
        <v>15715</v>
      </c>
      <c r="AH265" s="138">
        <v>15715</v>
      </c>
      <c r="AI265" s="138">
        <v>15715</v>
      </c>
      <c r="AJ265" s="138">
        <v>15715</v>
      </c>
      <c r="AK265" s="138">
        <v>15715</v>
      </c>
      <c r="AL265" s="138">
        <v>15715</v>
      </c>
      <c r="AM265" s="138">
        <v>15715</v>
      </c>
      <c r="AN265" s="138">
        <v>15715</v>
      </c>
      <c r="AO265" s="138">
        <v>15715</v>
      </c>
    </row>
    <row r="266" spans="1:41" x14ac:dyDescent="0.35">
      <c r="A266" s="136" t="str">
        <f t="shared" si="245"/>
        <v>BASE_PMR1b</v>
      </c>
      <c r="B266" s="137" t="s">
        <v>23</v>
      </c>
      <c r="C266" s="138" t="s">
        <v>95</v>
      </c>
      <c r="D266" s="138" t="s">
        <v>80</v>
      </c>
      <c r="E266" s="138">
        <v>15715</v>
      </c>
      <c r="F266" s="138">
        <v>15715</v>
      </c>
      <c r="G266" s="138">
        <v>15715</v>
      </c>
      <c r="H266" s="138">
        <v>15715</v>
      </c>
      <c r="I266" s="138">
        <v>15715</v>
      </c>
      <c r="J266" s="138">
        <v>15715</v>
      </c>
      <c r="K266" s="138">
        <v>15715</v>
      </c>
      <c r="L266" s="138">
        <v>15715</v>
      </c>
      <c r="M266" s="138">
        <v>15715</v>
      </c>
      <c r="N266" s="138">
        <v>15715</v>
      </c>
      <c r="O266" s="138">
        <v>15715</v>
      </c>
      <c r="P266" s="138">
        <v>15715</v>
      </c>
      <c r="Q266" s="138">
        <v>15715</v>
      </c>
      <c r="R266" s="138">
        <v>15715</v>
      </c>
      <c r="S266" s="138">
        <v>15715</v>
      </c>
      <c r="T266" s="138">
        <v>15715</v>
      </c>
      <c r="U266" s="138">
        <v>15715</v>
      </c>
      <c r="V266" s="138">
        <v>15715</v>
      </c>
      <c r="W266" s="138">
        <v>15715</v>
      </c>
      <c r="X266" s="138">
        <v>15715</v>
      </c>
      <c r="Y266" s="138">
        <v>15715</v>
      </c>
      <c r="Z266" s="138">
        <v>15715</v>
      </c>
      <c r="AA266" s="138">
        <v>15715</v>
      </c>
      <c r="AB266" s="138">
        <v>15715</v>
      </c>
      <c r="AC266" s="138">
        <v>15715</v>
      </c>
      <c r="AD266" s="138">
        <v>15715</v>
      </c>
      <c r="AE266" s="138">
        <v>15715</v>
      </c>
      <c r="AF266" s="138">
        <v>15715</v>
      </c>
      <c r="AG266" s="138">
        <v>15715</v>
      </c>
      <c r="AH266" s="138">
        <v>15715</v>
      </c>
      <c r="AI266" s="138">
        <v>15715</v>
      </c>
      <c r="AJ266" s="138">
        <v>15715</v>
      </c>
      <c r="AK266" s="138">
        <v>15715</v>
      </c>
      <c r="AL266" s="138">
        <v>15715</v>
      </c>
      <c r="AM266" s="138">
        <v>15715</v>
      </c>
      <c r="AN266" s="138">
        <v>15715</v>
      </c>
      <c r="AO266" s="138">
        <v>15715</v>
      </c>
    </row>
    <row r="267" spans="1:41" x14ac:dyDescent="0.35">
      <c r="A267" s="136" t="str">
        <f>A257</f>
        <v>BASE_PMR1b</v>
      </c>
      <c r="B267" s="137" t="s">
        <v>13</v>
      </c>
      <c r="C267" s="138" t="s">
        <v>95</v>
      </c>
      <c r="D267" s="138" t="s">
        <v>80</v>
      </c>
      <c r="E267" s="154">
        <v>28256.573849306504</v>
      </c>
      <c r="F267" s="154">
        <v>27763.569381969999</v>
      </c>
      <c r="G267" s="154">
        <v>27221.873115390485</v>
      </c>
      <c r="H267" s="154">
        <v>26655.83094918932</v>
      </c>
      <c r="I267" s="154">
        <v>26047.183458650386</v>
      </c>
      <c r="J267" s="154">
        <v>25377.671219057669</v>
      </c>
      <c r="K267" s="154">
        <v>24738.591353991844</v>
      </c>
      <c r="L267" s="154">
        <v>24422.09465891165</v>
      </c>
      <c r="M267" s="154">
        <v>24123.857388547574</v>
      </c>
      <c r="N267" s="154">
        <v>23819.533643278155</v>
      </c>
      <c r="O267" s="154">
        <v>23545.642272535631</v>
      </c>
      <c r="P267" s="154">
        <v>23265.664426887863</v>
      </c>
      <c r="Q267" s="154">
        <v>22961.340681618349</v>
      </c>
      <c r="R267" s="154">
        <v>22663.103411254273</v>
      </c>
      <c r="S267" s="154">
        <v>22395.298515417282</v>
      </c>
      <c r="T267" s="154">
        <v>22097.061245053203</v>
      </c>
      <c r="U267" s="154">
        <v>21802.006109178154</v>
      </c>
      <c r="V267" s="154">
        <v>21802.006109178154</v>
      </c>
      <c r="W267" s="154">
        <v>21802.006109178154</v>
      </c>
      <c r="X267" s="154">
        <v>21802.006109178154</v>
      </c>
      <c r="Y267" s="154">
        <v>21802.006109178154</v>
      </c>
      <c r="Z267" s="154">
        <v>21802.006109178154</v>
      </c>
      <c r="AA267" s="154">
        <v>21802.006109178154</v>
      </c>
      <c r="AB267" s="154">
        <v>21802.006109178154</v>
      </c>
      <c r="AC267" s="154">
        <v>21802.006109178154</v>
      </c>
      <c r="AD267" s="154">
        <v>21802.006109178154</v>
      </c>
      <c r="AE267" s="154">
        <v>21802.006109178154</v>
      </c>
      <c r="AF267" s="154">
        <v>21802.006109178154</v>
      </c>
      <c r="AG267" s="154">
        <v>21802.006109178154</v>
      </c>
      <c r="AH267" s="154">
        <v>21802.006109178154</v>
      </c>
      <c r="AI267" s="154">
        <v>21802.006109178154</v>
      </c>
      <c r="AJ267" s="154">
        <v>21802.006109178154</v>
      </c>
      <c r="AK267" s="154">
        <v>21802.006109178154</v>
      </c>
      <c r="AL267" s="154">
        <v>21802.006109178154</v>
      </c>
      <c r="AM267" s="154">
        <v>21802.006109178154</v>
      </c>
      <c r="AN267" s="154">
        <v>21802.006109178154</v>
      </c>
      <c r="AO267" s="154">
        <v>21802.006109178154</v>
      </c>
    </row>
    <row r="268" spans="1:41" x14ac:dyDescent="0.35">
      <c r="A268" s="136" t="str">
        <f t="shared" si="245"/>
        <v>BASE_PMR1b</v>
      </c>
      <c r="B268" s="139" t="s">
        <v>14</v>
      </c>
      <c r="C268" s="138" t="s">
        <v>95</v>
      </c>
      <c r="D268" s="140" t="s">
        <v>80</v>
      </c>
      <c r="E268" s="154">
        <v>32495.059926702528</v>
      </c>
      <c r="F268" s="154">
        <v>31928.104789265497</v>
      </c>
      <c r="G268" s="154">
        <v>31305.154082699053</v>
      </c>
      <c r="H268" s="154">
        <v>30654.205591567716</v>
      </c>
      <c r="I268" s="154">
        <v>29954.260977447942</v>
      </c>
      <c r="J268" s="154">
        <v>29184.321901916319</v>
      </c>
      <c r="K268" s="154">
        <v>28449.380057090617</v>
      </c>
      <c r="L268" s="154">
        <v>28085.408857748396</v>
      </c>
      <c r="M268" s="154">
        <v>27742.435996829707</v>
      </c>
      <c r="N268" s="154">
        <v>27392.463689769877</v>
      </c>
      <c r="O268" s="154">
        <v>27077.488613415975</v>
      </c>
      <c r="P268" s="154">
        <v>26755.514090921039</v>
      </c>
      <c r="Q268" s="154">
        <v>26405.541783861099</v>
      </c>
      <c r="R268" s="154">
        <v>26062.568922942413</v>
      </c>
      <c r="S268" s="154">
        <v>25754.593292729871</v>
      </c>
      <c r="T268" s="154">
        <v>25411.620431811181</v>
      </c>
      <c r="U268" s="154">
        <v>25072.307025554874</v>
      </c>
      <c r="V268" s="154">
        <v>25072.307025554874</v>
      </c>
      <c r="W268" s="154">
        <v>25072.307025554874</v>
      </c>
      <c r="X268" s="154">
        <v>25072.307025554874</v>
      </c>
      <c r="Y268" s="154">
        <v>25072.307025554874</v>
      </c>
      <c r="Z268" s="154">
        <v>25072.307025554874</v>
      </c>
      <c r="AA268" s="154">
        <v>25072.307025554874</v>
      </c>
      <c r="AB268" s="154">
        <v>25072.307025554874</v>
      </c>
      <c r="AC268" s="154">
        <v>25072.307025554874</v>
      </c>
      <c r="AD268" s="154">
        <v>25072.307025554874</v>
      </c>
      <c r="AE268" s="154">
        <v>25072.307025554874</v>
      </c>
      <c r="AF268" s="154">
        <v>25072.307025554874</v>
      </c>
      <c r="AG268" s="154">
        <v>25072.307025554874</v>
      </c>
      <c r="AH268" s="154">
        <v>25072.307025554874</v>
      </c>
      <c r="AI268" s="154">
        <v>25072.307025554874</v>
      </c>
      <c r="AJ268" s="154">
        <v>25072.307025554874</v>
      </c>
      <c r="AK268" s="154">
        <v>25072.307025554874</v>
      </c>
      <c r="AL268" s="154">
        <v>25072.307025554874</v>
      </c>
      <c r="AM268" s="154">
        <v>25072.307025554874</v>
      </c>
      <c r="AN268" s="154">
        <v>25072.307025554874</v>
      </c>
      <c r="AO268" s="154">
        <v>25072.307025554874</v>
      </c>
    </row>
    <row r="269" spans="1:41" x14ac:dyDescent="0.35">
      <c r="A269" s="136" t="str">
        <f t="shared" si="245"/>
        <v>BASE_PMR1b</v>
      </c>
      <c r="B269" s="137" t="s">
        <v>10</v>
      </c>
      <c r="C269" s="138" t="s">
        <v>95</v>
      </c>
      <c r="D269" s="138" t="s">
        <v>80</v>
      </c>
      <c r="E269" s="154">
        <v>19421.869060763463</v>
      </c>
      <c r="F269" s="154">
        <v>18799.956877616733</v>
      </c>
      <c r="G269" s="154">
        <v>18178.059213255543</v>
      </c>
      <c r="H269" s="154">
        <v>17556.147030108714</v>
      </c>
      <c r="I269" s="154">
        <v>16934.234846961979</v>
      </c>
      <c r="J269" s="154">
        <v>16312.337182600793</v>
      </c>
      <c r="K269" s="154">
        <v>15690.42499945396</v>
      </c>
      <c r="L269" s="154">
        <v>15392.891525210296</v>
      </c>
      <c r="M269" s="154">
        <v>15095.358050966732</v>
      </c>
      <c r="N269" s="154">
        <v>14797.824576723069</v>
      </c>
      <c r="O269" s="154">
        <v>14500.291102479407</v>
      </c>
      <c r="P269" s="154">
        <v>14202.757628235744</v>
      </c>
      <c r="Q269" s="154">
        <v>13977.005030225941</v>
      </c>
      <c r="R269" s="154">
        <v>13751.237913430496</v>
      </c>
      <c r="S269" s="154">
        <v>13525.470796635049</v>
      </c>
      <c r="T269" s="154">
        <v>13299.718198625247</v>
      </c>
      <c r="U269" s="154">
        <v>13073.951081829802</v>
      </c>
      <c r="V269" s="154">
        <v>12937.024414402276</v>
      </c>
      <c r="W269" s="154">
        <v>12800.083228189109</v>
      </c>
      <c r="X269" s="154">
        <v>12663.142041975942</v>
      </c>
      <c r="Y269" s="154">
        <v>12526.215374548417</v>
      </c>
      <c r="Z269" s="154">
        <v>12389.274188335346</v>
      </c>
      <c r="AA269" s="154">
        <v>12280.528483846732</v>
      </c>
      <c r="AB269" s="154">
        <v>12171.768260572475</v>
      </c>
      <c r="AC269" s="154">
        <v>12063.022556083861</v>
      </c>
      <c r="AD269" s="154">
        <v>11954.262332809603</v>
      </c>
      <c r="AE269" s="154">
        <v>11845.516628320991</v>
      </c>
      <c r="AF269" s="154">
        <v>11845.516628320991</v>
      </c>
      <c r="AG269" s="154">
        <v>11845.516628320991</v>
      </c>
      <c r="AH269" s="154">
        <v>11845.516628320991</v>
      </c>
      <c r="AI269" s="154">
        <v>11845.516628320991</v>
      </c>
      <c r="AJ269" s="154">
        <v>11845.516628320991</v>
      </c>
      <c r="AK269" s="154">
        <v>11845.516628320991</v>
      </c>
      <c r="AL269" s="154">
        <v>11845.516628320991</v>
      </c>
      <c r="AM269" s="154">
        <v>11845.516628320991</v>
      </c>
      <c r="AN269" s="154">
        <v>11845.516628320991</v>
      </c>
      <c r="AO269" s="154">
        <v>11845.516628320991</v>
      </c>
    </row>
    <row r="270" spans="1:41" x14ac:dyDescent="0.35">
      <c r="A270" s="136" t="str">
        <f t="shared" si="245"/>
        <v>BASE_PMR1b</v>
      </c>
      <c r="B270" s="139" t="s">
        <v>8</v>
      </c>
      <c r="C270" s="138" t="s">
        <v>95</v>
      </c>
      <c r="D270" s="140" t="s">
        <v>80</v>
      </c>
      <c r="E270" s="154">
        <v>19421.869060763463</v>
      </c>
      <c r="F270" s="154">
        <v>18799.956877616733</v>
      </c>
      <c r="G270" s="154">
        <v>18178.059213255543</v>
      </c>
      <c r="H270" s="154">
        <v>17556.147030108714</v>
      </c>
      <c r="I270" s="154">
        <v>16934.234846961979</v>
      </c>
      <c r="J270" s="154">
        <v>16312.337182600793</v>
      </c>
      <c r="K270" s="154">
        <v>15690.42499945396</v>
      </c>
      <c r="L270" s="154">
        <v>15392.891525210296</v>
      </c>
      <c r="M270" s="154">
        <v>15095.358050966732</v>
      </c>
      <c r="N270" s="154">
        <v>14797.824576723069</v>
      </c>
      <c r="O270" s="154">
        <v>14500.291102479407</v>
      </c>
      <c r="P270" s="154">
        <v>14202.757628235744</v>
      </c>
      <c r="Q270" s="154">
        <v>13977.005030225941</v>
      </c>
      <c r="R270" s="154">
        <v>13751.237913430496</v>
      </c>
      <c r="S270" s="154">
        <v>13525.470796635049</v>
      </c>
      <c r="T270" s="154">
        <v>13299.718198625247</v>
      </c>
      <c r="U270" s="154">
        <v>13073.951081829802</v>
      </c>
      <c r="V270" s="154">
        <v>12937.024414402276</v>
      </c>
      <c r="W270" s="154">
        <v>12800.083228189109</v>
      </c>
      <c r="X270" s="154">
        <v>12663.142041975942</v>
      </c>
      <c r="Y270" s="154">
        <v>12526.215374548417</v>
      </c>
      <c r="Z270" s="154">
        <v>12389.274188335346</v>
      </c>
      <c r="AA270" s="154">
        <v>12280.528483846732</v>
      </c>
      <c r="AB270" s="154">
        <v>12171.768260572475</v>
      </c>
      <c r="AC270" s="154">
        <v>12063.022556083861</v>
      </c>
      <c r="AD270" s="154">
        <v>11954.262332809603</v>
      </c>
      <c r="AE270" s="154">
        <v>11845.516628320991</v>
      </c>
      <c r="AF270" s="154">
        <v>11845.516628320991</v>
      </c>
      <c r="AG270" s="154">
        <v>11845.516628320991</v>
      </c>
      <c r="AH270" s="154">
        <v>11845.516628320991</v>
      </c>
      <c r="AI270" s="154">
        <v>11845.516628320991</v>
      </c>
      <c r="AJ270" s="154">
        <v>11845.516628320991</v>
      </c>
      <c r="AK270" s="154">
        <v>11845.516628320991</v>
      </c>
      <c r="AL270" s="154">
        <v>11845.516628320991</v>
      </c>
      <c r="AM270" s="154">
        <v>11845.516628320991</v>
      </c>
      <c r="AN270" s="154">
        <v>11845.516628320991</v>
      </c>
      <c r="AO270" s="154">
        <v>11845.516628320991</v>
      </c>
    </row>
    <row r="271" spans="1:41" x14ac:dyDescent="0.35">
      <c r="A271" s="136" t="str">
        <f t="shared" si="245"/>
        <v>BASE_PMR1b</v>
      </c>
      <c r="B271" s="137" t="s">
        <v>11</v>
      </c>
      <c r="C271" s="138" t="s">
        <v>95</v>
      </c>
      <c r="D271" s="138" t="s">
        <v>80</v>
      </c>
      <c r="E271" s="154">
        <v>19421.869060763463</v>
      </c>
      <c r="F271" s="154">
        <v>18799.956877616733</v>
      </c>
      <c r="G271" s="154">
        <v>18178.059213255543</v>
      </c>
      <c r="H271" s="154">
        <v>17556.147030108714</v>
      </c>
      <c r="I271" s="154">
        <v>16934.234846961979</v>
      </c>
      <c r="J271" s="154">
        <v>16312.337182600793</v>
      </c>
      <c r="K271" s="154">
        <v>15690.42499945396</v>
      </c>
      <c r="L271" s="154">
        <v>15392.891525210296</v>
      </c>
      <c r="M271" s="154">
        <v>15095.358050966732</v>
      </c>
      <c r="N271" s="154">
        <v>14797.824576723069</v>
      </c>
      <c r="O271" s="154">
        <v>14500.291102479407</v>
      </c>
      <c r="P271" s="154">
        <v>14202.757628235744</v>
      </c>
      <c r="Q271" s="154">
        <v>13977.005030225941</v>
      </c>
      <c r="R271" s="154">
        <v>13751.237913430496</v>
      </c>
      <c r="S271" s="154">
        <v>13525.470796635049</v>
      </c>
      <c r="T271" s="154">
        <v>13299.718198625247</v>
      </c>
      <c r="U271" s="154">
        <v>13073.951081829802</v>
      </c>
      <c r="V271" s="154">
        <v>12937.024414402276</v>
      </c>
      <c r="W271" s="154">
        <v>12800.083228189109</v>
      </c>
      <c r="X271" s="154">
        <v>12663.142041975942</v>
      </c>
      <c r="Y271" s="154">
        <v>12526.215374548417</v>
      </c>
      <c r="Z271" s="154">
        <v>12389.274188335346</v>
      </c>
      <c r="AA271" s="154">
        <v>12280.528483846732</v>
      </c>
      <c r="AB271" s="154">
        <v>12171.768260572475</v>
      </c>
      <c r="AC271" s="154">
        <v>12063.022556083861</v>
      </c>
      <c r="AD271" s="154">
        <v>11954.262332809603</v>
      </c>
      <c r="AE271" s="154">
        <v>11845.516628320991</v>
      </c>
      <c r="AF271" s="154">
        <v>11845.516628320991</v>
      </c>
      <c r="AG271" s="154">
        <v>11845.516628320991</v>
      </c>
      <c r="AH271" s="154">
        <v>11845.516628320991</v>
      </c>
      <c r="AI271" s="154">
        <v>11845.516628320991</v>
      </c>
      <c r="AJ271" s="154">
        <v>11845.516628320991</v>
      </c>
      <c r="AK271" s="154">
        <v>11845.516628320991</v>
      </c>
      <c r="AL271" s="154">
        <v>11845.516628320991</v>
      </c>
      <c r="AM271" s="154">
        <v>11845.516628320991</v>
      </c>
      <c r="AN271" s="154">
        <v>11845.516628320991</v>
      </c>
      <c r="AO271" s="154">
        <v>11845.516628320991</v>
      </c>
    </row>
    <row r="272" spans="1:41" x14ac:dyDescent="0.35">
      <c r="A272" s="141" t="s">
        <v>121</v>
      </c>
      <c r="B272" s="144" t="s">
        <v>30</v>
      </c>
      <c r="C272" s="143" t="s">
        <v>95</v>
      </c>
      <c r="D272" s="145" t="s">
        <v>80</v>
      </c>
      <c r="F272" s="120">
        <v>8702.7272727272721</v>
      </c>
      <c r="G272" s="120">
        <v>7554.9572022842267</v>
      </c>
      <c r="H272" s="120">
        <v>6689.863636363636</v>
      </c>
      <c r="I272" s="120">
        <v>6080.6484235819544</v>
      </c>
      <c r="J272" s="120">
        <v>5595.9263562855904</v>
      </c>
      <c r="K272" s="120">
        <v>5282.1954545454537</v>
      </c>
      <c r="L272" s="120">
        <v>5079.9818335331365</v>
      </c>
      <c r="M272" s="120">
        <v>4898.2966511870909</v>
      </c>
      <c r="N272" s="120">
        <v>4736.365491728182</v>
      </c>
      <c r="O272" s="120">
        <v>4593.4139393772266</v>
      </c>
      <c r="P272" s="120">
        <v>4468.6675783552173</v>
      </c>
      <c r="Q272" s="120">
        <v>4361.3519928829401</v>
      </c>
      <c r="R272" s="120">
        <v>4270.6927671813091</v>
      </c>
      <c r="S272" s="120">
        <v>4195.9154854712042</v>
      </c>
      <c r="T272" s="120">
        <v>4136.2457319734995</v>
      </c>
      <c r="U272" s="120">
        <v>4090.9090909090905</v>
      </c>
      <c r="V272" s="120">
        <v>4053.367684467486</v>
      </c>
      <c r="W272" s="120">
        <v>4017.8955103593999</v>
      </c>
      <c r="X272" s="120">
        <v>3984.9359660874634</v>
      </c>
      <c r="Y272" s="120">
        <v>3954.9324491543225</v>
      </c>
      <c r="Z272" s="120">
        <v>3928.3283570626222</v>
      </c>
      <c r="AA272" s="120">
        <v>3905.5670873150043</v>
      </c>
      <c r="AB272" s="120">
        <v>3887.0920374141037</v>
      </c>
      <c r="AC272" s="120">
        <v>3873.3466048625769</v>
      </c>
      <c r="AD272" s="120">
        <v>3864.7741871630501</v>
      </c>
      <c r="AE272" s="120">
        <v>3861.8181818181815</v>
      </c>
      <c r="AF272" s="120">
        <f>AE272</f>
        <v>3861.8181818181815</v>
      </c>
      <c r="AG272" s="120">
        <f t="shared" ref="AG272:AO272" si="246">AF272</f>
        <v>3861.8181818181815</v>
      </c>
      <c r="AH272" s="120">
        <f t="shared" si="246"/>
        <v>3861.8181818181815</v>
      </c>
      <c r="AI272" s="120">
        <f t="shared" si="246"/>
        <v>3861.8181818181815</v>
      </c>
      <c r="AJ272" s="120">
        <f t="shared" si="246"/>
        <v>3861.8181818181815</v>
      </c>
      <c r="AK272" s="120">
        <f t="shared" si="246"/>
        <v>3861.8181818181815</v>
      </c>
      <c r="AL272" s="120">
        <f t="shared" si="246"/>
        <v>3861.8181818181815</v>
      </c>
      <c r="AM272" s="120">
        <f t="shared" si="246"/>
        <v>3861.8181818181815</v>
      </c>
      <c r="AN272" s="120">
        <f t="shared" si="246"/>
        <v>3861.8181818181815</v>
      </c>
      <c r="AO272" s="120">
        <f t="shared" si="246"/>
        <v>3861.8181818181815</v>
      </c>
    </row>
    <row r="273" spans="1:41" x14ac:dyDescent="0.35">
      <c r="A273" s="141" t="s">
        <v>121</v>
      </c>
      <c r="B273" s="142" t="s">
        <v>32</v>
      </c>
      <c r="C273" s="143" t="s">
        <v>95</v>
      </c>
      <c r="D273" s="143" t="s">
        <v>80</v>
      </c>
      <c r="F273" s="118">
        <v>19146</v>
      </c>
      <c r="G273" s="118">
        <v>16620.9058450253</v>
      </c>
      <c r="H273" s="118">
        <v>14717.7</v>
      </c>
      <c r="I273" s="118">
        <v>13377.426531880301</v>
      </c>
      <c r="J273" s="118">
        <v>12311.037983828301</v>
      </c>
      <c r="K273" s="118">
        <v>11620.83</v>
      </c>
      <c r="L273" s="118">
        <v>11175.960033772901</v>
      </c>
      <c r="M273" s="118">
        <v>10776.2526326116</v>
      </c>
      <c r="N273" s="118">
        <v>10420.004081802001</v>
      </c>
      <c r="O273" s="118">
        <v>10105.5106666299</v>
      </c>
      <c r="P273" s="118">
        <v>9831.0686723814797</v>
      </c>
      <c r="Q273" s="118">
        <v>9594.9743843424694</v>
      </c>
      <c r="R273" s="118">
        <v>9395.5240877988799</v>
      </c>
      <c r="S273" s="118">
        <v>9231.0140680366494</v>
      </c>
      <c r="T273" s="118">
        <v>9099.7406103416997</v>
      </c>
      <c r="U273" s="118">
        <v>9000</v>
      </c>
      <c r="V273" s="118">
        <v>8917.4089058284699</v>
      </c>
      <c r="W273" s="118">
        <v>8839.3701227906804</v>
      </c>
      <c r="X273" s="118">
        <v>8766.8591253924205</v>
      </c>
      <c r="Y273" s="118">
        <v>8700.8513881395102</v>
      </c>
      <c r="Z273" s="118">
        <v>8642.3223855377692</v>
      </c>
      <c r="AA273" s="118">
        <v>8592.2475920930101</v>
      </c>
      <c r="AB273" s="118">
        <v>8551.6024823110292</v>
      </c>
      <c r="AC273" s="118">
        <v>8521.3625306976701</v>
      </c>
      <c r="AD273" s="118">
        <v>8502.5032117587107</v>
      </c>
      <c r="AE273" s="118">
        <v>8496</v>
      </c>
      <c r="AF273" s="118">
        <f>AE273</f>
        <v>8496</v>
      </c>
      <c r="AG273" s="118">
        <f t="shared" ref="AG273:AO273" si="247">AF273</f>
        <v>8496</v>
      </c>
      <c r="AH273" s="118">
        <f t="shared" si="247"/>
        <v>8496</v>
      </c>
      <c r="AI273" s="118">
        <f t="shared" si="247"/>
        <v>8496</v>
      </c>
      <c r="AJ273" s="118">
        <f t="shared" si="247"/>
        <v>8496</v>
      </c>
      <c r="AK273" s="118">
        <f t="shared" si="247"/>
        <v>8496</v>
      </c>
      <c r="AL273" s="118">
        <f t="shared" si="247"/>
        <v>8496</v>
      </c>
      <c r="AM273" s="118">
        <f t="shared" si="247"/>
        <v>8496</v>
      </c>
      <c r="AN273" s="118">
        <f t="shared" si="247"/>
        <v>8496</v>
      </c>
      <c r="AO273" s="118">
        <f t="shared" si="247"/>
        <v>8496</v>
      </c>
    </row>
    <row r="274" spans="1:41" x14ac:dyDescent="0.35">
      <c r="A274" s="141" t="s">
        <v>121</v>
      </c>
      <c r="B274" s="144" t="s">
        <v>33</v>
      </c>
      <c r="C274" s="143" t="s">
        <v>95</v>
      </c>
      <c r="D274" s="145" t="s">
        <v>80</v>
      </c>
      <c r="F274" s="120">
        <v>34462.800000000003</v>
      </c>
      <c r="G274" s="120">
        <v>29917.630521045539</v>
      </c>
      <c r="H274" s="120">
        <v>26491.86</v>
      </c>
      <c r="I274" s="120">
        <v>24079.367757384542</v>
      </c>
      <c r="J274" s="120">
        <v>22159.868370890941</v>
      </c>
      <c r="K274" s="120">
        <v>20917.493999999999</v>
      </c>
      <c r="L274" s="120">
        <v>20116.728060791222</v>
      </c>
      <c r="M274" s="120">
        <v>19397.254738700882</v>
      </c>
      <c r="N274" s="120">
        <v>18756.007347243602</v>
      </c>
      <c r="O274" s="120">
        <v>18189.919199933822</v>
      </c>
      <c r="P274" s="120">
        <v>17695.923610286663</v>
      </c>
      <c r="Q274" s="120">
        <v>17270.953891816447</v>
      </c>
      <c r="R274" s="120">
        <v>16911.943358037985</v>
      </c>
      <c r="S274" s="120">
        <v>16615.825322465971</v>
      </c>
      <c r="T274" s="120">
        <v>16379.53309861506</v>
      </c>
      <c r="U274" s="120">
        <v>16200</v>
      </c>
      <c r="V274" s="120">
        <v>16051.336030491246</v>
      </c>
      <c r="W274" s="120">
        <v>15910.866221023225</v>
      </c>
      <c r="X274" s="120">
        <v>15780.346425706357</v>
      </c>
      <c r="Y274" s="120">
        <v>15661.532498651119</v>
      </c>
      <c r="Z274" s="120">
        <v>15556.180293967986</v>
      </c>
      <c r="AA274" s="120">
        <v>15466.045665767419</v>
      </c>
      <c r="AB274" s="120">
        <v>15392.884468159853</v>
      </c>
      <c r="AC274" s="120">
        <v>15338.452555255806</v>
      </c>
      <c r="AD274" s="120">
        <v>15304.505781165679</v>
      </c>
      <c r="AE274" s="120">
        <v>15292.800000000001</v>
      </c>
      <c r="AF274" s="120">
        <f>AE274</f>
        <v>15292.800000000001</v>
      </c>
      <c r="AG274" s="120">
        <f t="shared" ref="AG274:AO274" si="248">AF274</f>
        <v>15292.800000000001</v>
      </c>
      <c r="AH274" s="120">
        <f t="shared" si="248"/>
        <v>15292.800000000001</v>
      </c>
      <c r="AI274" s="120">
        <f t="shared" si="248"/>
        <v>15292.800000000001</v>
      </c>
      <c r="AJ274" s="120">
        <f t="shared" si="248"/>
        <v>15292.800000000001</v>
      </c>
      <c r="AK274" s="120">
        <f t="shared" si="248"/>
        <v>15292.800000000001</v>
      </c>
      <c r="AL274" s="120">
        <f t="shared" si="248"/>
        <v>15292.800000000001</v>
      </c>
      <c r="AM274" s="120">
        <f t="shared" si="248"/>
        <v>15292.800000000001</v>
      </c>
      <c r="AN274" s="120">
        <f t="shared" si="248"/>
        <v>15292.800000000001</v>
      </c>
      <c r="AO274" s="120">
        <f t="shared" si="248"/>
        <v>15292.800000000001</v>
      </c>
    </row>
    <row r="275" spans="1:41" x14ac:dyDescent="0.35">
      <c r="A275" s="141" t="s">
        <v>121</v>
      </c>
      <c r="B275" s="142" t="s">
        <v>17</v>
      </c>
      <c r="C275" s="143" t="s">
        <v>95</v>
      </c>
      <c r="D275" s="143" t="s">
        <v>80</v>
      </c>
      <c r="E275" s="118">
        <v>12072.154624203364</v>
      </c>
      <c r="F275" s="118">
        <v>12072.154624203364</v>
      </c>
      <c r="G275" s="118">
        <v>12072.154624203364</v>
      </c>
      <c r="H275" s="118">
        <v>12072.154624203364</v>
      </c>
      <c r="I275" s="118">
        <v>12072.154624203364</v>
      </c>
      <c r="J275" s="118">
        <v>12072.154624203364</v>
      </c>
      <c r="K275" s="118">
        <v>12072.154624203364</v>
      </c>
      <c r="L275" s="118">
        <v>12072.154624203364</v>
      </c>
      <c r="M275" s="118">
        <v>12072.154624203364</v>
      </c>
      <c r="N275" s="118">
        <v>12072.154624203364</v>
      </c>
      <c r="O275" s="118">
        <v>12072.154624203364</v>
      </c>
      <c r="P275" s="118">
        <v>12072.154624203364</v>
      </c>
      <c r="Q275" s="118">
        <v>12072.154624203364</v>
      </c>
      <c r="R275" s="118">
        <v>12072.154624203364</v>
      </c>
      <c r="S275" s="118">
        <v>12072.154624203364</v>
      </c>
      <c r="T275" s="118">
        <v>12072.154624203364</v>
      </c>
      <c r="U275" s="118">
        <v>12072.154624203364</v>
      </c>
      <c r="V275" s="118">
        <v>12072.154624203364</v>
      </c>
      <c r="W275" s="118">
        <v>12072.154624203364</v>
      </c>
      <c r="X275" s="118">
        <v>12072.154624203364</v>
      </c>
      <c r="Y275" s="118">
        <v>12072.154624203364</v>
      </c>
      <c r="Z275" s="118">
        <v>12072.154624203364</v>
      </c>
      <c r="AA275" s="118">
        <v>12072.154624203364</v>
      </c>
      <c r="AB275" s="118">
        <v>12072.154624203364</v>
      </c>
      <c r="AC275" s="118">
        <v>12072.154624203364</v>
      </c>
      <c r="AD275" s="118">
        <v>12072.154624203364</v>
      </c>
      <c r="AE275" s="118">
        <v>12072.154624203364</v>
      </c>
      <c r="AF275" s="118">
        <v>12072.154624203364</v>
      </c>
      <c r="AG275" s="118">
        <v>12072.154624203364</v>
      </c>
      <c r="AH275" s="118">
        <v>12072.154624203364</v>
      </c>
      <c r="AI275" s="118">
        <v>12072.154624203364</v>
      </c>
      <c r="AJ275" s="118">
        <v>12072.154624203364</v>
      </c>
      <c r="AK275" s="118">
        <v>12072.154624203364</v>
      </c>
      <c r="AL275" s="118">
        <v>12072.154624203364</v>
      </c>
      <c r="AM275" s="118">
        <v>12072.154624203364</v>
      </c>
      <c r="AN275" s="118">
        <v>12072.154624203364</v>
      </c>
      <c r="AO275" s="118">
        <v>12072.154624203364</v>
      </c>
    </row>
    <row r="276" spans="1:41" x14ac:dyDescent="0.35">
      <c r="A276" s="141" t="s">
        <v>121</v>
      </c>
      <c r="B276" s="142" t="s">
        <v>15</v>
      </c>
      <c r="C276" s="143" t="s">
        <v>95</v>
      </c>
      <c r="D276" s="143" t="s">
        <v>80</v>
      </c>
      <c r="E276" s="118">
        <v>14581.31389749162</v>
      </c>
      <c r="F276" s="118">
        <v>14581.31389749162</v>
      </c>
      <c r="G276" s="118">
        <v>14581.31389749162</v>
      </c>
      <c r="H276" s="118">
        <v>14581.31389749162</v>
      </c>
      <c r="I276" s="118">
        <v>14581.31389749162</v>
      </c>
      <c r="J276" s="118">
        <v>14581.31389749162</v>
      </c>
      <c r="K276" s="118">
        <v>14581.31389749162</v>
      </c>
      <c r="L276" s="118">
        <v>14581.31389749162</v>
      </c>
      <c r="M276" s="118">
        <v>14581.31389749162</v>
      </c>
      <c r="N276" s="118">
        <v>14581.31389749162</v>
      </c>
      <c r="O276" s="118">
        <v>14581.31389749162</v>
      </c>
      <c r="P276" s="118">
        <v>14581.31389749162</v>
      </c>
      <c r="Q276" s="118">
        <v>14581.31389749162</v>
      </c>
      <c r="R276" s="118">
        <v>14581.31389749162</v>
      </c>
      <c r="S276" s="118">
        <v>14581.31389749162</v>
      </c>
      <c r="T276" s="118">
        <v>14581.31389749162</v>
      </c>
      <c r="U276" s="118">
        <v>14581.31389749162</v>
      </c>
      <c r="V276" s="118">
        <v>14581.31389749162</v>
      </c>
      <c r="W276" s="118">
        <v>14581.31389749162</v>
      </c>
      <c r="X276" s="118">
        <v>14581.31389749162</v>
      </c>
      <c r="Y276" s="118">
        <v>14581.31389749162</v>
      </c>
      <c r="Z276" s="118">
        <v>14581.31389749162</v>
      </c>
      <c r="AA276" s="118">
        <v>14581.31389749162</v>
      </c>
      <c r="AB276" s="118">
        <v>14581.31389749162</v>
      </c>
      <c r="AC276" s="118">
        <v>14581.31389749162</v>
      </c>
      <c r="AD276" s="118">
        <v>14581.31389749162</v>
      </c>
      <c r="AE276" s="118">
        <v>14581.31389749162</v>
      </c>
      <c r="AF276" s="118">
        <v>14581.31389749162</v>
      </c>
      <c r="AG276" s="118">
        <v>14581.31389749162</v>
      </c>
      <c r="AH276" s="118">
        <v>14581.31389749162</v>
      </c>
      <c r="AI276" s="118">
        <v>14581.31389749162</v>
      </c>
      <c r="AJ276" s="118">
        <v>14581.31389749162</v>
      </c>
      <c r="AK276" s="118">
        <v>14581.31389749162</v>
      </c>
      <c r="AL276" s="118">
        <v>14581.31389749162</v>
      </c>
      <c r="AM276" s="118">
        <v>14581.31389749162</v>
      </c>
      <c r="AN276" s="118">
        <v>14581.31389749162</v>
      </c>
      <c r="AO276" s="118">
        <v>14581.31389749162</v>
      </c>
    </row>
    <row r="277" spans="1:41" x14ac:dyDescent="0.35">
      <c r="A277" s="141" t="s">
        <v>121</v>
      </c>
      <c r="B277" s="144" t="s">
        <v>18</v>
      </c>
      <c r="C277" s="143" t="s">
        <v>95</v>
      </c>
      <c r="D277" s="145" t="s">
        <v>80</v>
      </c>
      <c r="E277" s="83">
        <v>12072.154624203364</v>
      </c>
      <c r="F277" s="155">
        <v>12072.154624203364</v>
      </c>
      <c r="G277" s="155">
        <v>12072.154624203364</v>
      </c>
      <c r="H277" s="155">
        <v>12072.154624203364</v>
      </c>
      <c r="I277" s="155">
        <v>12072.154624203364</v>
      </c>
      <c r="J277" s="155">
        <v>12072.154624203364</v>
      </c>
      <c r="K277" s="155">
        <v>12072.154624203364</v>
      </c>
      <c r="L277" s="155">
        <v>12072.154624203364</v>
      </c>
      <c r="M277" s="155">
        <v>12072.154624203364</v>
      </c>
      <c r="N277" s="155">
        <v>12072.154624203364</v>
      </c>
      <c r="O277" s="155">
        <v>12072.154624203364</v>
      </c>
      <c r="P277" s="155">
        <v>12072.154624203364</v>
      </c>
      <c r="Q277" s="155">
        <v>12072.154624203364</v>
      </c>
      <c r="R277" s="155">
        <v>12072.154624203364</v>
      </c>
      <c r="S277" s="155">
        <v>12072.154624203364</v>
      </c>
      <c r="T277" s="155">
        <v>12072.154624203364</v>
      </c>
      <c r="U277" s="155">
        <v>12072.154624203364</v>
      </c>
      <c r="V277" s="155">
        <v>12072.154624203364</v>
      </c>
      <c r="W277" s="155">
        <v>12072.154624203364</v>
      </c>
      <c r="X277" s="155">
        <v>12072.154624203364</v>
      </c>
      <c r="Y277" s="155">
        <v>12072.154624203364</v>
      </c>
      <c r="Z277" s="155">
        <v>12072.154624203364</v>
      </c>
      <c r="AA277" s="155">
        <v>12072.154624203364</v>
      </c>
      <c r="AB277" s="155">
        <v>12072.154624203364</v>
      </c>
      <c r="AC277" s="155">
        <v>12072.154624203364</v>
      </c>
      <c r="AD277" s="155">
        <v>12072.154624203364</v>
      </c>
      <c r="AE277" s="155">
        <v>12072.154624203364</v>
      </c>
      <c r="AF277" s="155">
        <v>12072.154624203364</v>
      </c>
      <c r="AG277" s="155">
        <v>12072.154624203364</v>
      </c>
      <c r="AH277" s="155">
        <v>12072.154624203364</v>
      </c>
      <c r="AI277" s="155">
        <v>12072.154624203364</v>
      </c>
      <c r="AJ277" s="155">
        <v>12072.154624203364</v>
      </c>
      <c r="AK277" s="155">
        <v>12072.154624203364</v>
      </c>
      <c r="AL277" s="155">
        <v>12072.154624203364</v>
      </c>
      <c r="AM277" s="155">
        <v>12072.154624203364</v>
      </c>
      <c r="AN277" s="155">
        <v>12072.154624203364</v>
      </c>
      <c r="AO277" s="155">
        <v>12072.154624203364</v>
      </c>
    </row>
    <row r="278" spans="1:41" x14ac:dyDescent="0.35">
      <c r="A278" s="141" t="s">
        <v>121</v>
      </c>
      <c r="B278" s="142" t="s">
        <v>19</v>
      </c>
      <c r="C278" s="143" t="s">
        <v>95</v>
      </c>
      <c r="D278" s="143" t="s">
        <v>80</v>
      </c>
      <c r="E278" s="83">
        <v>12072.154624203364</v>
      </c>
      <c r="F278" s="155">
        <v>12072.154624203364</v>
      </c>
      <c r="G278" s="155">
        <v>12072.154624203364</v>
      </c>
      <c r="H278" s="155">
        <v>12072.154624203364</v>
      </c>
      <c r="I278" s="155">
        <v>12072.154624203364</v>
      </c>
      <c r="J278" s="155">
        <v>12072.154624203364</v>
      </c>
      <c r="K278" s="155">
        <v>12072.154624203364</v>
      </c>
      <c r="L278" s="155">
        <v>12072.154624203364</v>
      </c>
      <c r="M278" s="155">
        <v>12072.154624203364</v>
      </c>
      <c r="N278" s="155">
        <v>12072.154624203364</v>
      </c>
      <c r="O278" s="155">
        <v>12072.154624203364</v>
      </c>
      <c r="P278" s="155">
        <v>12072.154624203364</v>
      </c>
      <c r="Q278" s="155">
        <v>12072.154624203364</v>
      </c>
      <c r="R278" s="155">
        <v>12072.154624203364</v>
      </c>
      <c r="S278" s="155">
        <v>12072.154624203364</v>
      </c>
      <c r="T278" s="155">
        <v>12072.154624203364</v>
      </c>
      <c r="U278" s="155">
        <v>12072.154624203364</v>
      </c>
      <c r="V278" s="155">
        <v>12072.154624203364</v>
      </c>
      <c r="W278" s="155">
        <v>12072.154624203364</v>
      </c>
      <c r="X278" s="155">
        <v>12072.154624203364</v>
      </c>
      <c r="Y278" s="155">
        <v>12072.154624203364</v>
      </c>
      <c r="Z278" s="155">
        <v>12072.154624203364</v>
      </c>
      <c r="AA278" s="155">
        <v>12072.154624203364</v>
      </c>
      <c r="AB278" s="155">
        <v>12072.154624203364</v>
      </c>
      <c r="AC278" s="155">
        <v>12072.154624203364</v>
      </c>
      <c r="AD278" s="155">
        <v>12072.154624203364</v>
      </c>
      <c r="AE278" s="155">
        <v>12072.154624203364</v>
      </c>
      <c r="AF278" s="155">
        <v>12072.154624203364</v>
      </c>
      <c r="AG278" s="155">
        <v>12072.154624203364</v>
      </c>
      <c r="AH278" s="155">
        <v>12072.154624203364</v>
      </c>
      <c r="AI278" s="155">
        <v>12072.154624203364</v>
      </c>
      <c r="AJ278" s="155">
        <v>12072.154624203364</v>
      </c>
      <c r="AK278" s="155">
        <v>12072.154624203364</v>
      </c>
      <c r="AL278" s="155">
        <v>12072.154624203364</v>
      </c>
      <c r="AM278" s="155">
        <v>12072.154624203364</v>
      </c>
      <c r="AN278" s="155">
        <v>12072.154624203364</v>
      </c>
      <c r="AO278" s="155">
        <v>12072.154624203364</v>
      </c>
    </row>
    <row r="279" spans="1:41" x14ac:dyDescent="0.35">
      <c r="A279" s="141" t="s">
        <v>121</v>
      </c>
      <c r="B279" s="144" t="s">
        <v>20</v>
      </c>
      <c r="C279" s="143" t="s">
        <v>95</v>
      </c>
      <c r="D279" s="145" t="s">
        <v>80</v>
      </c>
      <c r="E279" s="83">
        <v>12072.154624203364</v>
      </c>
      <c r="F279" s="155">
        <v>12072.154624203364</v>
      </c>
      <c r="G279" s="155">
        <v>12072.154624203364</v>
      </c>
      <c r="H279" s="155">
        <v>12072.154624203364</v>
      </c>
      <c r="I279" s="155">
        <v>12072.154624203364</v>
      </c>
      <c r="J279" s="155">
        <v>12072.154624203364</v>
      </c>
      <c r="K279" s="155">
        <v>12072.154624203364</v>
      </c>
      <c r="L279" s="155">
        <v>12072.154624203364</v>
      </c>
      <c r="M279" s="155">
        <v>12072.154624203364</v>
      </c>
      <c r="N279" s="155">
        <v>12072.154624203364</v>
      </c>
      <c r="O279" s="155">
        <v>12072.154624203364</v>
      </c>
      <c r="P279" s="155">
        <v>12072.154624203364</v>
      </c>
      <c r="Q279" s="155">
        <v>12072.154624203364</v>
      </c>
      <c r="R279" s="155">
        <v>12072.154624203364</v>
      </c>
      <c r="S279" s="155">
        <v>12072.154624203364</v>
      </c>
      <c r="T279" s="155">
        <v>12072.154624203364</v>
      </c>
      <c r="U279" s="155">
        <v>12072.154624203364</v>
      </c>
      <c r="V279" s="155">
        <v>12072.154624203364</v>
      </c>
      <c r="W279" s="155">
        <v>12072.154624203364</v>
      </c>
      <c r="X279" s="155">
        <v>12072.154624203364</v>
      </c>
      <c r="Y279" s="155">
        <v>12072.154624203364</v>
      </c>
      <c r="Z279" s="155">
        <v>12072.154624203364</v>
      </c>
      <c r="AA279" s="155">
        <v>12072.154624203364</v>
      </c>
      <c r="AB279" s="155">
        <v>12072.154624203364</v>
      </c>
      <c r="AC279" s="155">
        <v>12072.154624203364</v>
      </c>
      <c r="AD279" s="155">
        <v>12072.154624203364</v>
      </c>
      <c r="AE279" s="155">
        <v>12072.154624203364</v>
      </c>
      <c r="AF279" s="155">
        <v>12072.154624203364</v>
      </c>
      <c r="AG279" s="155">
        <v>12072.154624203364</v>
      </c>
      <c r="AH279" s="155">
        <v>12072.154624203364</v>
      </c>
      <c r="AI279" s="155">
        <v>12072.154624203364</v>
      </c>
      <c r="AJ279" s="155">
        <v>12072.154624203364</v>
      </c>
      <c r="AK279" s="155">
        <v>12072.154624203364</v>
      </c>
      <c r="AL279" s="155">
        <v>12072.154624203364</v>
      </c>
      <c r="AM279" s="155">
        <v>12072.154624203364</v>
      </c>
      <c r="AN279" s="155">
        <v>12072.154624203364</v>
      </c>
      <c r="AO279" s="155">
        <v>12072.154624203364</v>
      </c>
    </row>
    <row r="280" spans="1:41" x14ac:dyDescent="0.35">
      <c r="A280" s="141" t="s">
        <v>121</v>
      </c>
      <c r="B280" s="142" t="s">
        <v>21</v>
      </c>
      <c r="C280" s="143" t="s">
        <v>95</v>
      </c>
      <c r="D280" s="143" t="s">
        <v>80</v>
      </c>
      <c r="E280" s="83">
        <v>12072.154624203364</v>
      </c>
      <c r="F280" s="155">
        <v>12072.154624203364</v>
      </c>
      <c r="G280" s="155">
        <v>12072.154624203364</v>
      </c>
      <c r="H280" s="155">
        <v>12072.154624203364</v>
      </c>
      <c r="I280" s="155">
        <v>12072.154624203364</v>
      </c>
      <c r="J280" s="155">
        <v>12072.154624203364</v>
      </c>
      <c r="K280" s="155">
        <v>12072.154624203364</v>
      </c>
      <c r="L280" s="155">
        <v>12072.154624203364</v>
      </c>
      <c r="M280" s="155">
        <v>12072.154624203364</v>
      </c>
      <c r="N280" s="155">
        <v>12072.154624203364</v>
      </c>
      <c r="O280" s="155">
        <v>12072.154624203364</v>
      </c>
      <c r="P280" s="155">
        <v>12072.154624203364</v>
      </c>
      <c r="Q280" s="155">
        <v>12072.154624203364</v>
      </c>
      <c r="R280" s="155">
        <v>12072.154624203364</v>
      </c>
      <c r="S280" s="155">
        <v>12072.154624203364</v>
      </c>
      <c r="T280" s="155">
        <v>12072.154624203364</v>
      </c>
      <c r="U280" s="155">
        <v>12072.154624203364</v>
      </c>
      <c r="V280" s="155">
        <v>12072.154624203364</v>
      </c>
      <c r="W280" s="155">
        <v>12072.154624203364</v>
      </c>
      <c r="X280" s="155">
        <v>12072.154624203364</v>
      </c>
      <c r="Y280" s="155">
        <v>12072.154624203364</v>
      </c>
      <c r="Z280" s="155">
        <v>12072.154624203364</v>
      </c>
      <c r="AA280" s="155">
        <v>12072.154624203364</v>
      </c>
      <c r="AB280" s="155">
        <v>12072.154624203364</v>
      </c>
      <c r="AC280" s="155">
        <v>12072.154624203364</v>
      </c>
      <c r="AD280" s="155">
        <v>12072.154624203364</v>
      </c>
      <c r="AE280" s="155">
        <v>12072.154624203364</v>
      </c>
      <c r="AF280" s="155">
        <v>12072.154624203364</v>
      </c>
      <c r="AG280" s="155">
        <v>12072.154624203364</v>
      </c>
      <c r="AH280" s="155">
        <v>12072.154624203364</v>
      </c>
      <c r="AI280" s="155">
        <v>12072.154624203364</v>
      </c>
      <c r="AJ280" s="155">
        <v>12072.154624203364</v>
      </c>
      <c r="AK280" s="155">
        <v>12072.154624203364</v>
      </c>
      <c r="AL280" s="155">
        <v>12072.154624203364</v>
      </c>
      <c r="AM280" s="155">
        <v>12072.154624203364</v>
      </c>
      <c r="AN280" s="155">
        <v>12072.154624203364</v>
      </c>
      <c r="AO280" s="155">
        <v>12072.154624203364</v>
      </c>
    </row>
    <row r="281" spans="1:41" x14ac:dyDescent="0.35">
      <c r="A281" s="141" t="s">
        <v>121</v>
      </c>
      <c r="B281" s="144" t="s">
        <v>22</v>
      </c>
      <c r="C281" s="143" t="s">
        <v>95</v>
      </c>
      <c r="D281" s="145" t="s">
        <v>80</v>
      </c>
      <c r="E281" s="83">
        <v>12072.154624203364</v>
      </c>
      <c r="F281" s="155">
        <v>12072.154624203364</v>
      </c>
      <c r="G281" s="155">
        <v>12072.154624203364</v>
      </c>
      <c r="H281" s="155">
        <v>12072.154624203364</v>
      </c>
      <c r="I281" s="155">
        <v>12072.154624203364</v>
      </c>
      <c r="J281" s="155">
        <v>12072.154624203364</v>
      </c>
      <c r="K281" s="155">
        <v>12072.154624203364</v>
      </c>
      <c r="L281" s="155">
        <v>12072.154624203364</v>
      </c>
      <c r="M281" s="155">
        <v>12072.154624203364</v>
      </c>
      <c r="N281" s="155">
        <v>12072.154624203364</v>
      </c>
      <c r="O281" s="155">
        <v>12072.154624203364</v>
      </c>
      <c r="P281" s="155">
        <v>12072.154624203364</v>
      </c>
      <c r="Q281" s="155">
        <v>12072.154624203364</v>
      </c>
      <c r="R281" s="155">
        <v>12072.154624203364</v>
      </c>
      <c r="S281" s="155">
        <v>12072.154624203364</v>
      </c>
      <c r="T281" s="155">
        <v>12072.154624203364</v>
      </c>
      <c r="U281" s="155">
        <v>12072.154624203364</v>
      </c>
      <c r="V281" s="155">
        <v>12072.154624203364</v>
      </c>
      <c r="W281" s="155">
        <v>12072.154624203364</v>
      </c>
      <c r="X281" s="155">
        <v>12072.154624203364</v>
      </c>
      <c r="Y281" s="155">
        <v>12072.154624203364</v>
      </c>
      <c r="Z281" s="155">
        <v>12072.154624203364</v>
      </c>
      <c r="AA281" s="155">
        <v>12072.154624203364</v>
      </c>
      <c r="AB281" s="155">
        <v>12072.154624203364</v>
      </c>
      <c r="AC281" s="155">
        <v>12072.154624203364</v>
      </c>
      <c r="AD281" s="155">
        <v>12072.154624203364</v>
      </c>
      <c r="AE281" s="155">
        <v>12072.154624203364</v>
      </c>
      <c r="AF281" s="155">
        <v>12072.154624203364</v>
      </c>
      <c r="AG281" s="155">
        <v>12072.154624203364</v>
      </c>
      <c r="AH281" s="155">
        <v>12072.154624203364</v>
      </c>
      <c r="AI281" s="155">
        <v>12072.154624203364</v>
      </c>
      <c r="AJ281" s="155">
        <v>12072.154624203364</v>
      </c>
      <c r="AK281" s="155">
        <v>12072.154624203364</v>
      </c>
      <c r="AL281" s="155">
        <v>12072.154624203364</v>
      </c>
      <c r="AM281" s="155">
        <v>12072.154624203364</v>
      </c>
      <c r="AN281" s="155">
        <v>12072.154624203364</v>
      </c>
      <c r="AO281" s="155">
        <v>12072.154624203364</v>
      </c>
    </row>
    <row r="282" spans="1:41" x14ac:dyDescent="0.35">
      <c r="A282" s="141" t="s">
        <v>121</v>
      </c>
      <c r="B282" s="144" t="s">
        <v>117</v>
      </c>
      <c r="C282" s="143" t="s">
        <v>95</v>
      </c>
      <c r="D282" s="145" t="s">
        <v>80</v>
      </c>
      <c r="E282" s="83">
        <v>12072.154624203364</v>
      </c>
      <c r="F282" s="155">
        <v>12072.154624203364</v>
      </c>
      <c r="G282" s="155">
        <v>12072.154624203364</v>
      </c>
      <c r="H282" s="155">
        <v>12072.154624203364</v>
      </c>
      <c r="I282" s="155">
        <v>12072.154624203364</v>
      </c>
      <c r="J282" s="155">
        <v>12072.154624203364</v>
      </c>
      <c r="K282" s="155">
        <v>12072.154624203364</v>
      </c>
      <c r="L282" s="155">
        <v>12072.154624203364</v>
      </c>
      <c r="M282" s="155">
        <v>12072.154624203364</v>
      </c>
      <c r="N282" s="155">
        <v>12072.154624203364</v>
      </c>
      <c r="O282" s="155">
        <v>12072.154624203364</v>
      </c>
      <c r="P282" s="155">
        <v>12072.154624203364</v>
      </c>
      <c r="Q282" s="155">
        <v>12072.154624203364</v>
      </c>
      <c r="R282" s="155">
        <v>12072.154624203364</v>
      </c>
      <c r="S282" s="155">
        <v>12072.154624203364</v>
      </c>
      <c r="T282" s="155">
        <v>12072.154624203364</v>
      </c>
      <c r="U282" s="155">
        <v>12072.154624203364</v>
      </c>
      <c r="V282" s="155">
        <v>12072.154624203364</v>
      </c>
      <c r="W282" s="155">
        <v>12072.154624203364</v>
      </c>
      <c r="X282" s="155">
        <v>12072.154624203364</v>
      </c>
      <c r="Y282" s="155">
        <v>12072.154624203364</v>
      </c>
      <c r="Z282" s="155">
        <v>12072.154624203364</v>
      </c>
      <c r="AA282" s="155">
        <v>12072.154624203364</v>
      </c>
      <c r="AB282" s="155">
        <v>12072.154624203364</v>
      </c>
      <c r="AC282" s="155">
        <v>12072.154624203364</v>
      </c>
      <c r="AD282" s="155">
        <v>12072.154624203364</v>
      </c>
      <c r="AE282" s="155">
        <v>12072.154624203364</v>
      </c>
      <c r="AF282" s="155">
        <v>12072.154624203364</v>
      </c>
      <c r="AG282" s="155">
        <v>12072.154624203364</v>
      </c>
      <c r="AH282" s="155">
        <v>12072.154624203364</v>
      </c>
      <c r="AI282" s="155">
        <v>12072.154624203364</v>
      </c>
      <c r="AJ282" s="155">
        <v>12072.154624203364</v>
      </c>
      <c r="AK282" s="155">
        <v>12072.154624203364</v>
      </c>
      <c r="AL282" s="155">
        <v>12072.154624203364</v>
      </c>
      <c r="AM282" s="155">
        <v>12072.154624203364</v>
      </c>
      <c r="AN282" s="155">
        <v>12072.154624203364</v>
      </c>
      <c r="AO282" s="155">
        <v>12072.154624203364</v>
      </c>
    </row>
    <row r="283" spans="1:41" x14ac:dyDescent="0.35">
      <c r="A283" s="141" t="s">
        <v>121</v>
      </c>
      <c r="B283" s="142" t="s">
        <v>23</v>
      </c>
      <c r="C283" s="143" t="s">
        <v>95</v>
      </c>
      <c r="D283" s="143" t="s">
        <v>80</v>
      </c>
      <c r="E283" s="83">
        <v>12072.154624203364</v>
      </c>
      <c r="F283" s="155">
        <v>12072.154624203364</v>
      </c>
      <c r="G283" s="155">
        <v>12072.154624203364</v>
      </c>
      <c r="H283" s="155">
        <v>12072.154624203364</v>
      </c>
      <c r="I283" s="155">
        <v>12072.154624203364</v>
      </c>
      <c r="J283" s="155">
        <v>12072.154624203364</v>
      </c>
      <c r="K283" s="155">
        <v>12072.154624203364</v>
      </c>
      <c r="L283" s="155">
        <v>12072.154624203364</v>
      </c>
      <c r="M283" s="155">
        <v>12072.154624203364</v>
      </c>
      <c r="N283" s="155">
        <v>12072.154624203364</v>
      </c>
      <c r="O283" s="155">
        <v>12072.154624203364</v>
      </c>
      <c r="P283" s="155">
        <v>12072.154624203364</v>
      </c>
      <c r="Q283" s="155">
        <v>12072.154624203364</v>
      </c>
      <c r="R283" s="155">
        <v>12072.154624203364</v>
      </c>
      <c r="S283" s="155">
        <v>12072.154624203364</v>
      </c>
      <c r="T283" s="155">
        <v>12072.154624203364</v>
      </c>
      <c r="U283" s="155">
        <v>12072.154624203364</v>
      </c>
      <c r="V283" s="155">
        <v>12072.154624203364</v>
      </c>
      <c r="W283" s="155">
        <v>12072.154624203364</v>
      </c>
      <c r="X283" s="155">
        <v>12072.154624203364</v>
      </c>
      <c r="Y283" s="155">
        <v>12072.154624203364</v>
      </c>
      <c r="Z283" s="155">
        <v>12072.154624203364</v>
      </c>
      <c r="AA283" s="155">
        <v>12072.154624203364</v>
      </c>
      <c r="AB283" s="155">
        <v>12072.154624203364</v>
      </c>
      <c r="AC283" s="155">
        <v>12072.154624203364</v>
      </c>
      <c r="AD283" s="155">
        <v>12072.154624203364</v>
      </c>
      <c r="AE283" s="155">
        <v>12072.154624203364</v>
      </c>
      <c r="AF283" s="155">
        <v>12072.154624203364</v>
      </c>
      <c r="AG283" s="155">
        <v>12072.154624203364</v>
      </c>
      <c r="AH283" s="155">
        <v>12072.154624203364</v>
      </c>
      <c r="AI283" s="155">
        <v>12072.154624203364</v>
      </c>
      <c r="AJ283" s="155">
        <v>12072.154624203364</v>
      </c>
      <c r="AK283" s="155">
        <v>12072.154624203364</v>
      </c>
      <c r="AL283" s="155">
        <v>12072.154624203364</v>
      </c>
      <c r="AM283" s="155">
        <v>12072.154624203364</v>
      </c>
      <c r="AN283" s="155">
        <v>12072.154624203364</v>
      </c>
      <c r="AO283" s="155">
        <v>12072.154624203364</v>
      </c>
    </row>
    <row r="284" spans="1:41" x14ac:dyDescent="0.35">
      <c r="A284" s="141" t="s">
        <v>121</v>
      </c>
      <c r="B284" s="142" t="s">
        <v>13</v>
      </c>
      <c r="C284" s="143" t="s">
        <v>95</v>
      </c>
      <c r="D284" s="143" t="s">
        <v>80</v>
      </c>
      <c r="E284" s="84">
        <v>25527.16494204932</v>
      </c>
      <c r="F284" s="156">
        <v>25081.781633302038</v>
      </c>
      <c r="G284" s="156">
        <v>24592.409849616797</v>
      </c>
      <c r="H284" s="156">
        <v>24081.043828462523</v>
      </c>
      <c r="I284" s="156">
        <v>23531.187891737474</v>
      </c>
      <c r="J284" s="156">
        <v>22926.346361339998</v>
      </c>
      <c r="K284" s="156">
        <v>22348.997627778739</v>
      </c>
      <c r="L284" s="156">
        <v>22063.072540681649</v>
      </c>
      <c r="M284" s="156">
        <v>21793.643131686407</v>
      </c>
      <c r="N284" s="156">
        <v>21518.715163323883</v>
      </c>
      <c r="O284" s="156">
        <v>21271.27999179767</v>
      </c>
      <c r="P284" s="156">
        <v>21018.346260904174</v>
      </c>
      <c r="Q284" s="156">
        <v>20743.41829254165</v>
      </c>
      <c r="R284" s="156">
        <v>20473.988883546408</v>
      </c>
      <c r="S284" s="156">
        <v>20232.05227138738</v>
      </c>
      <c r="T284" s="156">
        <v>19962.622862392134</v>
      </c>
      <c r="U284" s="156">
        <v>19696.068213528932</v>
      </c>
      <c r="V284" s="156">
        <v>19696.068213528932</v>
      </c>
      <c r="W284" s="156">
        <v>19696.068213528932</v>
      </c>
      <c r="X284" s="156">
        <v>19696.068213528932</v>
      </c>
      <c r="Y284" s="156">
        <v>19696.068213528932</v>
      </c>
      <c r="Z284" s="156">
        <v>19696.068213528932</v>
      </c>
      <c r="AA284" s="156">
        <v>19696.068213528932</v>
      </c>
      <c r="AB284" s="156">
        <v>19696.068213528932</v>
      </c>
      <c r="AC284" s="156">
        <v>19696.068213528932</v>
      </c>
      <c r="AD284" s="156">
        <v>19696.068213528932</v>
      </c>
      <c r="AE284" s="156">
        <v>19696.068213528932</v>
      </c>
      <c r="AF284" s="156">
        <v>19696.068213528932</v>
      </c>
      <c r="AG284" s="156">
        <v>19696.068213528932</v>
      </c>
      <c r="AH284" s="156">
        <v>19696.068213528932</v>
      </c>
      <c r="AI284" s="156">
        <v>19696.068213528932</v>
      </c>
      <c r="AJ284" s="156">
        <v>19696.068213528932</v>
      </c>
      <c r="AK284" s="156">
        <v>19696.068213528932</v>
      </c>
      <c r="AL284" s="156">
        <v>19696.068213528932</v>
      </c>
      <c r="AM284" s="156">
        <v>19696.068213528932</v>
      </c>
      <c r="AN284" s="156">
        <v>19696.068213528932</v>
      </c>
      <c r="AO284" s="156">
        <v>19696.068213528932</v>
      </c>
    </row>
    <row r="285" spans="1:41" x14ac:dyDescent="0.35">
      <c r="A285" s="141" t="s">
        <v>121</v>
      </c>
      <c r="B285" s="144" t="s">
        <v>14</v>
      </c>
      <c r="C285" s="143" t="s">
        <v>95</v>
      </c>
      <c r="D285" s="145" t="s">
        <v>80</v>
      </c>
      <c r="E285" s="83">
        <v>29356.239683356696</v>
      </c>
      <c r="F285" s="156">
        <v>28844.048878297377</v>
      </c>
      <c r="G285" s="156">
        <v>28281.271327059319</v>
      </c>
      <c r="H285" s="156">
        <v>27693.200402731843</v>
      </c>
      <c r="I285" s="156">
        <v>27060.866075498059</v>
      </c>
      <c r="J285" s="156">
        <v>26365.298315540971</v>
      </c>
      <c r="K285" s="156">
        <v>25701.347271945535</v>
      </c>
      <c r="L285" s="156">
        <v>25372.533421783981</v>
      </c>
      <c r="M285" s="156">
        <v>25062.689601439415</v>
      </c>
      <c r="N285" s="156">
        <v>24746.522437822521</v>
      </c>
      <c r="O285" s="156">
        <v>24461.971990567279</v>
      </c>
      <c r="P285" s="156">
        <v>24171.098200039803</v>
      </c>
      <c r="Q285" s="156">
        <v>23854.931036422913</v>
      </c>
      <c r="R285" s="156">
        <v>23545.087216078347</v>
      </c>
      <c r="S285" s="156">
        <v>23266.860112095532</v>
      </c>
      <c r="T285" s="156">
        <v>22957.01629175097</v>
      </c>
      <c r="U285" s="156">
        <v>22650.478445558252</v>
      </c>
      <c r="V285" s="156">
        <v>22650.478445558252</v>
      </c>
      <c r="W285" s="156">
        <v>22650.478445558252</v>
      </c>
      <c r="X285" s="156">
        <v>22650.478445558252</v>
      </c>
      <c r="Y285" s="156">
        <v>22650.478445558252</v>
      </c>
      <c r="Z285" s="156">
        <v>22650.478445558252</v>
      </c>
      <c r="AA285" s="156">
        <v>22650.478445558252</v>
      </c>
      <c r="AB285" s="156">
        <v>22650.478445558252</v>
      </c>
      <c r="AC285" s="156">
        <v>22650.478445558252</v>
      </c>
      <c r="AD285" s="156">
        <v>22650.478445558252</v>
      </c>
      <c r="AE285" s="156">
        <v>22650.478445558252</v>
      </c>
      <c r="AF285" s="156">
        <v>22650.478445558252</v>
      </c>
      <c r="AG285" s="156">
        <v>22650.478445558252</v>
      </c>
      <c r="AH285" s="156">
        <v>22650.478445558252</v>
      </c>
      <c r="AI285" s="156">
        <v>22650.478445558252</v>
      </c>
      <c r="AJ285" s="156">
        <v>22650.478445558252</v>
      </c>
      <c r="AK285" s="156">
        <v>22650.478445558252</v>
      </c>
      <c r="AL285" s="156">
        <v>22650.478445558252</v>
      </c>
      <c r="AM285" s="156">
        <v>22650.478445558252</v>
      </c>
      <c r="AN285" s="156">
        <v>22650.478445558252</v>
      </c>
      <c r="AO285" s="156">
        <v>22650.478445558252</v>
      </c>
    </row>
    <row r="286" spans="1:41" x14ac:dyDescent="0.35">
      <c r="A286" s="141" t="s">
        <v>121</v>
      </c>
      <c r="B286" s="144" t="s">
        <v>10</v>
      </c>
      <c r="C286" s="143" t="s">
        <v>95</v>
      </c>
      <c r="D286" s="145" t="s">
        <v>80</v>
      </c>
      <c r="E286" s="83">
        <v>16993.033105870003</v>
      </c>
      <c r="F286" s="156">
        <v>16403.724052025744</v>
      </c>
      <c r="G286" s="156">
        <v>15891.28139650891</v>
      </c>
      <c r="H286" s="156">
        <v>15349.556303534058</v>
      </c>
      <c r="I286" s="156">
        <v>14767.567859054356</v>
      </c>
      <c r="J286" s="156">
        <v>14167.277891163269</v>
      </c>
      <c r="K286" s="156">
        <v>13588.949751365742</v>
      </c>
      <c r="L286" s="156">
        <v>13263.182634644356</v>
      </c>
      <c r="M286" s="156">
        <v>12963.037650698812</v>
      </c>
      <c r="N286" s="156">
        <v>12655.572057388812</v>
      </c>
      <c r="O286" s="156">
        <v>12370.068292172278</v>
      </c>
      <c r="P286" s="156">
        <v>12062.602698862278</v>
      </c>
      <c r="Q286" s="156">
        <v>11784.419543010297</v>
      </c>
      <c r="R286" s="156">
        <v>11509.896691840595</v>
      </c>
      <c r="S286" s="156">
        <v>11235.373840670891</v>
      </c>
      <c r="T286" s="156">
        <v>10935.228856725345</v>
      </c>
      <c r="U286" s="156">
        <v>10644.362067558219</v>
      </c>
      <c r="V286" s="156">
        <v>10644.362067558219</v>
      </c>
      <c r="W286" s="156">
        <v>10644.362067558219</v>
      </c>
      <c r="X286" s="156">
        <v>10644.362067558219</v>
      </c>
      <c r="Y286" s="156">
        <v>10644.362067558219</v>
      </c>
      <c r="Z286" s="156">
        <v>10644.362067558219</v>
      </c>
      <c r="AA286" s="156">
        <v>10644.362067558219</v>
      </c>
      <c r="AB286" s="156">
        <v>10644.362067558219</v>
      </c>
      <c r="AC286" s="156">
        <v>10644.362067558219</v>
      </c>
      <c r="AD286" s="156">
        <v>10644.362067558219</v>
      </c>
      <c r="AE286" s="156">
        <v>10644.362067558219</v>
      </c>
      <c r="AF286" s="156">
        <v>10644.362067558219</v>
      </c>
      <c r="AG286" s="156">
        <v>10644.362067558219</v>
      </c>
      <c r="AH286" s="156">
        <v>10644.362067558219</v>
      </c>
      <c r="AI286" s="156">
        <v>10644.362067558219</v>
      </c>
      <c r="AJ286" s="156">
        <v>10644.362067558219</v>
      </c>
      <c r="AK286" s="156">
        <v>10644.362067558219</v>
      </c>
      <c r="AL286" s="156">
        <v>10644.362067558219</v>
      </c>
      <c r="AM286" s="156">
        <v>10644.362067558219</v>
      </c>
      <c r="AN286" s="156">
        <v>10644.362067558219</v>
      </c>
      <c r="AO286" s="156">
        <v>10644.362067558219</v>
      </c>
    </row>
    <row r="287" spans="1:41" x14ac:dyDescent="0.35">
      <c r="A287" s="141" t="s">
        <v>121</v>
      </c>
      <c r="B287" s="142" t="s">
        <v>8</v>
      </c>
      <c r="C287" s="143" t="s">
        <v>95</v>
      </c>
      <c r="D287" s="143" t="s">
        <v>80</v>
      </c>
      <c r="E287" s="84">
        <v>16993.033105870003</v>
      </c>
      <c r="F287" s="156">
        <v>16403.724052025744</v>
      </c>
      <c r="G287" s="156">
        <v>15891.28139650891</v>
      </c>
      <c r="H287" s="156">
        <v>15349.556303534058</v>
      </c>
      <c r="I287" s="156">
        <v>14767.567859054356</v>
      </c>
      <c r="J287" s="156">
        <v>14167.277891163269</v>
      </c>
      <c r="K287" s="156">
        <v>13588.949751365742</v>
      </c>
      <c r="L287" s="156">
        <v>13263.182634644356</v>
      </c>
      <c r="M287" s="156">
        <v>12963.037650698812</v>
      </c>
      <c r="N287" s="156">
        <v>12655.572057388812</v>
      </c>
      <c r="O287" s="156">
        <v>12370.068292172278</v>
      </c>
      <c r="P287" s="156">
        <v>12062.602698862278</v>
      </c>
      <c r="Q287" s="156">
        <v>11784.419543010297</v>
      </c>
      <c r="R287" s="156">
        <v>11509.896691840595</v>
      </c>
      <c r="S287" s="156">
        <v>11235.373840670891</v>
      </c>
      <c r="T287" s="156">
        <v>10935.228856725345</v>
      </c>
      <c r="U287" s="156">
        <v>10644.362067558219</v>
      </c>
      <c r="V287" s="156">
        <v>10644.362067558219</v>
      </c>
      <c r="W287" s="156">
        <v>10644.362067558219</v>
      </c>
      <c r="X287" s="156">
        <v>10644.362067558219</v>
      </c>
      <c r="Y287" s="156">
        <v>10644.362067558219</v>
      </c>
      <c r="Z287" s="156">
        <v>10644.362067558219</v>
      </c>
      <c r="AA287" s="156">
        <v>10644.362067558219</v>
      </c>
      <c r="AB287" s="156">
        <v>10644.362067558219</v>
      </c>
      <c r="AC287" s="156">
        <v>10644.362067558219</v>
      </c>
      <c r="AD287" s="156">
        <v>10644.362067558219</v>
      </c>
      <c r="AE287" s="156">
        <v>10644.362067558219</v>
      </c>
      <c r="AF287" s="156">
        <v>10644.362067558219</v>
      </c>
      <c r="AG287" s="156">
        <v>10644.362067558219</v>
      </c>
      <c r="AH287" s="156">
        <v>10644.362067558219</v>
      </c>
      <c r="AI287" s="156">
        <v>10644.362067558219</v>
      </c>
      <c r="AJ287" s="156">
        <v>10644.362067558219</v>
      </c>
      <c r="AK287" s="156">
        <v>10644.362067558219</v>
      </c>
      <c r="AL287" s="156">
        <v>10644.362067558219</v>
      </c>
      <c r="AM287" s="156">
        <v>10644.362067558219</v>
      </c>
      <c r="AN287" s="156">
        <v>10644.362067558219</v>
      </c>
      <c r="AO287" s="156">
        <v>10644.362067558219</v>
      </c>
    </row>
    <row r="288" spans="1:41" x14ac:dyDescent="0.35">
      <c r="A288" s="141" t="s">
        <v>121</v>
      </c>
      <c r="B288" s="144" t="s">
        <v>11</v>
      </c>
      <c r="C288" s="143" t="s">
        <v>95</v>
      </c>
      <c r="D288" s="145" t="s">
        <v>80</v>
      </c>
      <c r="E288" s="83">
        <v>16993.033105870003</v>
      </c>
      <c r="F288" s="156">
        <v>16403.724052025744</v>
      </c>
      <c r="G288" s="156">
        <v>15891.28139650891</v>
      </c>
      <c r="H288" s="156">
        <v>15349.556303534058</v>
      </c>
      <c r="I288" s="156">
        <v>14767.567859054356</v>
      </c>
      <c r="J288" s="156">
        <v>14167.277891163269</v>
      </c>
      <c r="K288" s="156">
        <v>13588.949751365742</v>
      </c>
      <c r="L288" s="156">
        <v>13263.182634644356</v>
      </c>
      <c r="M288" s="156">
        <v>12963.037650698812</v>
      </c>
      <c r="N288" s="156">
        <v>12655.572057388812</v>
      </c>
      <c r="O288" s="156">
        <v>12370.068292172278</v>
      </c>
      <c r="P288" s="156">
        <v>12062.602698862278</v>
      </c>
      <c r="Q288" s="156">
        <v>11784.419543010297</v>
      </c>
      <c r="R288" s="156">
        <v>11509.896691840595</v>
      </c>
      <c r="S288" s="156">
        <v>11235.373840670891</v>
      </c>
      <c r="T288" s="156">
        <v>10935.228856725345</v>
      </c>
      <c r="U288" s="156">
        <v>10644.362067558219</v>
      </c>
      <c r="V288" s="156">
        <v>10644.362067558219</v>
      </c>
      <c r="W288" s="156">
        <v>10644.362067558219</v>
      </c>
      <c r="X288" s="156">
        <v>10644.362067558219</v>
      </c>
      <c r="Y288" s="156">
        <v>10644.362067558219</v>
      </c>
      <c r="Z288" s="156">
        <v>10644.362067558219</v>
      </c>
      <c r="AA288" s="156">
        <v>10644.362067558219</v>
      </c>
      <c r="AB288" s="156">
        <v>10644.362067558219</v>
      </c>
      <c r="AC288" s="156">
        <v>10644.362067558219</v>
      </c>
      <c r="AD288" s="156">
        <v>10644.362067558219</v>
      </c>
      <c r="AE288" s="156">
        <v>10644.362067558219</v>
      </c>
      <c r="AF288" s="156">
        <v>10644.362067558219</v>
      </c>
      <c r="AG288" s="156">
        <v>10644.362067558219</v>
      </c>
      <c r="AH288" s="156">
        <v>10644.362067558219</v>
      </c>
      <c r="AI288" s="156">
        <v>10644.362067558219</v>
      </c>
      <c r="AJ288" s="156">
        <v>10644.362067558219</v>
      </c>
      <c r="AK288" s="156">
        <v>10644.362067558219</v>
      </c>
      <c r="AL288" s="156">
        <v>10644.362067558219</v>
      </c>
      <c r="AM288" s="156">
        <v>10644.362067558219</v>
      </c>
      <c r="AN288" s="156">
        <v>10644.362067558219</v>
      </c>
      <c r="AO288" s="156">
        <v>10644.362067558219</v>
      </c>
    </row>
    <row r="289" spans="1:41" x14ac:dyDescent="0.35">
      <c r="A289" s="131" t="s">
        <v>122</v>
      </c>
      <c r="B289" s="134" t="s">
        <v>30</v>
      </c>
      <c r="C289" s="133" t="s">
        <v>36</v>
      </c>
      <c r="D289" s="135" t="s">
        <v>81</v>
      </c>
      <c r="E289" s="81">
        <f>E290</f>
        <v>293.625</v>
      </c>
      <c r="F289" s="120">
        <f t="shared" ref="F289:AO289" si="249">F290</f>
        <v>293.625</v>
      </c>
      <c r="G289" s="120">
        <f t="shared" si="249"/>
        <v>252.31346183081249</v>
      </c>
      <c r="H289" s="120">
        <f t="shared" si="249"/>
        <v>224.85374999999999</v>
      </c>
      <c r="I289" s="120">
        <f t="shared" si="249"/>
        <v>210.35881119065374</v>
      </c>
      <c r="J289" s="120">
        <f t="shared" si="249"/>
        <v>199.94877059681002</v>
      </c>
      <c r="K289" s="120">
        <f t="shared" si="249"/>
        <v>194.19187499999876</v>
      </c>
      <c r="L289" s="120">
        <f t="shared" si="249"/>
        <v>191.10881742139625</v>
      </c>
      <c r="M289" s="120">
        <f t="shared" si="249"/>
        <v>188.342658394305</v>
      </c>
      <c r="N289" s="120">
        <f t="shared" si="249"/>
        <v>185.89519596846003</v>
      </c>
      <c r="O289" s="120">
        <f t="shared" si="249"/>
        <v>183.76822819359376</v>
      </c>
      <c r="P289" s="120">
        <f t="shared" si="249"/>
        <v>181.96355311943876</v>
      </c>
      <c r="Q289" s="120">
        <f t="shared" si="249"/>
        <v>180.48296879572877</v>
      </c>
      <c r="R289" s="120">
        <f t="shared" si="249"/>
        <v>179.32827327219624</v>
      </c>
      <c r="S289" s="120">
        <f t="shared" si="249"/>
        <v>178.50126459857626</v>
      </c>
      <c r="T289" s="120">
        <f t="shared" si="249"/>
        <v>178.00374082459876</v>
      </c>
      <c r="U289" s="120">
        <f t="shared" si="249"/>
        <v>177.83750000000001</v>
      </c>
      <c r="V289" s="120">
        <f t="shared" si="249"/>
        <v>177.83750000000001</v>
      </c>
      <c r="W289" s="120">
        <f t="shared" si="249"/>
        <v>177.83750000000001</v>
      </c>
      <c r="X289" s="120">
        <f t="shared" si="249"/>
        <v>177.83750000000001</v>
      </c>
      <c r="Y289" s="120">
        <f t="shared" si="249"/>
        <v>177.83750000000001</v>
      </c>
      <c r="Z289" s="120">
        <f t="shared" si="249"/>
        <v>177.83750000000001</v>
      </c>
      <c r="AA289" s="120">
        <f t="shared" si="249"/>
        <v>177.83750000000001</v>
      </c>
      <c r="AB289" s="120">
        <f t="shared" si="249"/>
        <v>177.83750000000001</v>
      </c>
      <c r="AC289" s="120">
        <f t="shared" si="249"/>
        <v>177.83750000000001</v>
      </c>
      <c r="AD289" s="120">
        <f t="shared" si="249"/>
        <v>177.83750000000001</v>
      </c>
      <c r="AE289" s="120">
        <f t="shared" si="249"/>
        <v>177.83750000000001</v>
      </c>
      <c r="AF289" s="120">
        <f t="shared" si="249"/>
        <v>177.83750000000001</v>
      </c>
      <c r="AG289" s="120">
        <f t="shared" si="249"/>
        <v>177.83750000000001</v>
      </c>
      <c r="AH289" s="120">
        <f t="shared" si="249"/>
        <v>177.83750000000001</v>
      </c>
      <c r="AI289" s="120">
        <f t="shared" si="249"/>
        <v>177.83750000000001</v>
      </c>
      <c r="AJ289" s="120">
        <f t="shared" si="249"/>
        <v>177.83750000000001</v>
      </c>
      <c r="AK289" s="120">
        <f t="shared" si="249"/>
        <v>177.83750000000001</v>
      </c>
      <c r="AL289" s="120">
        <f t="shared" si="249"/>
        <v>177.83750000000001</v>
      </c>
      <c r="AM289" s="120">
        <f t="shared" si="249"/>
        <v>177.83750000000001</v>
      </c>
      <c r="AN289" s="120">
        <f t="shared" si="249"/>
        <v>177.83750000000001</v>
      </c>
      <c r="AO289" s="120">
        <f t="shared" si="249"/>
        <v>177.83750000000001</v>
      </c>
    </row>
    <row r="290" spans="1:41" x14ac:dyDescent="0.35">
      <c r="A290" s="131" t="s">
        <v>122</v>
      </c>
      <c r="B290" s="132" t="s">
        <v>32</v>
      </c>
      <c r="C290" s="133" t="str">
        <f>C289</f>
        <v>VOM</v>
      </c>
      <c r="D290" s="135" t="s">
        <v>81</v>
      </c>
      <c r="E290" s="118">
        <f t="shared" ref="E290" si="250">0.2/4000*F239/4*1000</f>
        <v>293.625</v>
      </c>
      <c r="F290" s="118">
        <f>0.2/4000*F239/4*1000</f>
        <v>293.625</v>
      </c>
      <c r="G290" s="118">
        <f t="shared" ref="G290:AO290" si="251">0.2/4000*G239/4*1000</f>
        <v>252.31346183081249</v>
      </c>
      <c r="H290" s="118">
        <f t="shared" si="251"/>
        <v>224.85374999999999</v>
      </c>
      <c r="I290" s="118">
        <f t="shared" si="251"/>
        <v>210.35881119065374</v>
      </c>
      <c r="J290" s="118">
        <f t="shared" si="251"/>
        <v>199.94877059681002</v>
      </c>
      <c r="K290" s="118">
        <f t="shared" si="251"/>
        <v>194.19187499999876</v>
      </c>
      <c r="L290" s="118">
        <f t="shared" si="251"/>
        <v>191.10881742139625</v>
      </c>
      <c r="M290" s="118">
        <f t="shared" si="251"/>
        <v>188.342658394305</v>
      </c>
      <c r="N290" s="118">
        <f t="shared" si="251"/>
        <v>185.89519596846003</v>
      </c>
      <c r="O290" s="118">
        <f t="shared" si="251"/>
        <v>183.76822819359376</v>
      </c>
      <c r="P290" s="118">
        <f t="shared" si="251"/>
        <v>181.96355311943876</v>
      </c>
      <c r="Q290" s="118">
        <f t="shared" si="251"/>
        <v>180.48296879572877</v>
      </c>
      <c r="R290" s="118">
        <f t="shared" si="251"/>
        <v>179.32827327219624</v>
      </c>
      <c r="S290" s="118">
        <f t="shared" si="251"/>
        <v>178.50126459857626</v>
      </c>
      <c r="T290" s="118">
        <f t="shared" si="251"/>
        <v>178.00374082459876</v>
      </c>
      <c r="U290" s="118">
        <f t="shared" si="251"/>
        <v>177.83750000000001</v>
      </c>
      <c r="V290" s="118">
        <f t="shared" si="251"/>
        <v>177.83750000000001</v>
      </c>
      <c r="W290" s="118">
        <f t="shared" si="251"/>
        <v>177.83750000000001</v>
      </c>
      <c r="X290" s="118">
        <f t="shared" si="251"/>
        <v>177.83750000000001</v>
      </c>
      <c r="Y290" s="118">
        <f t="shared" si="251"/>
        <v>177.83750000000001</v>
      </c>
      <c r="Z290" s="118">
        <f t="shared" si="251"/>
        <v>177.83750000000001</v>
      </c>
      <c r="AA290" s="118">
        <f t="shared" si="251"/>
        <v>177.83750000000001</v>
      </c>
      <c r="AB290" s="118">
        <f t="shared" si="251"/>
        <v>177.83750000000001</v>
      </c>
      <c r="AC290" s="118">
        <f t="shared" si="251"/>
        <v>177.83750000000001</v>
      </c>
      <c r="AD290" s="118">
        <f t="shared" si="251"/>
        <v>177.83750000000001</v>
      </c>
      <c r="AE290" s="118">
        <f t="shared" si="251"/>
        <v>177.83750000000001</v>
      </c>
      <c r="AF290" s="118">
        <f t="shared" si="251"/>
        <v>177.83750000000001</v>
      </c>
      <c r="AG290" s="118">
        <f t="shared" si="251"/>
        <v>177.83750000000001</v>
      </c>
      <c r="AH290" s="118">
        <f t="shared" si="251"/>
        <v>177.83750000000001</v>
      </c>
      <c r="AI290" s="118">
        <f t="shared" si="251"/>
        <v>177.83750000000001</v>
      </c>
      <c r="AJ290" s="118">
        <f t="shared" si="251"/>
        <v>177.83750000000001</v>
      </c>
      <c r="AK290" s="118">
        <f t="shared" si="251"/>
        <v>177.83750000000001</v>
      </c>
      <c r="AL290" s="118">
        <f t="shared" si="251"/>
        <v>177.83750000000001</v>
      </c>
      <c r="AM290" s="118">
        <f t="shared" si="251"/>
        <v>177.83750000000001</v>
      </c>
      <c r="AN290" s="118">
        <f t="shared" si="251"/>
        <v>177.83750000000001</v>
      </c>
      <c r="AO290" s="118">
        <f t="shared" si="251"/>
        <v>177.83750000000001</v>
      </c>
    </row>
    <row r="291" spans="1:41" x14ac:dyDescent="0.35">
      <c r="A291" s="131" t="s">
        <v>122</v>
      </c>
      <c r="B291" s="134" t="s">
        <v>33</v>
      </c>
      <c r="C291" s="133" t="s">
        <v>36</v>
      </c>
      <c r="D291" s="135" t="s">
        <v>81</v>
      </c>
      <c r="E291" s="81">
        <f>E290</f>
        <v>293.625</v>
      </c>
      <c r="F291" s="120">
        <f t="shared" ref="F291:AO291" si="252">F290</f>
        <v>293.625</v>
      </c>
      <c r="G291" s="120">
        <f t="shared" si="252"/>
        <v>252.31346183081249</v>
      </c>
      <c r="H291" s="120">
        <f t="shared" si="252"/>
        <v>224.85374999999999</v>
      </c>
      <c r="I291" s="120">
        <f t="shared" si="252"/>
        <v>210.35881119065374</v>
      </c>
      <c r="J291" s="120">
        <f t="shared" si="252"/>
        <v>199.94877059681002</v>
      </c>
      <c r="K291" s="120">
        <f t="shared" si="252"/>
        <v>194.19187499999876</v>
      </c>
      <c r="L291" s="120">
        <f t="shared" si="252"/>
        <v>191.10881742139625</v>
      </c>
      <c r="M291" s="120">
        <f t="shared" si="252"/>
        <v>188.342658394305</v>
      </c>
      <c r="N291" s="120">
        <f t="shared" si="252"/>
        <v>185.89519596846003</v>
      </c>
      <c r="O291" s="120">
        <f t="shared" si="252"/>
        <v>183.76822819359376</v>
      </c>
      <c r="P291" s="120">
        <f t="shared" si="252"/>
        <v>181.96355311943876</v>
      </c>
      <c r="Q291" s="120">
        <f t="shared" si="252"/>
        <v>180.48296879572877</v>
      </c>
      <c r="R291" s="120">
        <f t="shared" si="252"/>
        <v>179.32827327219624</v>
      </c>
      <c r="S291" s="120">
        <f t="shared" si="252"/>
        <v>178.50126459857626</v>
      </c>
      <c r="T291" s="120">
        <f t="shared" si="252"/>
        <v>178.00374082459876</v>
      </c>
      <c r="U291" s="120">
        <f t="shared" si="252"/>
        <v>177.83750000000001</v>
      </c>
      <c r="V291" s="120">
        <f t="shared" si="252"/>
        <v>177.83750000000001</v>
      </c>
      <c r="W291" s="120">
        <f t="shared" si="252"/>
        <v>177.83750000000001</v>
      </c>
      <c r="X291" s="120">
        <f t="shared" si="252"/>
        <v>177.83750000000001</v>
      </c>
      <c r="Y291" s="120">
        <f t="shared" si="252"/>
        <v>177.83750000000001</v>
      </c>
      <c r="Z291" s="120">
        <f t="shared" si="252"/>
        <v>177.83750000000001</v>
      </c>
      <c r="AA291" s="120">
        <f t="shared" si="252"/>
        <v>177.83750000000001</v>
      </c>
      <c r="AB291" s="120">
        <f t="shared" si="252"/>
        <v>177.83750000000001</v>
      </c>
      <c r="AC291" s="120">
        <f t="shared" si="252"/>
        <v>177.83750000000001</v>
      </c>
      <c r="AD291" s="120">
        <f t="shared" si="252"/>
        <v>177.83750000000001</v>
      </c>
      <c r="AE291" s="120">
        <f t="shared" si="252"/>
        <v>177.83750000000001</v>
      </c>
      <c r="AF291" s="120">
        <f t="shared" si="252"/>
        <v>177.83750000000001</v>
      </c>
      <c r="AG291" s="120">
        <f t="shared" si="252"/>
        <v>177.83750000000001</v>
      </c>
      <c r="AH291" s="120">
        <f t="shared" si="252"/>
        <v>177.83750000000001</v>
      </c>
      <c r="AI291" s="120">
        <f t="shared" si="252"/>
        <v>177.83750000000001</v>
      </c>
      <c r="AJ291" s="120">
        <f t="shared" si="252"/>
        <v>177.83750000000001</v>
      </c>
      <c r="AK291" s="120">
        <f t="shared" si="252"/>
        <v>177.83750000000001</v>
      </c>
      <c r="AL291" s="120">
        <f t="shared" si="252"/>
        <v>177.83750000000001</v>
      </c>
      <c r="AM291" s="120">
        <f t="shared" si="252"/>
        <v>177.83750000000001</v>
      </c>
      <c r="AN291" s="120">
        <f t="shared" si="252"/>
        <v>177.83750000000001</v>
      </c>
      <c r="AO291" s="120">
        <f t="shared" si="252"/>
        <v>177.83750000000001</v>
      </c>
    </row>
    <row r="292" spans="1:41" x14ac:dyDescent="0.35">
      <c r="A292" s="136" t="s">
        <v>123</v>
      </c>
      <c r="B292" s="139" t="s">
        <v>30</v>
      </c>
      <c r="C292" s="138" t="s">
        <v>36</v>
      </c>
      <c r="D292" s="140" t="s">
        <v>81</v>
      </c>
      <c r="E292" s="82">
        <f>E293</f>
        <v>266.47500000000002</v>
      </c>
      <c r="F292" s="120">
        <f t="shared" ref="F292:AO292" si="253">F293</f>
        <v>266.47500000000002</v>
      </c>
      <c r="G292" s="120">
        <f t="shared" si="253"/>
        <v>230.0788128133525</v>
      </c>
      <c r="H292" s="120">
        <f t="shared" si="253"/>
        <v>204.41249999999999</v>
      </c>
      <c r="I292" s="120">
        <f t="shared" si="253"/>
        <v>188.77603468373499</v>
      </c>
      <c r="J292" s="120">
        <f t="shared" si="253"/>
        <v>177.01545353641251</v>
      </c>
      <c r="K292" s="120">
        <f t="shared" si="253"/>
        <v>169.76212500000003</v>
      </c>
      <c r="L292" s="120">
        <f t="shared" si="253"/>
        <v>165.20250198346</v>
      </c>
      <c r="M292" s="120">
        <f t="shared" si="253"/>
        <v>161.09733411945626</v>
      </c>
      <c r="N292" s="120">
        <f t="shared" si="253"/>
        <v>157.43943493549875</v>
      </c>
      <c r="O292" s="120">
        <f t="shared" si="253"/>
        <v>154.2216179590975</v>
      </c>
      <c r="P292" s="120">
        <f t="shared" si="253"/>
        <v>151.43669671776499</v>
      </c>
      <c r="Q292" s="120">
        <f t="shared" si="253"/>
        <v>149.07748473901125</v>
      </c>
      <c r="R292" s="120">
        <f t="shared" si="253"/>
        <v>147.1367955503475</v>
      </c>
      <c r="S292" s="120">
        <f t="shared" si="253"/>
        <v>145.60744267928251</v>
      </c>
      <c r="T292" s="120">
        <f t="shared" si="253"/>
        <v>144.48223965333003</v>
      </c>
      <c r="U292" s="120">
        <f t="shared" si="253"/>
        <v>143.75399999999999</v>
      </c>
      <c r="V292" s="120">
        <f t="shared" si="253"/>
        <v>143.23996369914127</v>
      </c>
      <c r="W292" s="120">
        <f t="shared" si="253"/>
        <v>142.76458757395253</v>
      </c>
      <c r="X292" s="120">
        <f t="shared" si="253"/>
        <v>142.33151041696001</v>
      </c>
      <c r="Y292" s="120">
        <f t="shared" si="253"/>
        <v>141.94437102069625</v>
      </c>
      <c r="Z292" s="120">
        <f t="shared" si="253"/>
        <v>141.6068081776875</v>
      </c>
      <c r="AA292" s="120">
        <f t="shared" si="253"/>
        <v>141.32246068046376</v>
      </c>
      <c r="AB292" s="120">
        <f t="shared" si="253"/>
        <v>141.09496732155378</v>
      </c>
      <c r="AC292" s="120">
        <f t="shared" si="253"/>
        <v>140.92796689348751</v>
      </c>
      <c r="AD292" s="120">
        <f t="shared" si="253"/>
        <v>140.82509818879251</v>
      </c>
      <c r="AE292" s="120">
        <f t="shared" si="253"/>
        <v>140.78999999999877</v>
      </c>
      <c r="AF292" s="120">
        <f t="shared" si="253"/>
        <v>140.78999999999877</v>
      </c>
      <c r="AG292" s="120">
        <f t="shared" si="253"/>
        <v>140.78999999999877</v>
      </c>
      <c r="AH292" s="120">
        <f t="shared" si="253"/>
        <v>140.78999999999877</v>
      </c>
      <c r="AI292" s="120">
        <f t="shared" si="253"/>
        <v>140.78999999999877</v>
      </c>
      <c r="AJ292" s="120">
        <f t="shared" si="253"/>
        <v>140.78999999999877</v>
      </c>
      <c r="AK292" s="120">
        <f t="shared" si="253"/>
        <v>140.78999999999877</v>
      </c>
      <c r="AL292" s="120">
        <f t="shared" si="253"/>
        <v>140.78999999999877</v>
      </c>
      <c r="AM292" s="120">
        <f t="shared" si="253"/>
        <v>140.78999999999877</v>
      </c>
      <c r="AN292" s="120">
        <f t="shared" si="253"/>
        <v>140.78999999999877</v>
      </c>
      <c r="AO292" s="120">
        <f t="shared" si="253"/>
        <v>140.78999999999877</v>
      </c>
    </row>
    <row r="293" spans="1:41" x14ac:dyDescent="0.35">
      <c r="A293" s="136" t="s">
        <v>123</v>
      </c>
      <c r="B293" s="137" t="s">
        <v>32</v>
      </c>
      <c r="C293" s="138" t="s">
        <v>36</v>
      </c>
      <c r="D293" s="140" t="s">
        <v>81</v>
      </c>
      <c r="E293" s="118">
        <f t="shared" ref="E293" si="254">0.2/4000*F256/4*1000</f>
        <v>266.47500000000002</v>
      </c>
      <c r="F293" s="118">
        <f>0.2/4000*F256/4*1000</f>
        <v>266.47500000000002</v>
      </c>
      <c r="G293" s="118">
        <f t="shared" ref="G293:AO293" si="255">0.2/4000*G256/4*1000</f>
        <v>230.0788128133525</v>
      </c>
      <c r="H293" s="118">
        <f t="shared" si="255"/>
        <v>204.41249999999999</v>
      </c>
      <c r="I293" s="118">
        <f t="shared" si="255"/>
        <v>188.77603468373499</v>
      </c>
      <c r="J293" s="118">
        <f t="shared" si="255"/>
        <v>177.01545353641251</v>
      </c>
      <c r="K293" s="118">
        <f t="shared" si="255"/>
        <v>169.76212500000003</v>
      </c>
      <c r="L293" s="118">
        <f t="shared" si="255"/>
        <v>165.20250198346</v>
      </c>
      <c r="M293" s="118">
        <f t="shared" si="255"/>
        <v>161.09733411945626</v>
      </c>
      <c r="N293" s="118">
        <f t="shared" si="255"/>
        <v>157.43943493549875</v>
      </c>
      <c r="O293" s="118">
        <f t="shared" si="255"/>
        <v>154.2216179590975</v>
      </c>
      <c r="P293" s="118">
        <f t="shared" si="255"/>
        <v>151.43669671776499</v>
      </c>
      <c r="Q293" s="118">
        <f t="shared" si="255"/>
        <v>149.07748473901125</v>
      </c>
      <c r="R293" s="118">
        <f t="shared" si="255"/>
        <v>147.1367955503475</v>
      </c>
      <c r="S293" s="118">
        <f t="shared" si="255"/>
        <v>145.60744267928251</v>
      </c>
      <c r="T293" s="118">
        <f t="shared" si="255"/>
        <v>144.48223965333003</v>
      </c>
      <c r="U293" s="118">
        <f t="shared" si="255"/>
        <v>143.75399999999999</v>
      </c>
      <c r="V293" s="118">
        <f t="shared" si="255"/>
        <v>143.23996369914127</v>
      </c>
      <c r="W293" s="118">
        <f t="shared" si="255"/>
        <v>142.76458757395253</v>
      </c>
      <c r="X293" s="118">
        <f t="shared" si="255"/>
        <v>142.33151041696001</v>
      </c>
      <c r="Y293" s="118">
        <f t="shared" si="255"/>
        <v>141.94437102069625</v>
      </c>
      <c r="Z293" s="118">
        <f t="shared" si="255"/>
        <v>141.6068081776875</v>
      </c>
      <c r="AA293" s="118">
        <f t="shared" si="255"/>
        <v>141.32246068046376</v>
      </c>
      <c r="AB293" s="118">
        <f t="shared" si="255"/>
        <v>141.09496732155378</v>
      </c>
      <c r="AC293" s="118">
        <f t="shared" si="255"/>
        <v>140.92796689348751</v>
      </c>
      <c r="AD293" s="118">
        <f t="shared" si="255"/>
        <v>140.82509818879251</v>
      </c>
      <c r="AE293" s="118">
        <f t="shared" si="255"/>
        <v>140.78999999999877</v>
      </c>
      <c r="AF293" s="118">
        <f t="shared" si="255"/>
        <v>140.78999999999877</v>
      </c>
      <c r="AG293" s="118">
        <f t="shared" si="255"/>
        <v>140.78999999999877</v>
      </c>
      <c r="AH293" s="118">
        <f t="shared" si="255"/>
        <v>140.78999999999877</v>
      </c>
      <c r="AI293" s="118">
        <f t="shared" si="255"/>
        <v>140.78999999999877</v>
      </c>
      <c r="AJ293" s="118">
        <f t="shared" si="255"/>
        <v>140.78999999999877</v>
      </c>
      <c r="AK293" s="118">
        <f t="shared" si="255"/>
        <v>140.78999999999877</v>
      </c>
      <c r="AL293" s="118">
        <f t="shared" si="255"/>
        <v>140.78999999999877</v>
      </c>
      <c r="AM293" s="118">
        <f t="shared" si="255"/>
        <v>140.78999999999877</v>
      </c>
      <c r="AN293" s="118">
        <f t="shared" si="255"/>
        <v>140.78999999999877</v>
      </c>
      <c r="AO293" s="118">
        <f t="shared" si="255"/>
        <v>140.78999999999877</v>
      </c>
    </row>
    <row r="294" spans="1:41" x14ac:dyDescent="0.35">
      <c r="A294" s="136" t="s">
        <v>123</v>
      </c>
      <c r="B294" s="139" t="s">
        <v>33</v>
      </c>
      <c r="C294" s="138" t="s">
        <v>36</v>
      </c>
      <c r="D294" s="140" t="s">
        <v>81</v>
      </c>
      <c r="E294" s="82">
        <f>E293</f>
        <v>266.47500000000002</v>
      </c>
      <c r="F294" s="120">
        <f t="shared" ref="F294:AO294" si="256">F293</f>
        <v>266.47500000000002</v>
      </c>
      <c r="G294" s="120">
        <f t="shared" si="256"/>
        <v>230.0788128133525</v>
      </c>
      <c r="H294" s="120">
        <f t="shared" si="256"/>
        <v>204.41249999999999</v>
      </c>
      <c r="I294" s="120">
        <f t="shared" si="256"/>
        <v>188.77603468373499</v>
      </c>
      <c r="J294" s="120">
        <f t="shared" si="256"/>
        <v>177.01545353641251</v>
      </c>
      <c r="K294" s="120">
        <f t="shared" si="256"/>
        <v>169.76212500000003</v>
      </c>
      <c r="L294" s="120">
        <f t="shared" si="256"/>
        <v>165.20250198346</v>
      </c>
      <c r="M294" s="120">
        <f t="shared" si="256"/>
        <v>161.09733411945626</v>
      </c>
      <c r="N294" s="120">
        <f t="shared" si="256"/>
        <v>157.43943493549875</v>
      </c>
      <c r="O294" s="120">
        <f t="shared" si="256"/>
        <v>154.2216179590975</v>
      </c>
      <c r="P294" s="120">
        <f t="shared" si="256"/>
        <v>151.43669671776499</v>
      </c>
      <c r="Q294" s="120">
        <f t="shared" si="256"/>
        <v>149.07748473901125</v>
      </c>
      <c r="R294" s="120">
        <f t="shared" si="256"/>
        <v>147.1367955503475</v>
      </c>
      <c r="S294" s="120">
        <f t="shared" si="256"/>
        <v>145.60744267928251</v>
      </c>
      <c r="T294" s="120">
        <f t="shared" si="256"/>
        <v>144.48223965333003</v>
      </c>
      <c r="U294" s="120">
        <f t="shared" si="256"/>
        <v>143.75399999999999</v>
      </c>
      <c r="V294" s="120">
        <f t="shared" si="256"/>
        <v>143.23996369914127</v>
      </c>
      <c r="W294" s="120">
        <f t="shared" si="256"/>
        <v>142.76458757395253</v>
      </c>
      <c r="X294" s="120">
        <f t="shared" si="256"/>
        <v>142.33151041696001</v>
      </c>
      <c r="Y294" s="120">
        <f t="shared" si="256"/>
        <v>141.94437102069625</v>
      </c>
      <c r="Z294" s="120">
        <f t="shared" si="256"/>
        <v>141.6068081776875</v>
      </c>
      <c r="AA294" s="120">
        <f t="shared" si="256"/>
        <v>141.32246068046376</v>
      </c>
      <c r="AB294" s="120">
        <f t="shared" si="256"/>
        <v>141.09496732155378</v>
      </c>
      <c r="AC294" s="120">
        <f t="shared" si="256"/>
        <v>140.92796689348751</v>
      </c>
      <c r="AD294" s="120">
        <f t="shared" si="256"/>
        <v>140.82509818879251</v>
      </c>
      <c r="AE294" s="120">
        <f t="shared" si="256"/>
        <v>140.78999999999877</v>
      </c>
      <c r="AF294" s="120">
        <f t="shared" si="256"/>
        <v>140.78999999999877</v>
      </c>
      <c r="AG294" s="120">
        <f t="shared" si="256"/>
        <v>140.78999999999877</v>
      </c>
      <c r="AH294" s="120">
        <f t="shared" si="256"/>
        <v>140.78999999999877</v>
      </c>
      <c r="AI294" s="120">
        <f t="shared" si="256"/>
        <v>140.78999999999877</v>
      </c>
      <c r="AJ294" s="120">
        <f t="shared" si="256"/>
        <v>140.78999999999877</v>
      </c>
      <c r="AK294" s="120">
        <f t="shared" si="256"/>
        <v>140.78999999999877</v>
      </c>
      <c r="AL294" s="120">
        <f t="shared" si="256"/>
        <v>140.78999999999877</v>
      </c>
      <c r="AM294" s="120">
        <f t="shared" si="256"/>
        <v>140.78999999999877</v>
      </c>
      <c r="AN294" s="120">
        <f t="shared" si="256"/>
        <v>140.78999999999877</v>
      </c>
      <c r="AO294" s="120">
        <f t="shared" si="256"/>
        <v>140.78999999999877</v>
      </c>
    </row>
    <row r="295" spans="1:41" x14ac:dyDescent="0.35">
      <c r="A295" s="141" t="s">
        <v>124</v>
      </c>
      <c r="B295" s="144" t="s">
        <v>30</v>
      </c>
      <c r="C295" s="143" t="s">
        <v>36</v>
      </c>
      <c r="D295" s="145" t="s">
        <v>81</v>
      </c>
      <c r="E295" s="83">
        <f>E296</f>
        <v>239.32500000000002</v>
      </c>
      <c r="F295" s="120">
        <f t="shared" ref="F295:AO295" si="257">F296</f>
        <v>239.32500000000002</v>
      </c>
      <c r="G295" s="120">
        <f t="shared" si="257"/>
        <v>207.76132306281625</v>
      </c>
      <c r="H295" s="120">
        <f t="shared" si="257"/>
        <v>183.97125000000003</v>
      </c>
      <c r="I295" s="120">
        <f t="shared" si="257"/>
        <v>167.21783164850376</v>
      </c>
      <c r="J295" s="120">
        <f t="shared" si="257"/>
        <v>153.88797479785376</v>
      </c>
      <c r="K295" s="120">
        <f t="shared" si="257"/>
        <v>145.26037500000001</v>
      </c>
      <c r="L295" s="120">
        <f t="shared" si="257"/>
        <v>139.69950042216126</v>
      </c>
      <c r="M295" s="120">
        <f t="shared" si="257"/>
        <v>134.70315790764499</v>
      </c>
      <c r="N295" s="120">
        <f t="shared" si="257"/>
        <v>130.25005102252501</v>
      </c>
      <c r="O295" s="120">
        <f t="shared" si="257"/>
        <v>126.31888333287375</v>
      </c>
      <c r="P295" s="120">
        <f t="shared" si="257"/>
        <v>122.8883584047685</v>
      </c>
      <c r="Q295" s="120">
        <f t="shared" si="257"/>
        <v>119.93717980428087</v>
      </c>
      <c r="R295" s="120">
        <f t="shared" si="257"/>
        <v>117.444051097486</v>
      </c>
      <c r="S295" s="120">
        <f t="shared" si="257"/>
        <v>115.38767585045812</v>
      </c>
      <c r="T295" s="120">
        <f t="shared" si="257"/>
        <v>113.74675762927124</v>
      </c>
      <c r="U295" s="120">
        <f t="shared" si="257"/>
        <v>112.5</v>
      </c>
      <c r="V295" s="120">
        <f t="shared" si="257"/>
        <v>111.46761132285587</v>
      </c>
      <c r="W295" s="120">
        <f t="shared" si="257"/>
        <v>110.49212653488351</v>
      </c>
      <c r="X295" s="120">
        <f t="shared" si="257"/>
        <v>109.58573906740526</v>
      </c>
      <c r="Y295" s="120">
        <f t="shared" si="257"/>
        <v>108.76064235174388</v>
      </c>
      <c r="Z295" s="120">
        <f t="shared" si="257"/>
        <v>108.02902981922212</v>
      </c>
      <c r="AA295" s="120">
        <f t="shared" si="257"/>
        <v>107.40309490116263</v>
      </c>
      <c r="AB295" s="120">
        <f t="shared" si="257"/>
        <v>106.89503102888787</v>
      </c>
      <c r="AC295" s="120">
        <f t="shared" si="257"/>
        <v>106.51703163372088</v>
      </c>
      <c r="AD295" s="120">
        <f t="shared" si="257"/>
        <v>106.28129014698388</v>
      </c>
      <c r="AE295" s="120">
        <f t="shared" si="257"/>
        <v>106.2</v>
      </c>
      <c r="AF295" s="120">
        <f t="shared" si="257"/>
        <v>106.2</v>
      </c>
      <c r="AG295" s="120">
        <f t="shared" si="257"/>
        <v>106.2</v>
      </c>
      <c r="AH295" s="120">
        <f t="shared" si="257"/>
        <v>106.2</v>
      </c>
      <c r="AI295" s="120">
        <f t="shared" si="257"/>
        <v>106.2</v>
      </c>
      <c r="AJ295" s="120">
        <f t="shared" si="257"/>
        <v>106.2</v>
      </c>
      <c r="AK295" s="120">
        <f t="shared" si="257"/>
        <v>106.2</v>
      </c>
      <c r="AL295" s="120">
        <f t="shared" si="257"/>
        <v>106.2</v>
      </c>
      <c r="AM295" s="120">
        <f t="shared" si="257"/>
        <v>106.2</v>
      </c>
      <c r="AN295" s="120">
        <f t="shared" si="257"/>
        <v>106.2</v>
      </c>
      <c r="AO295" s="120">
        <f t="shared" si="257"/>
        <v>106.2</v>
      </c>
    </row>
    <row r="296" spans="1:41" x14ac:dyDescent="0.35">
      <c r="A296" s="141" t="s">
        <v>124</v>
      </c>
      <c r="B296" s="142" t="s">
        <v>32</v>
      </c>
      <c r="C296" s="143" t="s">
        <v>36</v>
      </c>
      <c r="D296" s="145" t="s">
        <v>81</v>
      </c>
      <c r="E296" s="84">
        <f t="shared" ref="E296" si="258">0.2/4000*F273/4*1000</f>
        <v>239.32500000000002</v>
      </c>
      <c r="F296" s="120">
        <f>0.2/4000*F273/4*1000</f>
        <v>239.32500000000002</v>
      </c>
      <c r="G296" s="120">
        <f t="shared" ref="G296:AO296" si="259">0.2/4000*G273/4*1000</f>
        <v>207.76132306281625</v>
      </c>
      <c r="H296" s="120">
        <f t="shared" si="259"/>
        <v>183.97125000000003</v>
      </c>
      <c r="I296" s="120">
        <f t="shared" si="259"/>
        <v>167.21783164850376</v>
      </c>
      <c r="J296" s="120">
        <f t="shared" si="259"/>
        <v>153.88797479785376</v>
      </c>
      <c r="K296" s="120">
        <f t="shared" si="259"/>
        <v>145.26037500000001</v>
      </c>
      <c r="L296" s="120">
        <f t="shared" si="259"/>
        <v>139.69950042216126</v>
      </c>
      <c r="M296" s="120">
        <f t="shared" si="259"/>
        <v>134.70315790764499</v>
      </c>
      <c r="N296" s="120">
        <f t="shared" si="259"/>
        <v>130.25005102252501</v>
      </c>
      <c r="O296" s="120">
        <f t="shared" si="259"/>
        <v>126.31888333287375</v>
      </c>
      <c r="P296" s="120">
        <f t="shared" si="259"/>
        <v>122.8883584047685</v>
      </c>
      <c r="Q296" s="120">
        <f t="shared" si="259"/>
        <v>119.93717980428087</v>
      </c>
      <c r="R296" s="120">
        <f t="shared" si="259"/>
        <v>117.444051097486</v>
      </c>
      <c r="S296" s="120">
        <f t="shared" si="259"/>
        <v>115.38767585045812</v>
      </c>
      <c r="T296" s="120">
        <f t="shared" si="259"/>
        <v>113.74675762927124</v>
      </c>
      <c r="U296" s="120">
        <f t="shared" si="259"/>
        <v>112.5</v>
      </c>
      <c r="V296" s="120">
        <f t="shared" si="259"/>
        <v>111.46761132285587</v>
      </c>
      <c r="W296" s="120">
        <f t="shared" si="259"/>
        <v>110.49212653488351</v>
      </c>
      <c r="X296" s="120">
        <f t="shared" si="259"/>
        <v>109.58573906740526</v>
      </c>
      <c r="Y296" s="120">
        <f t="shared" si="259"/>
        <v>108.76064235174388</v>
      </c>
      <c r="Z296" s="120">
        <f t="shared" si="259"/>
        <v>108.02902981922212</v>
      </c>
      <c r="AA296" s="120">
        <f t="shared" si="259"/>
        <v>107.40309490116263</v>
      </c>
      <c r="AB296" s="120">
        <f t="shared" si="259"/>
        <v>106.89503102888787</v>
      </c>
      <c r="AC296" s="120">
        <f t="shared" si="259"/>
        <v>106.51703163372088</v>
      </c>
      <c r="AD296" s="120">
        <f t="shared" si="259"/>
        <v>106.28129014698388</v>
      </c>
      <c r="AE296" s="120">
        <f t="shared" si="259"/>
        <v>106.2</v>
      </c>
      <c r="AF296" s="120">
        <f t="shared" si="259"/>
        <v>106.2</v>
      </c>
      <c r="AG296" s="120">
        <f t="shared" si="259"/>
        <v>106.2</v>
      </c>
      <c r="AH296" s="120">
        <f t="shared" si="259"/>
        <v>106.2</v>
      </c>
      <c r="AI296" s="120">
        <f t="shared" si="259"/>
        <v>106.2</v>
      </c>
      <c r="AJ296" s="120">
        <f t="shared" si="259"/>
        <v>106.2</v>
      </c>
      <c r="AK296" s="120">
        <f t="shared" si="259"/>
        <v>106.2</v>
      </c>
      <c r="AL296" s="120">
        <f t="shared" si="259"/>
        <v>106.2</v>
      </c>
      <c r="AM296" s="120">
        <f t="shared" si="259"/>
        <v>106.2</v>
      </c>
      <c r="AN296" s="120">
        <f t="shared" si="259"/>
        <v>106.2</v>
      </c>
      <c r="AO296" s="120">
        <f t="shared" si="259"/>
        <v>106.2</v>
      </c>
    </row>
    <row r="297" spans="1:41" x14ac:dyDescent="0.35">
      <c r="A297" s="141" t="s">
        <v>124</v>
      </c>
      <c r="B297" s="144" t="s">
        <v>33</v>
      </c>
      <c r="C297" s="143" t="s">
        <v>36</v>
      </c>
      <c r="D297" s="145" t="s">
        <v>81</v>
      </c>
      <c r="E297" s="83">
        <f>E296</f>
        <v>239.32500000000002</v>
      </c>
      <c r="F297" s="120">
        <f t="shared" ref="F297:AO297" si="260">F296</f>
        <v>239.32500000000002</v>
      </c>
      <c r="G297" s="120">
        <f t="shared" si="260"/>
        <v>207.76132306281625</v>
      </c>
      <c r="H297" s="120">
        <f t="shared" si="260"/>
        <v>183.97125000000003</v>
      </c>
      <c r="I297" s="120">
        <f t="shared" si="260"/>
        <v>167.21783164850376</v>
      </c>
      <c r="J297" s="120">
        <f t="shared" si="260"/>
        <v>153.88797479785376</v>
      </c>
      <c r="K297" s="120">
        <f t="shared" si="260"/>
        <v>145.26037500000001</v>
      </c>
      <c r="L297" s="120">
        <f t="shared" si="260"/>
        <v>139.69950042216126</v>
      </c>
      <c r="M297" s="120">
        <f t="shared" si="260"/>
        <v>134.70315790764499</v>
      </c>
      <c r="N297" s="120">
        <f t="shared" si="260"/>
        <v>130.25005102252501</v>
      </c>
      <c r="O297" s="120">
        <f t="shared" si="260"/>
        <v>126.31888333287375</v>
      </c>
      <c r="P297" s="120">
        <f t="shared" si="260"/>
        <v>122.8883584047685</v>
      </c>
      <c r="Q297" s="120">
        <f t="shared" si="260"/>
        <v>119.93717980428087</v>
      </c>
      <c r="R297" s="120">
        <f t="shared" si="260"/>
        <v>117.444051097486</v>
      </c>
      <c r="S297" s="120">
        <f t="shared" si="260"/>
        <v>115.38767585045812</v>
      </c>
      <c r="T297" s="120">
        <f t="shared" si="260"/>
        <v>113.74675762927124</v>
      </c>
      <c r="U297" s="120">
        <f t="shared" si="260"/>
        <v>112.5</v>
      </c>
      <c r="V297" s="120">
        <f t="shared" si="260"/>
        <v>111.46761132285587</v>
      </c>
      <c r="W297" s="120">
        <f t="shared" si="260"/>
        <v>110.49212653488351</v>
      </c>
      <c r="X297" s="120">
        <f t="shared" si="260"/>
        <v>109.58573906740526</v>
      </c>
      <c r="Y297" s="120">
        <f t="shared" si="260"/>
        <v>108.76064235174388</v>
      </c>
      <c r="Z297" s="120">
        <f t="shared" si="260"/>
        <v>108.02902981922212</v>
      </c>
      <c r="AA297" s="120">
        <f t="shared" si="260"/>
        <v>107.40309490116263</v>
      </c>
      <c r="AB297" s="120">
        <f t="shared" si="260"/>
        <v>106.89503102888787</v>
      </c>
      <c r="AC297" s="120">
        <f t="shared" si="260"/>
        <v>106.51703163372088</v>
      </c>
      <c r="AD297" s="120">
        <f t="shared" si="260"/>
        <v>106.28129014698388</v>
      </c>
      <c r="AE297" s="120">
        <f t="shared" si="260"/>
        <v>106.2</v>
      </c>
      <c r="AF297" s="120">
        <f t="shared" si="260"/>
        <v>106.2</v>
      </c>
      <c r="AG297" s="120">
        <f t="shared" si="260"/>
        <v>106.2</v>
      </c>
      <c r="AH297" s="120">
        <f t="shared" si="260"/>
        <v>106.2</v>
      </c>
      <c r="AI297" s="120">
        <f t="shared" si="260"/>
        <v>106.2</v>
      </c>
      <c r="AJ297" s="120">
        <f t="shared" si="260"/>
        <v>106.2</v>
      </c>
      <c r="AK297" s="120">
        <f t="shared" si="260"/>
        <v>106.2</v>
      </c>
      <c r="AL297" s="120">
        <f t="shared" si="260"/>
        <v>106.2</v>
      </c>
      <c r="AM297" s="120">
        <f t="shared" si="260"/>
        <v>106.2</v>
      </c>
      <c r="AN297" s="120">
        <f t="shared" si="260"/>
        <v>106.2</v>
      </c>
      <c r="AO297" s="120">
        <f t="shared" si="260"/>
        <v>106.2</v>
      </c>
    </row>
    <row r="298" spans="1:41" x14ac:dyDescent="0.35">
      <c r="A298" s="188" t="s">
        <v>116</v>
      </c>
      <c r="B298" s="189" t="s">
        <v>30</v>
      </c>
      <c r="C298" s="190" t="s">
        <v>35</v>
      </c>
      <c r="D298" s="189" t="s">
        <v>79</v>
      </c>
      <c r="E298" s="189">
        <v>1</v>
      </c>
      <c r="F298" s="191">
        <v>1</v>
      </c>
      <c r="G298" s="191">
        <v>1</v>
      </c>
      <c r="H298" s="191">
        <v>1</v>
      </c>
      <c r="I298" s="191">
        <v>1</v>
      </c>
      <c r="J298" s="191">
        <v>1</v>
      </c>
      <c r="K298" s="191">
        <v>1</v>
      </c>
      <c r="L298" s="191">
        <v>1</v>
      </c>
      <c r="M298" s="191">
        <v>1</v>
      </c>
      <c r="N298" s="191">
        <v>1</v>
      </c>
      <c r="O298" s="191">
        <v>1</v>
      </c>
      <c r="P298" s="191">
        <v>1</v>
      </c>
      <c r="Q298" s="191">
        <v>1</v>
      </c>
      <c r="R298" s="191">
        <v>1</v>
      </c>
      <c r="S298" s="191">
        <v>1</v>
      </c>
      <c r="T298" s="191">
        <v>1</v>
      </c>
      <c r="U298" s="191">
        <v>1</v>
      </c>
      <c r="V298" s="191">
        <v>1</v>
      </c>
      <c r="W298" s="191">
        <v>1</v>
      </c>
      <c r="X298" s="191">
        <v>1</v>
      </c>
      <c r="Y298" s="191">
        <v>1</v>
      </c>
      <c r="Z298" s="191">
        <v>1</v>
      </c>
      <c r="AA298" s="191">
        <v>1</v>
      </c>
      <c r="AB298" s="191">
        <v>1</v>
      </c>
      <c r="AC298" s="191">
        <v>1</v>
      </c>
      <c r="AD298" s="191">
        <v>1</v>
      </c>
      <c r="AE298" s="191">
        <v>1</v>
      </c>
      <c r="AF298" s="191">
        <v>1</v>
      </c>
      <c r="AG298" s="191">
        <v>1</v>
      </c>
      <c r="AH298" s="191">
        <v>1</v>
      </c>
      <c r="AI298" s="191">
        <v>1</v>
      </c>
      <c r="AJ298" s="191">
        <v>1</v>
      </c>
      <c r="AK298" s="191">
        <v>1</v>
      </c>
      <c r="AL298" s="191">
        <v>1</v>
      </c>
      <c r="AM298" s="191">
        <v>1</v>
      </c>
      <c r="AN298" s="191">
        <v>1</v>
      </c>
      <c r="AO298" s="191">
        <v>1</v>
      </c>
    </row>
    <row r="299" spans="1:41" x14ac:dyDescent="0.35">
      <c r="A299" s="188" t="s">
        <v>116</v>
      </c>
      <c r="B299" s="189" t="s">
        <v>32</v>
      </c>
      <c r="C299" s="190" t="s">
        <v>35</v>
      </c>
      <c r="D299" s="189" t="s">
        <v>79</v>
      </c>
      <c r="E299" s="189">
        <v>1</v>
      </c>
      <c r="F299" s="191">
        <v>1</v>
      </c>
      <c r="G299" s="191">
        <v>1</v>
      </c>
      <c r="H299" s="191">
        <v>1</v>
      </c>
      <c r="I299" s="191">
        <v>1</v>
      </c>
      <c r="J299" s="191">
        <v>1</v>
      </c>
      <c r="K299" s="191">
        <v>1</v>
      </c>
      <c r="L299" s="191">
        <v>1</v>
      </c>
      <c r="M299" s="191">
        <v>1</v>
      </c>
      <c r="N299" s="191">
        <v>1</v>
      </c>
      <c r="O299" s="191">
        <v>1</v>
      </c>
      <c r="P299" s="191">
        <v>1</v>
      </c>
      <c r="Q299" s="191">
        <v>1</v>
      </c>
      <c r="R299" s="191">
        <v>1</v>
      </c>
      <c r="S299" s="191">
        <v>1</v>
      </c>
      <c r="T299" s="191">
        <v>1</v>
      </c>
      <c r="U299" s="191">
        <v>1</v>
      </c>
      <c r="V299" s="191">
        <v>1</v>
      </c>
      <c r="W299" s="191">
        <v>1</v>
      </c>
      <c r="X299" s="191">
        <v>1</v>
      </c>
      <c r="Y299" s="191">
        <v>1</v>
      </c>
      <c r="Z299" s="191">
        <v>1</v>
      </c>
      <c r="AA299" s="191">
        <v>1</v>
      </c>
      <c r="AB299" s="191">
        <v>1</v>
      </c>
      <c r="AC299" s="191">
        <v>1</v>
      </c>
      <c r="AD299" s="191">
        <v>1</v>
      </c>
      <c r="AE299" s="191">
        <v>1</v>
      </c>
      <c r="AF299" s="191">
        <v>1</v>
      </c>
      <c r="AG299" s="191">
        <v>1</v>
      </c>
      <c r="AH299" s="191">
        <v>1</v>
      </c>
      <c r="AI299" s="191">
        <v>1</v>
      </c>
      <c r="AJ299" s="191">
        <v>1</v>
      </c>
      <c r="AK299" s="191">
        <v>1</v>
      </c>
      <c r="AL299" s="191">
        <v>1</v>
      </c>
      <c r="AM299" s="191">
        <v>1</v>
      </c>
      <c r="AN299" s="191">
        <v>1</v>
      </c>
      <c r="AO299" s="191">
        <v>1</v>
      </c>
    </row>
    <row r="300" spans="1:41" x14ac:dyDescent="0.35">
      <c r="A300" s="188" t="s">
        <v>116</v>
      </c>
      <c r="B300" s="189" t="s">
        <v>33</v>
      </c>
      <c r="C300" s="190" t="s">
        <v>35</v>
      </c>
      <c r="D300" s="189" t="s">
        <v>79</v>
      </c>
      <c r="E300" s="189">
        <v>1</v>
      </c>
      <c r="F300" s="191">
        <v>1</v>
      </c>
      <c r="G300" s="191">
        <v>1</v>
      </c>
      <c r="H300" s="191">
        <v>1</v>
      </c>
      <c r="I300" s="191">
        <v>1</v>
      </c>
      <c r="J300" s="191">
        <v>1</v>
      </c>
      <c r="K300" s="191">
        <v>1</v>
      </c>
      <c r="L300" s="191">
        <v>1</v>
      </c>
      <c r="M300" s="191">
        <v>1</v>
      </c>
      <c r="N300" s="191">
        <v>1</v>
      </c>
      <c r="O300" s="191">
        <v>1</v>
      </c>
      <c r="P300" s="191">
        <v>1</v>
      </c>
      <c r="Q300" s="191">
        <v>1</v>
      </c>
      <c r="R300" s="191">
        <v>1</v>
      </c>
      <c r="S300" s="191">
        <v>1</v>
      </c>
      <c r="T300" s="191">
        <v>1</v>
      </c>
      <c r="U300" s="191">
        <v>1</v>
      </c>
      <c r="V300" s="191">
        <v>1</v>
      </c>
      <c r="W300" s="191">
        <v>1</v>
      </c>
      <c r="X300" s="191">
        <v>1</v>
      </c>
      <c r="Y300" s="191">
        <v>1</v>
      </c>
      <c r="Z300" s="191">
        <v>1</v>
      </c>
      <c r="AA300" s="191">
        <v>1</v>
      </c>
      <c r="AB300" s="191">
        <v>1</v>
      </c>
      <c r="AC300" s="191">
        <v>1</v>
      </c>
      <c r="AD300" s="191">
        <v>1</v>
      </c>
      <c r="AE300" s="191">
        <v>1</v>
      </c>
      <c r="AF300" s="191">
        <v>1</v>
      </c>
      <c r="AG300" s="191">
        <v>1</v>
      </c>
      <c r="AH300" s="191">
        <v>1</v>
      </c>
      <c r="AI300" s="191">
        <v>1</v>
      </c>
      <c r="AJ300" s="191">
        <v>1</v>
      </c>
      <c r="AK300" s="191">
        <v>1</v>
      </c>
      <c r="AL300" s="191">
        <v>1</v>
      </c>
      <c r="AM300" s="191">
        <v>1</v>
      </c>
      <c r="AN300" s="191">
        <v>1</v>
      </c>
      <c r="AO300" s="191">
        <v>1</v>
      </c>
    </row>
    <row r="301" spans="1:41" x14ac:dyDescent="0.35">
      <c r="A301" s="71" t="s">
        <v>52</v>
      </c>
      <c r="B301" s="72" t="s">
        <v>30</v>
      </c>
      <c r="C301" s="73" t="s">
        <v>96</v>
      </c>
      <c r="D301" s="73" t="s">
        <v>81</v>
      </c>
      <c r="E301" s="85">
        <v>1</v>
      </c>
      <c r="F301" s="85">
        <f>E301</f>
        <v>1</v>
      </c>
      <c r="G301" s="85">
        <f t="shared" ref="G301:AO301" si="261">F301</f>
        <v>1</v>
      </c>
      <c r="H301" s="85">
        <f t="shared" si="261"/>
        <v>1</v>
      </c>
      <c r="I301" s="85">
        <f t="shared" si="261"/>
        <v>1</v>
      </c>
      <c r="J301" s="85">
        <f t="shared" si="261"/>
        <v>1</v>
      </c>
      <c r="K301" s="85">
        <f t="shared" si="261"/>
        <v>1</v>
      </c>
      <c r="L301" s="85">
        <f t="shared" si="261"/>
        <v>1</v>
      </c>
      <c r="M301" s="85">
        <f t="shared" si="261"/>
        <v>1</v>
      </c>
      <c r="N301" s="85">
        <f t="shared" si="261"/>
        <v>1</v>
      </c>
      <c r="O301" s="85">
        <f t="shared" si="261"/>
        <v>1</v>
      </c>
      <c r="P301" s="85">
        <f t="shared" si="261"/>
        <v>1</v>
      </c>
      <c r="Q301" s="85">
        <f t="shared" si="261"/>
        <v>1</v>
      </c>
      <c r="R301" s="85">
        <f t="shared" si="261"/>
        <v>1</v>
      </c>
      <c r="S301" s="85">
        <f t="shared" si="261"/>
        <v>1</v>
      </c>
      <c r="T301" s="85">
        <f t="shared" si="261"/>
        <v>1</v>
      </c>
      <c r="U301" s="85">
        <f t="shared" si="261"/>
        <v>1</v>
      </c>
      <c r="V301" s="85">
        <f t="shared" si="261"/>
        <v>1</v>
      </c>
      <c r="W301" s="85">
        <f t="shared" si="261"/>
        <v>1</v>
      </c>
      <c r="X301" s="85">
        <f t="shared" si="261"/>
        <v>1</v>
      </c>
      <c r="Y301" s="85">
        <f t="shared" si="261"/>
        <v>1</v>
      </c>
      <c r="Z301" s="85">
        <f t="shared" si="261"/>
        <v>1</v>
      </c>
      <c r="AA301" s="85">
        <f t="shared" si="261"/>
        <v>1</v>
      </c>
      <c r="AB301" s="85">
        <f t="shared" si="261"/>
        <v>1</v>
      </c>
      <c r="AC301" s="85">
        <f t="shared" si="261"/>
        <v>1</v>
      </c>
      <c r="AD301" s="85">
        <f t="shared" si="261"/>
        <v>1</v>
      </c>
      <c r="AE301" s="85">
        <f t="shared" si="261"/>
        <v>1</v>
      </c>
      <c r="AF301" s="85">
        <f t="shared" si="261"/>
        <v>1</v>
      </c>
      <c r="AG301" s="85">
        <f t="shared" si="261"/>
        <v>1</v>
      </c>
      <c r="AH301" s="85">
        <f t="shared" si="261"/>
        <v>1</v>
      </c>
      <c r="AI301" s="85">
        <f t="shared" si="261"/>
        <v>1</v>
      </c>
      <c r="AJ301" s="85">
        <f t="shared" si="261"/>
        <v>1</v>
      </c>
      <c r="AK301" s="85">
        <f t="shared" si="261"/>
        <v>1</v>
      </c>
      <c r="AL301" s="85">
        <f t="shared" si="261"/>
        <v>1</v>
      </c>
      <c r="AM301" s="85">
        <f t="shared" si="261"/>
        <v>1</v>
      </c>
      <c r="AN301" s="85">
        <f t="shared" si="261"/>
        <v>1</v>
      </c>
      <c r="AO301" s="85">
        <f t="shared" si="261"/>
        <v>1</v>
      </c>
    </row>
    <row r="302" spans="1:41" x14ac:dyDescent="0.35">
      <c r="A302" s="71" t="str">
        <f t="shared" ref="A302:A303" si="262">A301</f>
        <v>default</v>
      </c>
      <c r="B302" s="68" t="s">
        <v>32</v>
      </c>
      <c r="C302" s="73" t="s">
        <v>96</v>
      </c>
      <c r="D302" s="75" t="s">
        <v>81</v>
      </c>
      <c r="E302" s="86">
        <v>1</v>
      </c>
      <c r="F302" s="85">
        <f>E302</f>
        <v>1</v>
      </c>
      <c r="G302" s="85">
        <f t="shared" ref="G302:AO302" si="263">F302</f>
        <v>1</v>
      </c>
      <c r="H302" s="85">
        <f t="shared" si="263"/>
        <v>1</v>
      </c>
      <c r="I302" s="85">
        <f t="shared" si="263"/>
        <v>1</v>
      </c>
      <c r="J302" s="85">
        <f t="shared" si="263"/>
        <v>1</v>
      </c>
      <c r="K302" s="85">
        <f t="shared" si="263"/>
        <v>1</v>
      </c>
      <c r="L302" s="85">
        <f t="shared" si="263"/>
        <v>1</v>
      </c>
      <c r="M302" s="85">
        <f t="shared" si="263"/>
        <v>1</v>
      </c>
      <c r="N302" s="85">
        <f t="shared" si="263"/>
        <v>1</v>
      </c>
      <c r="O302" s="85">
        <f t="shared" si="263"/>
        <v>1</v>
      </c>
      <c r="P302" s="85">
        <f t="shared" si="263"/>
        <v>1</v>
      </c>
      <c r="Q302" s="85">
        <f t="shared" si="263"/>
        <v>1</v>
      </c>
      <c r="R302" s="85">
        <f t="shared" si="263"/>
        <v>1</v>
      </c>
      <c r="S302" s="85">
        <f t="shared" si="263"/>
        <v>1</v>
      </c>
      <c r="T302" s="85">
        <f t="shared" si="263"/>
        <v>1</v>
      </c>
      <c r="U302" s="85">
        <f t="shared" si="263"/>
        <v>1</v>
      </c>
      <c r="V302" s="85">
        <f t="shared" si="263"/>
        <v>1</v>
      </c>
      <c r="W302" s="85">
        <f t="shared" si="263"/>
        <v>1</v>
      </c>
      <c r="X302" s="85">
        <f t="shared" si="263"/>
        <v>1</v>
      </c>
      <c r="Y302" s="85">
        <f t="shared" si="263"/>
        <v>1</v>
      </c>
      <c r="Z302" s="85">
        <f t="shared" si="263"/>
        <v>1</v>
      </c>
      <c r="AA302" s="85">
        <f t="shared" si="263"/>
        <v>1</v>
      </c>
      <c r="AB302" s="85">
        <f t="shared" si="263"/>
        <v>1</v>
      </c>
      <c r="AC302" s="85">
        <f t="shared" si="263"/>
        <v>1</v>
      </c>
      <c r="AD302" s="85">
        <f t="shared" si="263"/>
        <v>1</v>
      </c>
      <c r="AE302" s="85">
        <f t="shared" si="263"/>
        <v>1</v>
      </c>
      <c r="AF302" s="85">
        <f t="shared" si="263"/>
        <v>1</v>
      </c>
      <c r="AG302" s="85">
        <f t="shared" si="263"/>
        <v>1</v>
      </c>
      <c r="AH302" s="85">
        <f t="shared" si="263"/>
        <v>1</v>
      </c>
      <c r="AI302" s="85">
        <f t="shared" si="263"/>
        <v>1</v>
      </c>
      <c r="AJ302" s="85">
        <f t="shared" si="263"/>
        <v>1</v>
      </c>
      <c r="AK302" s="85">
        <f t="shared" si="263"/>
        <v>1</v>
      </c>
      <c r="AL302" s="85">
        <f t="shared" si="263"/>
        <v>1</v>
      </c>
      <c r="AM302" s="85">
        <f t="shared" si="263"/>
        <v>1</v>
      </c>
      <c r="AN302" s="85">
        <f t="shared" si="263"/>
        <v>1</v>
      </c>
      <c r="AO302" s="85">
        <f t="shared" si="263"/>
        <v>1</v>
      </c>
    </row>
    <row r="303" spans="1:41" x14ac:dyDescent="0.35">
      <c r="A303" s="71" t="str">
        <f t="shared" si="262"/>
        <v>default</v>
      </c>
      <c r="B303" s="72" t="s">
        <v>33</v>
      </c>
      <c r="C303" s="73" t="s">
        <v>96</v>
      </c>
      <c r="D303" s="73" t="s">
        <v>81</v>
      </c>
      <c r="E303" s="85">
        <v>1</v>
      </c>
      <c r="F303" s="85">
        <f>E303</f>
        <v>1</v>
      </c>
      <c r="G303" s="85">
        <f t="shared" ref="G303:AO303" si="264">F303</f>
        <v>1</v>
      </c>
      <c r="H303" s="85">
        <f t="shared" si="264"/>
        <v>1</v>
      </c>
      <c r="I303" s="85">
        <f t="shared" si="264"/>
        <v>1</v>
      </c>
      <c r="J303" s="85">
        <f t="shared" si="264"/>
        <v>1</v>
      </c>
      <c r="K303" s="85">
        <f t="shared" si="264"/>
        <v>1</v>
      </c>
      <c r="L303" s="85">
        <f t="shared" si="264"/>
        <v>1</v>
      </c>
      <c r="M303" s="85">
        <f t="shared" si="264"/>
        <v>1</v>
      </c>
      <c r="N303" s="85">
        <f t="shared" si="264"/>
        <v>1</v>
      </c>
      <c r="O303" s="85">
        <f t="shared" si="264"/>
        <v>1</v>
      </c>
      <c r="P303" s="85">
        <f t="shared" si="264"/>
        <v>1</v>
      </c>
      <c r="Q303" s="85">
        <f t="shared" si="264"/>
        <v>1</v>
      </c>
      <c r="R303" s="85">
        <f t="shared" si="264"/>
        <v>1</v>
      </c>
      <c r="S303" s="85">
        <f t="shared" si="264"/>
        <v>1</v>
      </c>
      <c r="T303" s="85">
        <f t="shared" si="264"/>
        <v>1</v>
      </c>
      <c r="U303" s="85">
        <f t="shared" si="264"/>
        <v>1</v>
      </c>
      <c r="V303" s="85">
        <f t="shared" si="264"/>
        <v>1</v>
      </c>
      <c r="W303" s="85">
        <f t="shared" si="264"/>
        <v>1</v>
      </c>
      <c r="X303" s="85">
        <f t="shared" si="264"/>
        <v>1</v>
      </c>
      <c r="Y303" s="85">
        <f t="shared" si="264"/>
        <v>1</v>
      </c>
      <c r="Z303" s="85">
        <f t="shared" si="264"/>
        <v>1</v>
      </c>
      <c r="AA303" s="85">
        <f t="shared" si="264"/>
        <v>1</v>
      </c>
      <c r="AB303" s="85">
        <f t="shared" si="264"/>
        <v>1</v>
      </c>
      <c r="AC303" s="85">
        <f t="shared" si="264"/>
        <v>1</v>
      </c>
      <c r="AD303" s="85">
        <f t="shared" si="264"/>
        <v>1</v>
      </c>
      <c r="AE303" s="85">
        <f t="shared" si="264"/>
        <v>1</v>
      </c>
      <c r="AF303" s="85">
        <f t="shared" si="264"/>
        <v>1</v>
      </c>
      <c r="AG303" s="85">
        <f t="shared" si="264"/>
        <v>1</v>
      </c>
      <c r="AH303" s="85">
        <f t="shared" si="264"/>
        <v>1</v>
      </c>
      <c r="AI303" s="85">
        <f t="shared" si="264"/>
        <v>1</v>
      </c>
      <c r="AJ303" s="85">
        <f t="shared" si="264"/>
        <v>1</v>
      </c>
      <c r="AK303" s="85">
        <f t="shared" si="264"/>
        <v>1</v>
      </c>
      <c r="AL303" s="85">
        <f t="shared" si="264"/>
        <v>1</v>
      </c>
      <c r="AM303" s="85">
        <f t="shared" si="264"/>
        <v>1</v>
      </c>
      <c r="AN303" s="85">
        <f t="shared" si="264"/>
        <v>1</v>
      </c>
      <c r="AO303" s="85">
        <f t="shared" si="264"/>
        <v>1</v>
      </c>
    </row>
    <row r="304" spans="1:41" x14ac:dyDescent="0.35">
      <c r="A304" s="146" t="s">
        <v>112</v>
      </c>
      <c r="B304" s="134" t="s">
        <v>15</v>
      </c>
      <c r="C304" s="135" t="s">
        <v>96</v>
      </c>
      <c r="D304" s="135" t="s">
        <v>81</v>
      </c>
      <c r="E304" s="59">
        <v>1.1673504000000001</v>
      </c>
      <c r="F304" s="168">
        <v>1.1673504000000001</v>
      </c>
      <c r="G304" s="168">
        <v>1.1673504000000001</v>
      </c>
      <c r="H304" s="168">
        <v>1.1673504000000001</v>
      </c>
      <c r="I304" s="168">
        <v>1.1673504000000001</v>
      </c>
      <c r="J304" s="168">
        <v>1.1673504000000001</v>
      </c>
      <c r="K304" s="168">
        <v>1.1673504000000001</v>
      </c>
      <c r="L304" s="168">
        <v>1.1673504000000001</v>
      </c>
      <c r="M304" s="168">
        <v>1.1673504000000001</v>
      </c>
      <c r="N304" s="168">
        <v>1.1673504000000001</v>
      </c>
      <c r="O304" s="168">
        <v>1.1673504000000001</v>
      </c>
      <c r="P304" s="168">
        <v>1.1673504000000001</v>
      </c>
      <c r="Q304" s="168">
        <v>1.1673504000000001</v>
      </c>
      <c r="R304" s="168">
        <v>1.1673504000000001</v>
      </c>
      <c r="S304" s="168">
        <v>1.1673504000000001</v>
      </c>
      <c r="T304" s="168">
        <v>1.1673504000000001</v>
      </c>
      <c r="U304" s="168">
        <v>1.1673504000000001</v>
      </c>
      <c r="V304" s="168">
        <v>1.1673504000000001</v>
      </c>
      <c r="W304" s="168">
        <v>1.1673504000000001</v>
      </c>
      <c r="X304" s="168">
        <v>1.1673504000000001</v>
      </c>
      <c r="Y304" s="168">
        <v>1.1673504000000001</v>
      </c>
      <c r="Z304" s="168">
        <v>1.1673504000000001</v>
      </c>
      <c r="AA304" s="168">
        <v>1.1673504000000001</v>
      </c>
      <c r="AB304" s="168">
        <v>1.1673504000000001</v>
      </c>
      <c r="AC304" s="168">
        <v>1.1673504000000001</v>
      </c>
      <c r="AD304" s="168">
        <v>1.1673504000000001</v>
      </c>
      <c r="AE304" s="168">
        <v>1.1673504000000001</v>
      </c>
      <c r="AF304" s="168">
        <v>1.1673504000000001</v>
      </c>
      <c r="AG304" s="168">
        <v>1.1673504000000001</v>
      </c>
      <c r="AH304" s="168">
        <v>1.1673504000000001</v>
      </c>
      <c r="AI304" s="168">
        <v>1.1673504000000001</v>
      </c>
      <c r="AJ304" s="168">
        <v>1.1673504000000001</v>
      </c>
      <c r="AK304" s="168">
        <v>1.1673504000000001</v>
      </c>
      <c r="AL304" s="168">
        <v>1.1673504000000001</v>
      </c>
      <c r="AM304" s="168">
        <v>1.1673504000000001</v>
      </c>
      <c r="AN304" s="168">
        <v>1.1673504000000001</v>
      </c>
      <c r="AO304" s="168">
        <v>1.1673504000000001</v>
      </c>
    </row>
    <row r="305" spans="1:41" x14ac:dyDescent="0.35">
      <c r="A305" s="146" t="str">
        <f t="shared" ref="A305:A322" si="265">A304</f>
        <v>WACC_124</v>
      </c>
      <c r="B305" s="132" t="s">
        <v>25</v>
      </c>
      <c r="C305" s="135" t="s">
        <v>96</v>
      </c>
      <c r="D305" s="133" t="s">
        <v>81</v>
      </c>
      <c r="E305" s="60">
        <v>1.298599524442916</v>
      </c>
      <c r="F305" s="168">
        <v>1.298599524442916</v>
      </c>
      <c r="G305" s="168">
        <v>1.298599524442916</v>
      </c>
      <c r="H305" s="168">
        <v>1.298599524442916</v>
      </c>
      <c r="I305" s="168">
        <v>1.298599524442916</v>
      </c>
      <c r="J305" s="168">
        <v>1.298599524442916</v>
      </c>
      <c r="K305" s="168">
        <v>1.298599524442916</v>
      </c>
      <c r="L305" s="168">
        <v>1.298599524442916</v>
      </c>
      <c r="M305" s="168">
        <v>1.298599524442916</v>
      </c>
      <c r="N305" s="168">
        <v>1.298599524442916</v>
      </c>
      <c r="O305" s="168">
        <v>1.298599524442916</v>
      </c>
      <c r="P305" s="168">
        <v>1.298599524442916</v>
      </c>
      <c r="Q305" s="168">
        <v>1.298599524442916</v>
      </c>
      <c r="R305" s="168">
        <v>1.298599524442916</v>
      </c>
      <c r="S305" s="168">
        <v>1.298599524442916</v>
      </c>
      <c r="T305" s="168">
        <v>1.298599524442916</v>
      </c>
      <c r="U305" s="168">
        <v>1.298599524442916</v>
      </c>
      <c r="V305" s="168">
        <v>1.298599524442916</v>
      </c>
      <c r="W305" s="168">
        <v>1.298599524442916</v>
      </c>
      <c r="X305" s="168">
        <v>1.298599524442916</v>
      </c>
      <c r="Y305" s="168">
        <v>1.298599524442916</v>
      </c>
      <c r="Z305" s="168">
        <v>1.298599524442916</v>
      </c>
      <c r="AA305" s="168">
        <v>1.298599524442916</v>
      </c>
      <c r="AB305" s="168">
        <v>1.298599524442916</v>
      </c>
      <c r="AC305" s="168">
        <v>1.298599524442916</v>
      </c>
      <c r="AD305" s="168">
        <v>1.298599524442916</v>
      </c>
      <c r="AE305" s="168">
        <v>1.298599524442916</v>
      </c>
      <c r="AF305" s="168">
        <v>1.298599524442916</v>
      </c>
      <c r="AG305" s="168">
        <v>1.298599524442916</v>
      </c>
      <c r="AH305" s="168">
        <v>1.298599524442916</v>
      </c>
      <c r="AI305" s="168">
        <v>1.298599524442916</v>
      </c>
      <c r="AJ305" s="168">
        <v>1.298599524442916</v>
      </c>
      <c r="AK305" s="168">
        <v>1.298599524442916</v>
      </c>
      <c r="AL305" s="168">
        <v>1.298599524442916</v>
      </c>
      <c r="AM305" s="168">
        <v>1.298599524442916</v>
      </c>
      <c r="AN305" s="168">
        <v>1.298599524442916</v>
      </c>
      <c r="AO305" s="168">
        <v>1.298599524442916</v>
      </c>
    </row>
    <row r="306" spans="1:41" x14ac:dyDescent="0.35">
      <c r="A306" s="146" t="str">
        <f t="shared" si="265"/>
        <v>WACC_124</v>
      </c>
      <c r="B306" s="134" t="s">
        <v>26</v>
      </c>
      <c r="C306" s="135" t="s">
        <v>96</v>
      </c>
      <c r="D306" s="135" t="s">
        <v>81</v>
      </c>
      <c r="E306" s="59">
        <v>1.3917761430759941</v>
      </c>
      <c r="F306" s="168">
        <v>1.3917761430759941</v>
      </c>
      <c r="G306" s="168">
        <v>1.3917761430759941</v>
      </c>
      <c r="H306" s="168">
        <v>1.3917761430759941</v>
      </c>
      <c r="I306" s="168">
        <v>1.3917761430759941</v>
      </c>
      <c r="J306" s="168">
        <v>1.3917761430759941</v>
      </c>
      <c r="K306" s="168">
        <v>1.3917761430759941</v>
      </c>
      <c r="L306" s="168">
        <v>1.3917761430759941</v>
      </c>
      <c r="M306" s="168">
        <v>1.3917761430759941</v>
      </c>
      <c r="N306" s="168">
        <v>1.3917761430759941</v>
      </c>
      <c r="O306" s="168">
        <v>1.3917761430759941</v>
      </c>
      <c r="P306" s="168">
        <v>1.3917761430759941</v>
      </c>
      <c r="Q306" s="168">
        <v>1.3917761430759941</v>
      </c>
      <c r="R306" s="168">
        <v>1.3917761430759941</v>
      </c>
      <c r="S306" s="168">
        <v>1.3917761430759941</v>
      </c>
      <c r="T306" s="168">
        <v>1.3917761430759941</v>
      </c>
      <c r="U306" s="168">
        <v>1.3917761430759941</v>
      </c>
      <c r="V306" s="168">
        <v>1.3917761430759941</v>
      </c>
      <c r="W306" s="168">
        <v>1.3917761430759941</v>
      </c>
      <c r="X306" s="168">
        <v>1.3917761430759941</v>
      </c>
      <c r="Y306" s="168">
        <v>1.3917761430759941</v>
      </c>
      <c r="Z306" s="168">
        <v>1.3917761430759941</v>
      </c>
      <c r="AA306" s="168">
        <v>1.3917761430759941</v>
      </c>
      <c r="AB306" s="168">
        <v>1.3917761430759941</v>
      </c>
      <c r="AC306" s="168">
        <v>1.3917761430759941</v>
      </c>
      <c r="AD306" s="168">
        <v>1.3917761430759941</v>
      </c>
      <c r="AE306" s="168">
        <v>1.3917761430759941</v>
      </c>
      <c r="AF306" s="168">
        <v>1.3917761430759941</v>
      </c>
      <c r="AG306" s="168">
        <v>1.3917761430759941</v>
      </c>
      <c r="AH306" s="168">
        <v>1.3917761430759941</v>
      </c>
      <c r="AI306" s="168">
        <v>1.3917761430759941</v>
      </c>
      <c r="AJ306" s="168">
        <v>1.3917761430759941</v>
      </c>
      <c r="AK306" s="168">
        <v>1.3917761430759941</v>
      </c>
      <c r="AL306" s="168">
        <v>1.3917761430759941</v>
      </c>
      <c r="AM306" s="168">
        <v>1.3917761430759941</v>
      </c>
      <c r="AN306" s="168">
        <v>1.3917761430759941</v>
      </c>
      <c r="AO306" s="168">
        <v>1.3917761430759941</v>
      </c>
    </row>
    <row r="307" spans="1:41" x14ac:dyDescent="0.35">
      <c r="A307" s="146" t="str">
        <f t="shared" si="265"/>
        <v>WACC_124</v>
      </c>
      <c r="B307" s="132" t="s">
        <v>23</v>
      </c>
      <c r="C307" s="135" t="s">
        <v>96</v>
      </c>
      <c r="D307" s="133" t="s">
        <v>81</v>
      </c>
      <c r="E307" s="60">
        <v>1.1116000000000001</v>
      </c>
      <c r="F307" s="168">
        <v>1.1116000000000001</v>
      </c>
      <c r="G307" s="168">
        <v>1.1116000000000001</v>
      </c>
      <c r="H307" s="168">
        <v>1.1116000000000001</v>
      </c>
      <c r="I307" s="168">
        <v>1.1116000000000001</v>
      </c>
      <c r="J307" s="168">
        <v>1.1116000000000001</v>
      </c>
      <c r="K307" s="168">
        <v>1.1116000000000001</v>
      </c>
      <c r="L307" s="168">
        <v>1.1116000000000001</v>
      </c>
      <c r="M307" s="168">
        <v>1.1116000000000001</v>
      </c>
      <c r="N307" s="168">
        <v>1.1116000000000001</v>
      </c>
      <c r="O307" s="168">
        <v>1.1116000000000001</v>
      </c>
      <c r="P307" s="168">
        <v>1.1116000000000001</v>
      </c>
      <c r="Q307" s="168">
        <v>1.1116000000000001</v>
      </c>
      <c r="R307" s="168">
        <v>1.1116000000000001</v>
      </c>
      <c r="S307" s="168">
        <v>1.1116000000000001</v>
      </c>
      <c r="T307" s="168">
        <v>1.1116000000000001</v>
      </c>
      <c r="U307" s="168">
        <v>1.1116000000000001</v>
      </c>
      <c r="V307" s="168">
        <v>1.1116000000000001</v>
      </c>
      <c r="W307" s="168">
        <v>1.1116000000000001</v>
      </c>
      <c r="X307" s="168">
        <v>1.1116000000000001</v>
      </c>
      <c r="Y307" s="168">
        <v>1.1116000000000001</v>
      </c>
      <c r="Z307" s="168">
        <v>1.1116000000000001</v>
      </c>
      <c r="AA307" s="168">
        <v>1.1116000000000001</v>
      </c>
      <c r="AB307" s="168">
        <v>1.1116000000000001</v>
      </c>
      <c r="AC307" s="168">
        <v>1.1116000000000001</v>
      </c>
      <c r="AD307" s="168">
        <v>1.1116000000000001</v>
      </c>
      <c r="AE307" s="168">
        <v>1.1116000000000001</v>
      </c>
      <c r="AF307" s="168">
        <v>1.1116000000000001</v>
      </c>
      <c r="AG307" s="168">
        <v>1.1116000000000001</v>
      </c>
      <c r="AH307" s="168">
        <v>1.1116000000000001</v>
      </c>
      <c r="AI307" s="168">
        <v>1.1116000000000001</v>
      </c>
      <c r="AJ307" s="168">
        <v>1.1116000000000001</v>
      </c>
      <c r="AK307" s="168">
        <v>1.1116000000000001</v>
      </c>
      <c r="AL307" s="168">
        <v>1.1116000000000001</v>
      </c>
      <c r="AM307" s="168">
        <v>1.1116000000000001</v>
      </c>
      <c r="AN307" s="168">
        <v>1.1116000000000001</v>
      </c>
      <c r="AO307" s="168">
        <v>1.1116000000000001</v>
      </c>
    </row>
    <row r="308" spans="1:41" x14ac:dyDescent="0.35">
      <c r="A308" s="146" t="str">
        <f t="shared" si="265"/>
        <v>WACC_124</v>
      </c>
      <c r="B308" s="134" t="s">
        <v>24</v>
      </c>
      <c r="C308" s="135" t="s">
        <v>96</v>
      </c>
      <c r="D308" s="135" t="s">
        <v>81</v>
      </c>
      <c r="E308" s="59">
        <v>1.1116000000000001</v>
      </c>
      <c r="F308" s="168">
        <v>1.1116000000000001</v>
      </c>
      <c r="G308" s="168">
        <v>1.1116000000000001</v>
      </c>
      <c r="H308" s="168">
        <v>1.1116000000000001</v>
      </c>
      <c r="I308" s="168">
        <v>1.1116000000000001</v>
      </c>
      <c r="J308" s="168">
        <v>1.1116000000000001</v>
      </c>
      <c r="K308" s="168">
        <v>1.1116000000000001</v>
      </c>
      <c r="L308" s="168">
        <v>1.1116000000000001</v>
      </c>
      <c r="M308" s="168">
        <v>1.1116000000000001</v>
      </c>
      <c r="N308" s="168">
        <v>1.1116000000000001</v>
      </c>
      <c r="O308" s="168">
        <v>1.1116000000000001</v>
      </c>
      <c r="P308" s="168">
        <v>1.1116000000000001</v>
      </c>
      <c r="Q308" s="168">
        <v>1.1116000000000001</v>
      </c>
      <c r="R308" s="168">
        <v>1.1116000000000001</v>
      </c>
      <c r="S308" s="168">
        <v>1.1116000000000001</v>
      </c>
      <c r="T308" s="168">
        <v>1.1116000000000001</v>
      </c>
      <c r="U308" s="168">
        <v>1.1116000000000001</v>
      </c>
      <c r="V308" s="168">
        <v>1.1116000000000001</v>
      </c>
      <c r="W308" s="168">
        <v>1.1116000000000001</v>
      </c>
      <c r="X308" s="168">
        <v>1.1116000000000001</v>
      </c>
      <c r="Y308" s="168">
        <v>1.1116000000000001</v>
      </c>
      <c r="Z308" s="168">
        <v>1.1116000000000001</v>
      </c>
      <c r="AA308" s="168">
        <v>1.1116000000000001</v>
      </c>
      <c r="AB308" s="168">
        <v>1.1116000000000001</v>
      </c>
      <c r="AC308" s="168">
        <v>1.1116000000000001</v>
      </c>
      <c r="AD308" s="168">
        <v>1.1116000000000001</v>
      </c>
      <c r="AE308" s="168">
        <v>1.1116000000000001</v>
      </c>
      <c r="AF308" s="168">
        <v>1.1116000000000001</v>
      </c>
      <c r="AG308" s="168">
        <v>1.1116000000000001</v>
      </c>
      <c r="AH308" s="168">
        <v>1.1116000000000001</v>
      </c>
      <c r="AI308" s="168">
        <v>1.1116000000000001</v>
      </c>
      <c r="AJ308" s="168">
        <v>1.1116000000000001</v>
      </c>
      <c r="AK308" s="168">
        <v>1.1116000000000001</v>
      </c>
      <c r="AL308" s="168">
        <v>1.1116000000000001</v>
      </c>
      <c r="AM308" s="168">
        <v>1.1116000000000001</v>
      </c>
      <c r="AN308" s="168">
        <v>1.1116000000000001</v>
      </c>
      <c r="AO308" s="168">
        <v>1.1116000000000001</v>
      </c>
    </row>
    <row r="309" spans="1:41" x14ac:dyDescent="0.35">
      <c r="A309" s="146" t="str">
        <f t="shared" si="265"/>
        <v>WACC_124</v>
      </c>
      <c r="B309" s="132" t="s">
        <v>17</v>
      </c>
      <c r="C309" s="135" t="s">
        <v>96</v>
      </c>
      <c r="D309" s="133" t="s">
        <v>81</v>
      </c>
      <c r="E309" s="60">
        <v>1.1116000000000001</v>
      </c>
      <c r="F309" s="168">
        <v>1.1116000000000001</v>
      </c>
      <c r="G309" s="168">
        <v>1.1116000000000001</v>
      </c>
      <c r="H309" s="168">
        <v>1.1116000000000001</v>
      </c>
      <c r="I309" s="168">
        <v>1.1116000000000001</v>
      </c>
      <c r="J309" s="168">
        <v>1.1116000000000001</v>
      </c>
      <c r="K309" s="168">
        <v>1.1116000000000001</v>
      </c>
      <c r="L309" s="168">
        <v>1.1116000000000001</v>
      </c>
      <c r="M309" s="168">
        <v>1.1116000000000001</v>
      </c>
      <c r="N309" s="168">
        <v>1.1116000000000001</v>
      </c>
      <c r="O309" s="168">
        <v>1.1116000000000001</v>
      </c>
      <c r="P309" s="168">
        <v>1.1116000000000001</v>
      </c>
      <c r="Q309" s="168">
        <v>1.1116000000000001</v>
      </c>
      <c r="R309" s="168">
        <v>1.1116000000000001</v>
      </c>
      <c r="S309" s="168">
        <v>1.1116000000000001</v>
      </c>
      <c r="T309" s="168">
        <v>1.1116000000000001</v>
      </c>
      <c r="U309" s="168">
        <v>1.1116000000000001</v>
      </c>
      <c r="V309" s="168">
        <v>1.1116000000000001</v>
      </c>
      <c r="W309" s="168">
        <v>1.1116000000000001</v>
      </c>
      <c r="X309" s="168">
        <v>1.1116000000000001</v>
      </c>
      <c r="Y309" s="168">
        <v>1.1116000000000001</v>
      </c>
      <c r="Z309" s="168">
        <v>1.1116000000000001</v>
      </c>
      <c r="AA309" s="168">
        <v>1.1116000000000001</v>
      </c>
      <c r="AB309" s="168">
        <v>1.1116000000000001</v>
      </c>
      <c r="AC309" s="168">
        <v>1.1116000000000001</v>
      </c>
      <c r="AD309" s="168">
        <v>1.1116000000000001</v>
      </c>
      <c r="AE309" s="168">
        <v>1.1116000000000001</v>
      </c>
      <c r="AF309" s="168">
        <v>1.1116000000000001</v>
      </c>
      <c r="AG309" s="168">
        <v>1.1116000000000001</v>
      </c>
      <c r="AH309" s="168">
        <v>1.1116000000000001</v>
      </c>
      <c r="AI309" s="168">
        <v>1.1116000000000001</v>
      </c>
      <c r="AJ309" s="168">
        <v>1.1116000000000001</v>
      </c>
      <c r="AK309" s="168">
        <v>1.1116000000000001</v>
      </c>
      <c r="AL309" s="168">
        <v>1.1116000000000001</v>
      </c>
      <c r="AM309" s="168">
        <v>1.1116000000000001</v>
      </c>
      <c r="AN309" s="168">
        <v>1.1116000000000001</v>
      </c>
      <c r="AO309" s="168">
        <v>1.1116000000000001</v>
      </c>
    </row>
    <row r="310" spans="1:41" x14ac:dyDescent="0.35">
      <c r="A310" s="146" t="str">
        <f t="shared" si="265"/>
        <v>WACC_124</v>
      </c>
      <c r="B310" s="134" t="s">
        <v>18</v>
      </c>
      <c r="C310" s="135" t="s">
        <v>96</v>
      </c>
      <c r="D310" s="135" t="s">
        <v>81</v>
      </c>
      <c r="E310" s="59">
        <v>1.1116000000000001</v>
      </c>
      <c r="F310" s="168">
        <v>1.1116000000000001</v>
      </c>
      <c r="G310" s="168">
        <v>1.1116000000000001</v>
      </c>
      <c r="H310" s="168">
        <v>1.1116000000000001</v>
      </c>
      <c r="I310" s="168">
        <v>1.1116000000000001</v>
      </c>
      <c r="J310" s="168">
        <v>1.1116000000000001</v>
      </c>
      <c r="K310" s="168">
        <v>1.1116000000000001</v>
      </c>
      <c r="L310" s="168">
        <v>1.1116000000000001</v>
      </c>
      <c r="M310" s="168">
        <v>1.1116000000000001</v>
      </c>
      <c r="N310" s="168">
        <v>1.1116000000000001</v>
      </c>
      <c r="O310" s="168">
        <v>1.1116000000000001</v>
      </c>
      <c r="P310" s="168">
        <v>1.1116000000000001</v>
      </c>
      <c r="Q310" s="168">
        <v>1.1116000000000001</v>
      </c>
      <c r="R310" s="168">
        <v>1.1116000000000001</v>
      </c>
      <c r="S310" s="168">
        <v>1.1116000000000001</v>
      </c>
      <c r="T310" s="168">
        <v>1.1116000000000001</v>
      </c>
      <c r="U310" s="168">
        <v>1.1116000000000001</v>
      </c>
      <c r="V310" s="168">
        <v>1.1116000000000001</v>
      </c>
      <c r="W310" s="168">
        <v>1.1116000000000001</v>
      </c>
      <c r="X310" s="168">
        <v>1.1116000000000001</v>
      </c>
      <c r="Y310" s="168">
        <v>1.1116000000000001</v>
      </c>
      <c r="Z310" s="168">
        <v>1.1116000000000001</v>
      </c>
      <c r="AA310" s="168">
        <v>1.1116000000000001</v>
      </c>
      <c r="AB310" s="168">
        <v>1.1116000000000001</v>
      </c>
      <c r="AC310" s="168">
        <v>1.1116000000000001</v>
      </c>
      <c r="AD310" s="168">
        <v>1.1116000000000001</v>
      </c>
      <c r="AE310" s="168">
        <v>1.1116000000000001</v>
      </c>
      <c r="AF310" s="168">
        <v>1.1116000000000001</v>
      </c>
      <c r="AG310" s="168">
        <v>1.1116000000000001</v>
      </c>
      <c r="AH310" s="168">
        <v>1.1116000000000001</v>
      </c>
      <c r="AI310" s="168">
        <v>1.1116000000000001</v>
      </c>
      <c r="AJ310" s="168">
        <v>1.1116000000000001</v>
      </c>
      <c r="AK310" s="168">
        <v>1.1116000000000001</v>
      </c>
      <c r="AL310" s="168">
        <v>1.1116000000000001</v>
      </c>
      <c r="AM310" s="168">
        <v>1.1116000000000001</v>
      </c>
      <c r="AN310" s="168">
        <v>1.1116000000000001</v>
      </c>
      <c r="AO310" s="168">
        <v>1.1116000000000001</v>
      </c>
    </row>
    <row r="311" spans="1:41" x14ac:dyDescent="0.35">
      <c r="A311" s="146" t="str">
        <f t="shared" si="265"/>
        <v>WACC_124</v>
      </c>
      <c r="B311" s="132" t="s">
        <v>19</v>
      </c>
      <c r="C311" s="135" t="s">
        <v>96</v>
      </c>
      <c r="D311" s="133" t="s">
        <v>81</v>
      </c>
      <c r="E311" s="60">
        <v>1.1116000000000001</v>
      </c>
      <c r="F311" s="168">
        <v>1.1116000000000001</v>
      </c>
      <c r="G311" s="168">
        <v>1.1116000000000001</v>
      </c>
      <c r="H311" s="168">
        <v>1.1116000000000001</v>
      </c>
      <c r="I311" s="168">
        <v>1.1116000000000001</v>
      </c>
      <c r="J311" s="168">
        <v>1.1116000000000001</v>
      </c>
      <c r="K311" s="168">
        <v>1.1116000000000001</v>
      </c>
      <c r="L311" s="168">
        <v>1.1116000000000001</v>
      </c>
      <c r="M311" s="168">
        <v>1.1116000000000001</v>
      </c>
      <c r="N311" s="168">
        <v>1.1116000000000001</v>
      </c>
      <c r="O311" s="168">
        <v>1.1116000000000001</v>
      </c>
      <c r="P311" s="168">
        <v>1.1116000000000001</v>
      </c>
      <c r="Q311" s="168">
        <v>1.1116000000000001</v>
      </c>
      <c r="R311" s="168">
        <v>1.1116000000000001</v>
      </c>
      <c r="S311" s="168">
        <v>1.1116000000000001</v>
      </c>
      <c r="T311" s="168">
        <v>1.1116000000000001</v>
      </c>
      <c r="U311" s="168">
        <v>1.1116000000000001</v>
      </c>
      <c r="V311" s="168">
        <v>1.1116000000000001</v>
      </c>
      <c r="W311" s="168">
        <v>1.1116000000000001</v>
      </c>
      <c r="X311" s="168">
        <v>1.1116000000000001</v>
      </c>
      <c r="Y311" s="168">
        <v>1.1116000000000001</v>
      </c>
      <c r="Z311" s="168">
        <v>1.1116000000000001</v>
      </c>
      <c r="AA311" s="168">
        <v>1.1116000000000001</v>
      </c>
      <c r="AB311" s="168">
        <v>1.1116000000000001</v>
      </c>
      <c r="AC311" s="168">
        <v>1.1116000000000001</v>
      </c>
      <c r="AD311" s="168">
        <v>1.1116000000000001</v>
      </c>
      <c r="AE311" s="168">
        <v>1.1116000000000001</v>
      </c>
      <c r="AF311" s="168">
        <v>1.1116000000000001</v>
      </c>
      <c r="AG311" s="168">
        <v>1.1116000000000001</v>
      </c>
      <c r="AH311" s="168">
        <v>1.1116000000000001</v>
      </c>
      <c r="AI311" s="168">
        <v>1.1116000000000001</v>
      </c>
      <c r="AJ311" s="168">
        <v>1.1116000000000001</v>
      </c>
      <c r="AK311" s="168">
        <v>1.1116000000000001</v>
      </c>
      <c r="AL311" s="168">
        <v>1.1116000000000001</v>
      </c>
      <c r="AM311" s="168">
        <v>1.1116000000000001</v>
      </c>
      <c r="AN311" s="168">
        <v>1.1116000000000001</v>
      </c>
      <c r="AO311" s="168">
        <v>1.1116000000000001</v>
      </c>
    </row>
    <row r="312" spans="1:41" x14ac:dyDescent="0.35">
      <c r="A312" s="146" t="str">
        <f t="shared" si="265"/>
        <v>WACC_124</v>
      </c>
      <c r="B312" s="134" t="s">
        <v>20</v>
      </c>
      <c r="C312" s="135" t="s">
        <v>96</v>
      </c>
      <c r="D312" s="135" t="s">
        <v>81</v>
      </c>
      <c r="E312" s="59">
        <v>1.1116000000000001</v>
      </c>
      <c r="F312" s="168">
        <v>1.1116000000000001</v>
      </c>
      <c r="G312" s="168">
        <v>1.1116000000000001</v>
      </c>
      <c r="H312" s="168">
        <v>1.1116000000000001</v>
      </c>
      <c r="I312" s="168">
        <v>1.1116000000000001</v>
      </c>
      <c r="J312" s="168">
        <v>1.1116000000000001</v>
      </c>
      <c r="K312" s="168">
        <v>1.1116000000000001</v>
      </c>
      <c r="L312" s="168">
        <v>1.1116000000000001</v>
      </c>
      <c r="M312" s="168">
        <v>1.1116000000000001</v>
      </c>
      <c r="N312" s="168">
        <v>1.1116000000000001</v>
      </c>
      <c r="O312" s="168">
        <v>1.1116000000000001</v>
      </c>
      <c r="P312" s="168">
        <v>1.1116000000000001</v>
      </c>
      <c r="Q312" s="168">
        <v>1.1116000000000001</v>
      </c>
      <c r="R312" s="168">
        <v>1.1116000000000001</v>
      </c>
      <c r="S312" s="168">
        <v>1.1116000000000001</v>
      </c>
      <c r="T312" s="168">
        <v>1.1116000000000001</v>
      </c>
      <c r="U312" s="168">
        <v>1.1116000000000001</v>
      </c>
      <c r="V312" s="168">
        <v>1.1116000000000001</v>
      </c>
      <c r="W312" s="168">
        <v>1.1116000000000001</v>
      </c>
      <c r="X312" s="168">
        <v>1.1116000000000001</v>
      </c>
      <c r="Y312" s="168">
        <v>1.1116000000000001</v>
      </c>
      <c r="Z312" s="168">
        <v>1.1116000000000001</v>
      </c>
      <c r="AA312" s="168">
        <v>1.1116000000000001</v>
      </c>
      <c r="AB312" s="168">
        <v>1.1116000000000001</v>
      </c>
      <c r="AC312" s="168">
        <v>1.1116000000000001</v>
      </c>
      <c r="AD312" s="168">
        <v>1.1116000000000001</v>
      </c>
      <c r="AE312" s="168">
        <v>1.1116000000000001</v>
      </c>
      <c r="AF312" s="168">
        <v>1.1116000000000001</v>
      </c>
      <c r="AG312" s="168">
        <v>1.1116000000000001</v>
      </c>
      <c r="AH312" s="168">
        <v>1.1116000000000001</v>
      </c>
      <c r="AI312" s="168">
        <v>1.1116000000000001</v>
      </c>
      <c r="AJ312" s="168">
        <v>1.1116000000000001</v>
      </c>
      <c r="AK312" s="168">
        <v>1.1116000000000001</v>
      </c>
      <c r="AL312" s="168">
        <v>1.1116000000000001</v>
      </c>
      <c r="AM312" s="168">
        <v>1.1116000000000001</v>
      </c>
      <c r="AN312" s="168">
        <v>1.1116000000000001</v>
      </c>
      <c r="AO312" s="168">
        <v>1.1116000000000001</v>
      </c>
    </row>
    <row r="313" spans="1:41" x14ac:dyDescent="0.35">
      <c r="A313" s="146" t="str">
        <f t="shared" si="265"/>
        <v>WACC_124</v>
      </c>
      <c r="B313" s="132" t="s">
        <v>21</v>
      </c>
      <c r="C313" s="135" t="s">
        <v>96</v>
      </c>
      <c r="D313" s="133" t="s">
        <v>81</v>
      </c>
      <c r="E313" s="60">
        <v>1.1116000000000001</v>
      </c>
      <c r="F313" s="168">
        <v>1.1116000000000001</v>
      </c>
      <c r="G313" s="168">
        <v>1.1116000000000001</v>
      </c>
      <c r="H313" s="168">
        <v>1.1116000000000001</v>
      </c>
      <c r="I313" s="168">
        <v>1.1116000000000001</v>
      </c>
      <c r="J313" s="168">
        <v>1.1116000000000001</v>
      </c>
      <c r="K313" s="168">
        <v>1.1116000000000001</v>
      </c>
      <c r="L313" s="168">
        <v>1.1116000000000001</v>
      </c>
      <c r="M313" s="168">
        <v>1.1116000000000001</v>
      </c>
      <c r="N313" s="168">
        <v>1.1116000000000001</v>
      </c>
      <c r="O313" s="168">
        <v>1.1116000000000001</v>
      </c>
      <c r="P313" s="168">
        <v>1.1116000000000001</v>
      </c>
      <c r="Q313" s="168">
        <v>1.1116000000000001</v>
      </c>
      <c r="R313" s="168">
        <v>1.1116000000000001</v>
      </c>
      <c r="S313" s="168">
        <v>1.1116000000000001</v>
      </c>
      <c r="T313" s="168">
        <v>1.1116000000000001</v>
      </c>
      <c r="U313" s="168">
        <v>1.1116000000000001</v>
      </c>
      <c r="V313" s="168">
        <v>1.1116000000000001</v>
      </c>
      <c r="W313" s="168">
        <v>1.1116000000000001</v>
      </c>
      <c r="X313" s="168">
        <v>1.1116000000000001</v>
      </c>
      <c r="Y313" s="168">
        <v>1.1116000000000001</v>
      </c>
      <c r="Z313" s="168">
        <v>1.1116000000000001</v>
      </c>
      <c r="AA313" s="168">
        <v>1.1116000000000001</v>
      </c>
      <c r="AB313" s="168">
        <v>1.1116000000000001</v>
      </c>
      <c r="AC313" s="168">
        <v>1.1116000000000001</v>
      </c>
      <c r="AD313" s="168">
        <v>1.1116000000000001</v>
      </c>
      <c r="AE313" s="168">
        <v>1.1116000000000001</v>
      </c>
      <c r="AF313" s="168">
        <v>1.1116000000000001</v>
      </c>
      <c r="AG313" s="168">
        <v>1.1116000000000001</v>
      </c>
      <c r="AH313" s="168">
        <v>1.1116000000000001</v>
      </c>
      <c r="AI313" s="168">
        <v>1.1116000000000001</v>
      </c>
      <c r="AJ313" s="168">
        <v>1.1116000000000001</v>
      </c>
      <c r="AK313" s="168">
        <v>1.1116000000000001</v>
      </c>
      <c r="AL313" s="168">
        <v>1.1116000000000001</v>
      </c>
      <c r="AM313" s="168">
        <v>1.1116000000000001</v>
      </c>
      <c r="AN313" s="168">
        <v>1.1116000000000001</v>
      </c>
      <c r="AO313" s="168">
        <v>1.1116000000000001</v>
      </c>
    </row>
    <row r="314" spans="1:41" x14ac:dyDescent="0.35">
      <c r="A314" s="146" t="str">
        <f t="shared" si="265"/>
        <v>WACC_124</v>
      </c>
      <c r="B314" s="134" t="s">
        <v>22</v>
      </c>
      <c r="C314" s="135" t="s">
        <v>96</v>
      </c>
      <c r="D314" s="135" t="s">
        <v>81</v>
      </c>
      <c r="E314" s="59">
        <v>1.1116000000000001</v>
      </c>
      <c r="F314" s="168">
        <v>1.1116000000000001</v>
      </c>
      <c r="G314" s="168">
        <v>1.1116000000000001</v>
      </c>
      <c r="H314" s="168">
        <v>1.1116000000000001</v>
      </c>
      <c r="I314" s="168">
        <v>1.1116000000000001</v>
      </c>
      <c r="J314" s="168">
        <v>1.1116000000000001</v>
      </c>
      <c r="K314" s="168">
        <v>1.1116000000000001</v>
      </c>
      <c r="L314" s="168">
        <v>1.1116000000000001</v>
      </c>
      <c r="M314" s="168">
        <v>1.1116000000000001</v>
      </c>
      <c r="N314" s="168">
        <v>1.1116000000000001</v>
      </c>
      <c r="O314" s="168">
        <v>1.1116000000000001</v>
      </c>
      <c r="P314" s="168">
        <v>1.1116000000000001</v>
      </c>
      <c r="Q314" s="168">
        <v>1.1116000000000001</v>
      </c>
      <c r="R314" s="168">
        <v>1.1116000000000001</v>
      </c>
      <c r="S314" s="168">
        <v>1.1116000000000001</v>
      </c>
      <c r="T314" s="168">
        <v>1.1116000000000001</v>
      </c>
      <c r="U314" s="168">
        <v>1.1116000000000001</v>
      </c>
      <c r="V314" s="168">
        <v>1.1116000000000001</v>
      </c>
      <c r="W314" s="168">
        <v>1.1116000000000001</v>
      </c>
      <c r="X314" s="168">
        <v>1.1116000000000001</v>
      </c>
      <c r="Y314" s="168">
        <v>1.1116000000000001</v>
      </c>
      <c r="Z314" s="168">
        <v>1.1116000000000001</v>
      </c>
      <c r="AA314" s="168">
        <v>1.1116000000000001</v>
      </c>
      <c r="AB314" s="168">
        <v>1.1116000000000001</v>
      </c>
      <c r="AC314" s="168">
        <v>1.1116000000000001</v>
      </c>
      <c r="AD314" s="168">
        <v>1.1116000000000001</v>
      </c>
      <c r="AE314" s="168">
        <v>1.1116000000000001</v>
      </c>
      <c r="AF314" s="168">
        <v>1.1116000000000001</v>
      </c>
      <c r="AG314" s="168">
        <v>1.1116000000000001</v>
      </c>
      <c r="AH314" s="168">
        <v>1.1116000000000001</v>
      </c>
      <c r="AI314" s="168">
        <v>1.1116000000000001</v>
      </c>
      <c r="AJ314" s="168">
        <v>1.1116000000000001</v>
      </c>
      <c r="AK314" s="168">
        <v>1.1116000000000001</v>
      </c>
      <c r="AL314" s="168">
        <v>1.1116000000000001</v>
      </c>
      <c r="AM314" s="168">
        <v>1.1116000000000001</v>
      </c>
      <c r="AN314" s="168">
        <v>1.1116000000000001</v>
      </c>
      <c r="AO314" s="168">
        <v>1.1116000000000001</v>
      </c>
    </row>
    <row r="315" spans="1:41" x14ac:dyDescent="0.35">
      <c r="A315" s="146" t="str">
        <f t="shared" si="265"/>
        <v>WACC_124</v>
      </c>
      <c r="B315" s="134" t="s">
        <v>117</v>
      </c>
      <c r="C315" s="135" t="s">
        <v>96</v>
      </c>
      <c r="D315" s="135" t="s">
        <v>81</v>
      </c>
      <c r="E315" s="59">
        <v>1.1116000000000001</v>
      </c>
      <c r="F315" s="168">
        <v>1.1116000000000001</v>
      </c>
      <c r="G315" s="168">
        <v>1.1116000000000001</v>
      </c>
      <c r="H315" s="168">
        <v>1.1116000000000001</v>
      </c>
      <c r="I315" s="168">
        <v>1.1116000000000001</v>
      </c>
      <c r="J315" s="168">
        <v>1.1116000000000001</v>
      </c>
      <c r="K315" s="168">
        <v>1.1116000000000001</v>
      </c>
      <c r="L315" s="168">
        <v>1.1116000000000001</v>
      </c>
      <c r="M315" s="168">
        <v>1.1116000000000001</v>
      </c>
      <c r="N315" s="168">
        <v>1.1116000000000001</v>
      </c>
      <c r="O315" s="168">
        <v>1.1116000000000001</v>
      </c>
      <c r="P315" s="168">
        <v>1.1116000000000001</v>
      </c>
      <c r="Q315" s="168">
        <v>1.1116000000000001</v>
      </c>
      <c r="R315" s="168">
        <v>1.1116000000000001</v>
      </c>
      <c r="S315" s="168">
        <v>1.1116000000000001</v>
      </c>
      <c r="T315" s="168">
        <v>1.1116000000000001</v>
      </c>
      <c r="U315" s="168">
        <v>1.1116000000000001</v>
      </c>
      <c r="V315" s="168">
        <v>1.1116000000000001</v>
      </c>
      <c r="W315" s="168">
        <v>1.1116000000000001</v>
      </c>
      <c r="X315" s="168">
        <v>1.1116000000000001</v>
      </c>
      <c r="Y315" s="168">
        <v>1.1116000000000001</v>
      </c>
      <c r="Z315" s="168">
        <v>1.1116000000000001</v>
      </c>
      <c r="AA315" s="168">
        <v>1.1116000000000001</v>
      </c>
      <c r="AB315" s="168">
        <v>1.1116000000000001</v>
      </c>
      <c r="AC315" s="168">
        <v>1.1116000000000001</v>
      </c>
      <c r="AD315" s="168">
        <v>1.1116000000000001</v>
      </c>
      <c r="AE315" s="168">
        <v>1.1116000000000001</v>
      </c>
      <c r="AF315" s="168">
        <v>1.1116000000000001</v>
      </c>
      <c r="AG315" s="168">
        <v>1.1116000000000001</v>
      </c>
      <c r="AH315" s="168">
        <v>1.1116000000000001</v>
      </c>
      <c r="AI315" s="168">
        <v>1.1116000000000001</v>
      </c>
      <c r="AJ315" s="168">
        <v>1.1116000000000001</v>
      </c>
      <c r="AK315" s="168">
        <v>1.1116000000000001</v>
      </c>
      <c r="AL315" s="168">
        <v>1.1116000000000001</v>
      </c>
      <c r="AM315" s="168">
        <v>1.1116000000000001</v>
      </c>
      <c r="AN315" s="168">
        <v>1.1116000000000001</v>
      </c>
      <c r="AO315" s="168">
        <v>1.1116000000000001</v>
      </c>
    </row>
    <row r="316" spans="1:41" x14ac:dyDescent="0.35">
      <c r="A316" s="146" t="str">
        <f>A314</f>
        <v>WACC_124</v>
      </c>
      <c r="B316" s="132" t="s">
        <v>12</v>
      </c>
      <c r="C316" s="135" t="s">
        <v>96</v>
      </c>
      <c r="D316" s="133" t="s">
        <v>81</v>
      </c>
      <c r="E316" s="60">
        <v>1.0465705312</v>
      </c>
      <c r="F316" s="168">
        <v>1.0465705312</v>
      </c>
      <c r="G316" s="168">
        <v>1.0465705312</v>
      </c>
      <c r="H316" s="168">
        <v>1.0465705312</v>
      </c>
      <c r="I316" s="168">
        <v>1.0465705312</v>
      </c>
      <c r="J316" s="168">
        <v>1.0465705312</v>
      </c>
      <c r="K316" s="168">
        <v>1.0465705312</v>
      </c>
      <c r="L316" s="168">
        <v>1.0465705312</v>
      </c>
      <c r="M316" s="168">
        <v>1.0465705312</v>
      </c>
      <c r="N316" s="168">
        <v>1.0465705312</v>
      </c>
      <c r="O316" s="168">
        <v>1.0465705312</v>
      </c>
      <c r="P316" s="168">
        <v>1.0465705312</v>
      </c>
      <c r="Q316" s="168">
        <v>1.0465705312</v>
      </c>
      <c r="R316" s="168">
        <v>1.0465705312</v>
      </c>
      <c r="S316" s="168">
        <v>1.0465705312</v>
      </c>
      <c r="T316" s="168">
        <v>1.0465705312</v>
      </c>
      <c r="U316" s="168">
        <v>1.0465705312</v>
      </c>
      <c r="V316" s="168">
        <v>1.0465705312</v>
      </c>
      <c r="W316" s="168">
        <v>1.0465705312</v>
      </c>
      <c r="X316" s="168">
        <v>1.0465705312</v>
      </c>
      <c r="Y316" s="168">
        <v>1.0465705312</v>
      </c>
      <c r="Z316" s="168">
        <v>1.0465705312</v>
      </c>
      <c r="AA316" s="168">
        <v>1.0465705312</v>
      </c>
      <c r="AB316" s="168">
        <v>1.0465705312</v>
      </c>
      <c r="AC316" s="168">
        <v>1.0465705312</v>
      </c>
      <c r="AD316" s="168">
        <v>1.0465705312</v>
      </c>
      <c r="AE316" s="168">
        <v>1.0465705312</v>
      </c>
      <c r="AF316" s="168">
        <v>1.0465705312</v>
      </c>
      <c r="AG316" s="168">
        <v>1.0465705312</v>
      </c>
      <c r="AH316" s="168">
        <v>1.0465705312</v>
      </c>
      <c r="AI316" s="168">
        <v>1.0465705312</v>
      </c>
      <c r="AJ316" s="168">
        <v>1.0465705312</v>
      </c>
      <c r="AK316" s="168">
        <v>1.0465705312</v>
      </c>
      <c r="AL316" s="168">
        <v>1.0465705312</v>
      </c>
      <c r="AM316" s="168">
        <v>1.0465705312</v>
      </c>
      <c r="AN316" s="168">
        <v>1.0465705312</v>
      </c>
      <c r="AO316" s="168">
        <v>1.0465705312</v>
      </c>
    </row>
    <row r="317" spans="1:41" x14ac:dyDescent="0.35">
      <c r="A317" s="146" t="str">
        <f t="shared" si="265"/>
        <v>WACC_124</v>
      </c>
      <c r="B317" s="134" t="s">
        <v>13</v>
      </c>
      <c r="C317" s="135" t="s">
        <v>96</v>
      </c>
      <c r="D317" s="135" t="s">
        <v>81</v>
      </c>
      <c r="E317" s="59">
        <v>1.0465705312</v>
      </c>
      <c r="F317" s="168">
        <v>1.0465705312</v>
      </c>
      <c r="G317" s="168">
        <v>1.0465705312</v>
      </c>
      <c r="H317" s="168">
        <v>1.0465705312</v>
      </c>
      <c r="I317" s="168">
        <v>1.0465705312</v>
      </c>
      <c r="J317" s="168">
        <v>1.0465705312</v>
      </c>
      <c r="K317" s="168">
        <v>1.0465705312</v>
      </c>
      <c r="L317" s="168">
        <v>1.0465705312</v>
      </c>
      <c r="M317" s="168">
        <v>1.0465705312</v>
      </c>
      <c r="N317" s="168">
        <v>1.0465705312</v>
      </c>
      <c r="O317" s="168">
        <v>1.0465705312</v>
      </c>
      <c r="P317" s="168">
        <v>1.0465705312</v>
      </c>
      <c r="Q317" s="168">
        <v>1.0465705312</v>
      </c>
      <c r="R317" s="168">
        <v>1.0465705312</v>
      </c>
      <c r="S317" s="168">
        <v>1.0465705312</v>
      </c>
      <c r="T317" s="168">
        <v>1.0465705312</v>
      </c>
      <c r="U317" s="168">
        <v>1.0465705312</v>
      </c>
      <c r="V317" s="168">
        <v>1.0465705312</v>
      </c>
      <c r="W317" s="168">
        <v>1.0465705312</v>
      </c>
      <c r="X317" s="168">
        <v>1.0465705312</v>
      </c>
      <c r="Y317" s="168">
        <v>1.0465705312</v>
      </c>
      <c r="Z317" s="168">
        <v>1.0465705312</v>
      </c>
      <c r="AA317" s="168">
        <v>1.0465705312</v>
      </c>
      <c r="AB317" s="168">
        <v>1.0465705312</v>
      </c>
      <c r="AC317" s="168">
        <v>1.0465705312</v>
      </c>
      <c r="AD317" s="168">
        <v>1.0465705312</v>
      </c>
      <c r="AE317" s="168">
        <v>1.0465705312</v>
      </c>
      <c r="AF317" s="168">
        <v>1.0465705312</v>
      </c>
      <c r="AG317" s="168">
        <v>1.0465705312</v>
      </c>
      <c r="AH317" s="168">
        <v>1.0465705312</v>
      </c>
      <c r="AI317" s="168">
        <v>1.0465705312</v>
      </c>
      <c r="AJ317" s="168">
        <v>1.0465705312</v>
      </c>
      <c r="AK317" s="168">
        <v>1.0465705312</v>
      </c>
      <c r="AL317" s="168">
        <v>1.0465705312</v>
      </c>
      <c r="AM317" s="168">
        <v>1.0465705312</v>
      </c>
      <c r="AN317" s="168">
        <v>1.0465705312</v>
      </c>
      <c r="AO317" s="168">
        <v>1.0465705312</v>
      </c>
    </row>
    <row r="318" spans="1:41" x14ac:dyDescent="0.35">
      <c r="A318" s="146" t="str">
        <f t="shared" si="265"/>
        <v>WACC_124</v>
      </c>
      <c r="B318" s="132" t="s">
        <v>14</v>
      </c>
      <c r="C318" s="135" t="s">
        <v>96</v>
      </c>
      <c r="D318" s="133" t="s">
        <v>81</v>
      </c>
      <c r="E318" s="60">
        <v>1.0465705312</v>
      </c>
      <c r="F318" s="168">
        <v>1.0465705312</v>
      </c>
      <c r="G318" s="168">
        <v>1.0465705312</v>
      </c>
      <c r="H318" s="168">
        <v>1.0465705312</v>
      </c>
      <c r="I318" s="168">
        <v>1.0465705312</v>
      </c>
      <c r="J318" s="168">
        <v>1.0465705312</v>
      </c>
      <c r="K318" s="168">
        <v>1.0465705312</v>
      </c>
      <c r="L318" s="168">
        <v>1.0465705312</v>
      </c>
      <c r="M318" s="168">
        <v>1.0465705312</v>
      </c>
      <c r="N318" s="168">
        <v>1.0465705312</v>
      </c>
      <c r="O318" s="168">
        <v>1.0465705312</v>
      </c>
      <c r="P318" s="168">
        <v>1.0465705312</v>
      </c>
      <c r="Q318" s="168">
        <v>1.0465705312</v>
      </c>
      <c r="R318" s="168">
        <v>1.0465705312</v>
      </c>
      <c r="S318" s="168">
        <v>1.0465705312</v>
      </c>
      <c r="T318" s="168">
        <v>1.0465705312</v>
      </c>
      <c r="U318" s="168">
        <v>1.0465705312</v>
      </c>
      <c r="V318" s="168">
        <v>1.0465705312</v>
      </c>
      <c r="W318" s="168">
        <v>1.0465705312</v>
      </c>
      <c r="X318" s="168">
        <v>1.0465705312</v>
      </c>
      <c r="Y318" s="168">
        <v>1.0465705312</v>
      </c>
      <c r="Z318" s="168">
        <v>1.0465705312</v>
      </c>
      <c r="AA318" s="168">
        <v>1.0465705312</v>
      </c>
      <c r="AB318" s="168">
        <v>1.0465705312</v>
      </c>
      <c r="AC318" s="168">
        <v>1.0465705312</v>
      </c>
      <c r="AD318" s="168">
        <v>1.0465705312</v>
      </c>
      <c r="AE318" s="168">
        <v>1.0465705312</v>
      </c>
      <c r="AF318" s="168">
        <v>1.0465705312</v>
      </c>
      <c r="AG318" s="168">
        <v>1.0465705312</v>
      </c>
      <c r="AH318" s="168">
        <v>1.0465705312</v>
      </c>
      <c r="AI318" s="168">
        <v>1.0465705312</v>
      </c>
      <c r="AJ318" s="168">
        <v>1.0465705312</v>
      </c>
      <c r="AK318" s="168">
        <v>1.0465705312</v>
      </c>
      <c r="AL318" s="168">
        <v>1.0465705312</v>
      </c>
      <c r="AM318" s="168">
        <v>1.0465705312</v>
      </c>
      <c r="AN318" s="168">
        <v>1.0465705312</v>
      </c>
      <c r="AO318" s="168">
        <v>1.0465705312</v>
      </c>
    </row>
    <row r="319" spans="1:41" x14ac:dyDescent="0.35">
      <c r="A319" s="146" t="str">
        <f t="shared" si="265"/>
        <v>WACC_124</v>
      </c>
      <c r="B319" s="134" t="s">
        <v>10</v>
      </c>
      <c r="C319" s="135" t="s">
        <v>96</v>
      </c>
      <c r="D319" s="135" t="s">
        <v>81</v>
      </c>
      <c r="E319" s="59">
        <v>1.0124</v>
      </c>
      <c r="F319" s="168">
        <v>1.0124</v>
      </c>
      <c r="G319" s="168">
        <v>1.0124</v>
      </c>
      <c r="H319" s="168">
        <v>1.0124</v>
      </c>
      <c r="I319" s="168">
        <v>1.0124</v>
      </c>
      <c r="J319" s="168">
        <v>1.0124</v>
      </c>
      <c r="K319" s="168">
        <v>1.0124</v>
      </c>
      <c r="L319" s="168">
        <v>1.0124</v>
      </c>
      <c r="M319" s="168">
        <v>1.0124</v>
      </c>
      <c r="N319" s="168">
        <v>1.0124</v>
      </c>
      <c r="O319" s="168">
        <v>1.0124</v>
      </c>
      <c r="P319" s="168">
        <v>1.0124</v>
      </c>
      <c r="Q319" s="168">
        <v>1.0124</v>
      </c>
      <c r="R319" s="168">
        <v>1.0124</v>
      </c>
      <c r="S319" s="168">
        <v>1.0124</v>
      </c>
      <c r="T319" s="168">
        <v>1.0124</v>
      </c>
      <c r="U319" s="168">
        <v>1.0124</v>
      </c>
      <c r="V319" s="168">
        <v>1.0124</v>
      </c>
      <c r="W319" s="168">
        <v>1.0124</v>
      </c>
      <c r="X319" s="168">
        <v>1.0124</v>
      </c>
      <c r="Y319" s="168">
        <v>1.0124</v>
      </c>
      <c r="Z319" s="168">
        <v>1.0124</v>
      </c>
      <c r="AA319" s="168">
        <v>1.0124</v>
      </c>
      <c r="AB319" s="168">
        <v>1.0124</v>
      </c>
      <c r="AC319" s="168">
        <v>1.0124</v>
      </c>
      <c r="AD319" s="168">
        <v>1.0124</v>
      </c>
      <c r="AE319" s="168">
        <v>1.0124</v>
      </c>
      <c r="AF319" s="168">
        <v>1.0124</v>
      </c>
      <c r="AG319" s="168">
        <v>1.0124</v>
      </c>
      <c r="AH319" s="168">
        <v>1.0124</v>
      </c>
      <c r="AI319" s="168">
        <v>1.0124</v>
      </c>
      <c r="AJ319" s="168">
        <v>1.0124</v>
      </c>
      <c r="AK319" s="168">
        <v>1.0124</v>
      </c>
      <c r="AL319" s="168">
        <v>1.0124</v>
      </c>
      <c r="AM319" s="168">
        <v>1.0124</v>
      </c>
      <c r="AN319" s="168">
        <v>1.0124</v>
      </c>
      <c r="AO319" s="168">
        <v>1.0124</v>
      </c>
    </row>
    <row r="320" spans="1:41" x14ac:dyDescent="0.35">
      <c r="A320" s="146" t="str">
        <f t="shared" si="265"/>
        <v>WACC_124</v>
      </c>
      <c r="B320" s="132" t="s">
        <v>11</v>
      </c>
      <c r="C320" s="135" t="s">
        <v>96</v>
      </c>
      <c r="D320" s="133" t="s">
        <v>81</v>
      </c>
      <c r="E320" s="60">
        <v>1.0124</v>
      </c>
      <c r="F320" s="168">
        <v>1.0124</v>
      </c>
      <c r="G320" s="168">
        <v>1.0124</v>
      </c>
      <c r="H320" s="168">
        <v>1.0124</v>
      </c>
      <c r="I320" s="168">
        <v>1.0124</v>
      </c>
      <c r="J320" s="168">
        <v>1.0124</v>
      </c>
      <c r="K320" s="168">
        <v>1.0124</v>
      </c>
      <c r="L320" s="168">
        <v>1.0124</v>
      </c>
      <c r="M320" s="168">
        <v>1.0124</v>
      </c>
      <c r="N320" s="168">
        <v>1.0124</v>
      </c>
      <c r="O320" s="168">
        <v>1.0124</v>
      </c>
      <c r="P320" s="168">
        <v>1.0124</v>
      </c>
      <c r="Q320" s="168">
        <v>1.0124</v>
      </c>
      <c r="R320" s="168">
        <v>1.0124</v>
      </c>
      <c r="S320" s="168">
        <v>1.0124</v>
      </c>
      <c r="T320" s="168">
        <v>1.0124</v>
      </c>
      <c r="U320" s="168">
        <v>1.0124</v>
      </c>
      <c r="V320" s="168">
        <v>1.0124</v>
      </c>
      <c r="W320" s="168">
        <v>1.0124</v>
      </c>
      <c r="X320" s="168">
        <v>1.0124</v>
      </c>
      <c r="Y320" s="168">
        <v>1.0124</v>
      </c>
      <c r="Z320" s="168">
        <v>1.0124</v>
      </c>
      <c r="AA320" s="168">
        <v>1.0124</v>
      </c>
      <c r="AB320" s="168">
        <v>1.0124</v>
      </c>
      <c r="AC320" s="168">
        <v>1.0124</v>
      </c>
      <c r="AD320" s="168">
        <v>1.0124</v>
      </c>
      <c r="AE320" s="168">
        <v>1.0124</v>
      </c>
      <c r="AF320" s="168">
        <v>1.0124</v>
      </c>
      <c r="AG320" s="168">
        <v>1.0124</v>
      </c>
      <c r="AH320" s="168">
        <v>1.0124</v>
      </c>
      <c r="AI320" s="168">
        <v>1.0124</v>
      </c>
      <c r="AJ320" s="168">
        <v>1.0124</v>
      </c>
      <c r="AK320" s="168">
        <v>1.0124</v>
      </c>
      <c r="AL320" s="168">
        <v>1.0124</v>
      </c>
      <c r="AM320" s="168">
        <v>1.0124</v>
      </c>
      <c r="AN320" s="168">
        <v>1.0124</v>
      </c>
      <c r="AO320" s="168">
        <v>1.0124</v>
      </c>
    </row>
    <row r="321" spans="1:41" x14ac:dyDescent="0.35">
      <c r="A321" s="146" t="str">
        <f t="shared" si="265"/>
        <v>WACC_124</v>
      </c>
      <c r="B321" s="134" t="s">
        <v>8</v>
      </c>
      <c r="C321" s="135" t="s">
        <v>96</v>
      </c>
      <c r="D321" s="135" t="s">
        <v>81</v>
      </c>
      <c r="E321" s="59">
        <v>1.0124</v>
      </c>
      <c r="F321" s="168">
        <v>1.0124</v>
      </c>
      <c r="G321" s="168">
        <v>1.0124</v>
      </c>
      <c r="H321" s="168">
        <v>1.0124</v>
      </c>
      <c r="I321" s="168">
        <v>1.0124</v>
      </c>
      <c r="J321" s="168">
        <v>1.0124</v>
      </c>
      <c r="K321" s="168">
        <v>1.0124</v>
      </c>
      <c r="L321" s="168">
        <v>1.0124</v>
      </c>
      <c r="M321" s="168">
        <v>1.0124</v>
      </c>
      <c r="N321" s="168">
        <v>1.0124</v>
      </c>
      <c r="O321" s="168">
        <v>1.0124</v>
      </c>
      <c r="P321" s="168">
        <v>1.0124</v>
      </c>
      <c r="Q321" s="168">
        <v>1.0124</v>
      </c>
      <c r="R321" s="168">
        <v>1.0124</v>
      </c>
      <c r="S321" s="168">
        <v>1.0124</v>
      </c>
      <c r="T321" s="168">
        <v>1.0124</v>
      </c>
      <c r="U321" s="168">
        <v>1.0124</v>
      </c>
      <c r="V321" s="168">
        <v>1.0124</v>
      </c>
      <c r="W321" s="168">
        <v>1.0124</v>
      </c>
      <c r="X321" s="168">
        <v>1.0124</v>
      </c>
      <c r="Y321" s="168">
        <v>1.0124</v>
      </c>
      <c r="Z321" s="168">
        <v>1.0124</v>
      </c>
      <c r="AA321" s="168">
        <v>1.0124</v>
      </c>
      <c r="AB321" s="168">
        <v>1.0124</v>
      </c>
      <c r="AC321" s="168">
        <v>1.0124</v>
      </c>
      <c r="AD321" s="168">
        <v>1.0124</v>
      </c>
      <c r="AE321" s="168">
        <v>1.0124</v>
      </c>
      <c r="AF321" s="168">
        <v>1.0124</v>
      </c>
      <c r="AG321" s="168">
        <v>1.0124</v>
      </c>
      <c r="AH321" s="168">
        <v>1.0124</v>
      </c>
      <c r="AI321" s="168">
        <v>1.0124</v>
      </c>
      <c r="AJ321" s="168">
        <v>1.0124</v>
      </c>
      <c r="AK321" s="168">
        <v>1.0124</v>
      </c>
      <c r="AL321" s="168">
        <v>1.0124</v>
      </c>
      <c r="AM321" s="168">
        <v>1.0124</v>
      </c>
      <c r="AN321" s="168">
        <v>1.0124</v>
      </c>
      <c r="AO321" s="168">
        <v>1.0124</v>
      </c>
    </row>
    <row r="322" spans="1:41" x14ac:dyDescent="0.35">
      <c r="A322" s="146" t="str">
        <f t="shared" si="265"/>
        <v>WACC_124</v>
      </c>
      <c r="B322" s="132" t="s">
        <v>28</v>
      </c>
      <c r="C322" s="135" t="s">
        <v>96</v>
      </c>
      <c r="D322" s="133" t="s">
        <v>81</v>
      </c>
      <c r="E322" s="60">
        <v>1.3957316376601017</v>
      </c>
      <c r="F322" s="168">
        <v>1.3957316376601017</v>
      </c>
      <c r="G322" s="168">
        <v>1.3957316376601017</v>
      </c>
      <c r="H322" s="168">
        <v>1.3957316376601017</v>
      </c>
      <c r="I322" s="168">
        <v>1.3957316376601017</v>
      </c>
      <c r="J322" s="168">
        <v>1.3957316376601017</v>
      </c>
      <c r="K322" s="168">
        <v>1.3957316376601017</v>
      </c>
      <c r="L322" s="168">
        <v>1.3957316376601017</v>
      </c>
      <c r="M322" s="168">
        <v>1.3957316376601017</v>
      </c>
      <c r="N322" s="168">
        <v>1.3957316376601017</v>
      </c>
      <c r="O322" s="168">
        <v>1.3957316376601017</v>
      </c>
      <c r="P322" s="168">
        <v>1.3957316376601017</v>
      </c>
      <c r="Q322" s="168">
        <v>1.3957316376601017</v>
      </c>
      <c r="R322" s="168">
        <v>1.3957316376601017</v>
      </c>
      <c r="S322" s="168">
        <v>1.3957316376601017</v>
      </c>
      <c r="T322" s="168">
        <v>1.3957316376601017</v>
      </c>
      <c r="U322" s="168">
        <v>1.3957316376601017</v>
      </c>
      <c r="V322" s="168">
        <v>1.3957316376601017</v>
      </c>
      <c r="W322" s="168">
        <v>1.3957316376601017</v>
      </c>
      <c r="X322" s="168">
        <v>1.3957316376601017</v>
      </c>
      <c r="Y322" s="168">
        <v>1.3957316376601017</v>
      </c>
      <c r="Z322" s="168">
        <v>1.3957316376601017</v>
      </c>
      <c r="AA322" s="168">
        <v>1.3957316376601017</v>
      </c>
      <c r="AB322" s="168">
        <v>1.3957316376601017</v>
      </c>
      <c r="AC322" s="168">
        <v>1.3957316376601017</v>
      </c>
      <c r="AD322" s="168">
        <v>1.3957316376601017</v>
      </c>
      <c r="AE322" s="168">
        <v>1.3957316376601017</v>
      </c>
      <c r="AF322" s="168">
        <v>1.3957316376601017</v>
      </c>
      <c r="AG322" s="168">
        <v>1.3957316376601017</v>
      </c>
      <c r="AH322" s="168">
        <v>1.3957316376601017</v>
      </c>
      <c r="AI322" s="168">
        <v>1.3957316376601017</v>
      </c>
      <c r="AJ322" s="168">
        <v>1.3957316376601017</v>
      </c>
      <c r="AK322" s="168">
        <v>1.3957316376601017</v>
      </c>
      <c r="AL322" s="168">
        <v>1.3957316376601017</v>
      </c>
      <c r="AM322" s="168">
        <v>1.3957316376601017</v>
      </c>
      <c r="AN322" s="168">
        <v>1.3957316376601017</v>
      </c>
      <c r="AO322" s="168">
        <v>1.3957316376601017</v>
      </c>
    </row>
    <row r="323" spans="1:41" x14ac:dyDescent="0.35">
      <c r="A323" s="147" t="s">
        <v>113</v>
      </c>
      <c r="B323" s="139" t="s">
        <v>15</v>
      </c>
      <c r="C323" s="140" t="s">
        <v>96</v>
      </c>
      <c r="D323" s="140" t="s">
        <v>81</v>
      </c>
      <c r="E323" s="61">
        <v>1.1271100000000001</v>
      </c>
      <c r="F323" s="169">
        <v>1.1271100000000001</v>
      </c>
      <c r="G323" s="169">
        <v>1.1271100000000001</v>
      </c>
      <c r="H323" s="169">
        <v>1.1271100000000001</v>
      </c>
      <c r="I323" s="169">
        <v>1.1271100000000001</v>
      </c>
      <c r="J323" s="169">
        <v>1.1271100000000001</v>
      </c>
      <c r="K323" s="169">
        <v>1.1271100000000001</v>
      </c>
      <c r="L323" s="169">
        <v>1.1271100000000001</v>
      </c>
      <c r="M323" s="169">
        <v>1.1271100000000001</v>
      </c>
      <c r="N323" s="169">
        <v>1.1271100000000001</v>
      </c>
      <c r="O323" s="169">
        <v>1.1271100000000001</v>
      </c>
      <c r="P323" s="169">
        <v>1.1271100000000001</v>
      </c>
      <c r="Q323" s="169">
        <v>1.1271100000000001</v>
      </c>
      <c r="R323" s="169">
        <v>1.1271100000000001</v>
      </c>
      <c r="S323" s="169">
        <v>1.1271100000000001</v>
      </c>
      <c r="T323" s="169">
        <v>1.1271100000000001</v>
      </c>
      <c r="U323" s="169">
        <v>1.1271100000000001</v>
      </c>
      <c r="V323" s="169">
        <v>1.1271100000000001</v>
      </c>
      <c r="W323" s="169">
        <v>1.1271100000000001</v>
      </c>
      <c r="X323" s="169">
        <v>1.1271100000000001</v>
      </c>
      <c r="Y323" s="169">
        <v>1.1271100000000001</v>
      </c>
      <c r="Z323" s="169">
        <v>1.1271100000000001</v>
      </c>
      <c r="AA323" s="169">
        <v>1.1271100000000001</v>
      </c>
      <c r="AB323" s="169">
        <v>1.1271100000000001</v>
      </c>
      <c r="AC323" s="169">
        <v>1.1271100000000001</v>
      </c>
      <c r="AD323" s="169">
        <v>1.1271100000000001</v>
      </c>
      <c r="AE323" s="169">
        <v>1.1271100000000001</v>
      </c>
      <c r="AF323" s="169">
        <v>1.1271100000000001</v>
      </c>
      <c r="AG323" s="169">
        <v>1.1271100000000001</v>
      </c>
      <c r="AH323" s="169">
        <v>1.1271100000000001</v>
      </c>
      <c r="AI323" s="169">
        <v>1.1271100000000001</v>
      </c>
      <c r="AJ323" s="169">
        <v>1.1271100000000001</v>
      </c>
      <c r="AK323" s="169">
        <v>1.1271100000000001</v>
      </c>
      <c r="AL323" s="169">
        <v>1.1271100000000001</v>
      </c>
      <c r="AM323" s="169">
        <v>1.1271100000000001</v>
      </c>
      <c r="AN323" s="169">
        <v>1.1271100000000001</v>
      </c>
      <c r="AO323" s="169">
        <v>1.1271100000000001</v>
      </c>
    </row>
    <row r="324" spans="1:41" x14ac:dyDescent="0.35">
      <c r="A324" s="147" t="str">
        <f t="shared" ref="A324:A341" si="266">A323</f>
        <v>WACC_095</v>
      </c>
      <c r="B324" s="137" t="s">
        <v>25</v>
      </c>
      <c r="C324" s="140" t="s">
        <v>96</v>
      </c>
      <c r="D324" s="138" t="s">
        <v>81</v>
      </c>
      <c r="E324" s="62">
        <v>1.1645796468292708</v>
      </c>
      <c r="F324" s="169">
        <v>1.1645796468292708</v>
      </c>
      <c r="G324" s="169">
        <v>1.1645796468292708</v>
      </c>
      <c r="H324" s="169">
        <v>1.1645796468292708</v>
      </c>
      <c r="I324" s="169">
        <v>1.1645796468292708</v>
      </c>
      <c r="J324" s="169">
        <v>1.1645796468292708</v>
      </c>
      <c r="K324" s="169">
        <v>1.1645796468292708</v>
      </c>
      <c r="L324" s="169">
        <v>1.1645796468292708</v>
      </c>
      <c r="M324" s="169">
        <v>1.1645796468292708</v>
      </c>
      <c r="N324" s="169">
        <v>1.1645796468292708</v>
      </c>
      <c r="O324" s="169">
        <v>1.1645796468292708</v>
      </c>
      <c r="P324" s="169">
        <v>1.1645796468292708</v>
      </c>
      <c r="Q324" s="169">
        <v>1.1645796468292708</v>
      </c>
      <c r="R324" s="169">
        <v>1.1645796468292708</v>
      </c>
      <c r="S324" s="169">
        <v>1.1645796468292708</v>
      </c>
      <c r="T324" s="169">
        <v>1.1645796468292708</v>
      </c>
      <c r="U324" s="169">
        <v>1.1645796468292708</v>
      </c>
      <c r="V324" s="169">
        <v>1.1645796468292708</v>
      </c>
      <c r="W324" s="169">
        <v>1.1645796468292708</v>
      </c>
      <c r="X324" s="169">
        <v>1.1645796468292708</v>
      </c>
      <c r="Y324" s="169">
        <v>1.1645796468292708</v>
      </c>
      <c r="Z324" s="169">
        <v>1.1645796468292708</v>
      </c>
      <c r="AA324" s="169">
        <v>1.1645796468292708</v>
      </c>
      <c r="AB324" s="169">
        <v>1.1645796468292708</v>
      </c>
      <c r="AC324" s="169">
        <v>1.1645796468292708</v>
      </c>
      <c r="AD324" s="169">
        <v>1.1645796468292708</v>
      </c>
      <c r="AE324" s="169">
        <v>1.1645796468292708</v>
      </c>
      <c r="AF324" s="169">
        <v>1.1645796468292708</v>
      </c>
      <c r="AG324" s="169">
        <v>1.1645796468292708</v>
      </c>
      <c r="AH324" s="169">
        <v>1.1645796468292708</v>
      </c>
      <c r="AI324" s="169">
        <v>1.1645796468292708</v>
      </c>
      <c r="AJ324" s="169">
        <v>1.1645796468292708</v>
      </c>
      <c r="AK324" s="169">
        <v>1.1645796468292708</v>
      </c>
      <c r="AL324" s="169">
        <v>1.1645796468292708</v>
      </c>
      <c r="AM324" s="169">
        <v>1.1645796468292708</v>
      </c>
      <c r="AN324" s="169">
        <v>1.1645796468292708</v>
      </c>
      <c r="AO324" s="169">
        <v>1.1645796468292708</v>
      </c>
    </row>
    <row r="325" spans="1:41" x14ac:dyDescent="0.35">
      <c r="A325" s="147" t="str">
        <f t="shared" si="266"/>
        <v>WACC_095</v>
      </c>
      <c r="B325" s="139" t="s">
        <v>26</v>
      </c>
      <c r="C325" s="140" t="s">
        <v>96</v>
      </c>
      <c r="D325" s="140" t="s">
        <v>81</v>
      </c>
      <c r="E325" s="61">
        <v>1.2892742974839062</v>
      </c>
      <c r="F325" s="169">
        <v>1.2892742974839062</v>
      </c>
      <c r="G325" s="169">
        <v>1.2892742974839062</v>
      </c>
      <c r="H325" s="169">
        <v>1.2892742974839062</v>
      </c>
      <c r="I325" s="169">
        <v>1.2892742974839062</v>
      </c>
      <c r="J325" s="169">
        <v>1.2892742974839062</v>
      </c>
      <c r="K325" s="169">
        <v>1.2892742974839062</v>
      </c>
      <c r="L325" s="169">
        <v>1.2892742974839062</v>
      </c>
      <c r="M325" s="169">
        <v>1.2892742974839062</v>
      </c>
      <c r="N325" s="169">
        <v>1.2892742974839062</v>
      </c>
      <c r="O325" s="169">
        <v>1.2892742974839062</v>
      </c>
      <c r="P325" s="169">
        <v>1.2892742974839062</v>
      </c>
      <c r="Q325" s="169">
        <v>1.2892742974839062</v>
      </c>
      <c r="R325" s="169">
        <v>1.2892742974839062</v>
      </c>
      <c r="S325" s="169">
        <v>1.2892742974839062</v>
      </c>
      <c r="T325" s="169">
        <v>1.2892742974839062</v>
      </c>
      <c r="U325" s="169">
        <v>1.2892742974839062</v>
      </c>
      <c r="V325" s="169">
        <v>1.2892742974839062</v>
      </c>
      <c r="W325" s="169">
        <v>1.2892742974839062</v>
      </c>
      <c r="X325" s="169">
        <v>1.2892742974839062</v>
      </c>
      <c r="Y325" s="169">
        <v>1.2892742974839062</v>
      </c>
      <c r="Z325" s="169">
        <v>1.2892742974839062</v>
      </c>
      <c r="AA325" s="169">
        <v>1.2892742974839062</v>
      </c>
      <c r="AB325" s="169">
        <v>1.2892742974839062</v>
      </c>
      <c r="AC325" s="169">
        <v>1.2892742974839062</v>
      </c>
      <c r="AD325" s="169">
        <v>1.2892742974839062</v>
      </c>
      <c r="AE325" s="169">
        <v>1.2892742974839062</v>
      </c>
      <c r="AF325" s="169">
        <v>1.2892742974839062</v>
      </c>
      <c r="AG325" s="169">
        <v>1.2892742974839062</v>
      </c>
      <c r="AH325" s="169">
        <v>1.2892742974839062</v>
      </c>
      <c r="AI325" s="169">
        <v>1.2892742974839062</v>
      </c>
      <c r="AJ325" s="169">
        <v>1.2892742974839062</v>
      </c>
      <c r="AK325" s="169">
        <v>1.2892742974839062</v>
      </c>
      <c r="AL325" s="169">
        <v>1.2892742974839062</v>
      </c>
      <c r="AM325" s="169">
        <v>1.2892742974839062</v>
      </c>
      <c r="AN325" s="169">
        <v>1.2892742974839062</v>
      </c>
      <c r="AO325" s="169">
        <v>1.2892742974839062</v>
      </c>
    </row>
    <row r="326" spans="1:41" x14ac:dyDescent="0.35">
      <c r="A326" s="147" t="str">
        <f t="shared" si="266"/>
        <v>WACC_095</v>
      </c>
      <c r="B326" s="137" t="s">
        <v>23</v>
      </c>
      <c r="C326" s="140" t="s">
        <v>96</v>
      </c>
      <c r="D326" s="138" t="s">
        <v>81</v>
      </c>
      <c r="E326" s="62">
        <v>1.0855000000000001</v>
      </c>
      <c r="F326" s="169">
        <v>1.0855000000000001</v>
      </c>
      <c r="G326" s="169">
        <v>1.0855000000000001</v>
      </c>
      <c r="H326" s="169">
        <v>1.0855000000000001</v>
      </c>
      <c r="I326" s="169">
        <v>1.0855000000000001</v>
      </c>
      <c r="J326" s="169">
        <v>1.0855000000000001</v>
      </c>
      <c r="K326" s="169">
        <v>1.0855000000000001</v>
      </c>
      <c r="L326" s="169">
        <v>1.0855000000000001</v>
      </c>
      <c r="M326" s="169">
        <v>1.0855000000000001</v>
      </c>
      <c r="N326" s="169">
        <v>1.0855000000000001</v>
      </c>
      <c r="O326" s="169">
        <v>1.0855000000000001</v>
      </c>
      <c r="P326" s="169">
        <v>1.0855000000000001</v>
      </c>
      <c r="Q326" s="169">
        <v>1.0855000000000001</v>
      </c>
      <c r="R326" s="169">
        <v>1.0855000000000001</v>
      </c>
      <c r="S326" s="169">
        <v>1.0855000000000001</v>
      </c>
      <c r="T326" s="169">
        <v>1.0855000000000001</v>
      </c>
      <c r="U326" s="169">
        <v>1.0855000000000001</v>
      </c>
      <c r="V326" s="169">
        <v>1.0855000000000001</v>
      </c>
      <c r="W326" s="169">
        <v>1.0855000000000001</v>
      </c>
      <c r="X326" s="169">
        <v>1.0855000000000001</v>
      </c>
      <c r="Y326" s="169">
        <v>1.0855000000000001</v>
      </c>
      <c r="Z326" s="169">
        <v>1.0855000000000001</v>
      </c>
      <c r="AA326" s="169">
        <v>1.0855000000000001</v>
      </c>
      <c r="AB326" s="169">
        <v>1.0855000000000001</v>
      </c>
      <c r="AC326" s="169">
        <v>1.0855000000000001</v>
      </c>
      <c r="AD326" s="169">
        <v>1.0855000000000001</v>
      </c>
      <c r="AE326" s="169">
        <v>1.0855000000000001</v>
      </c>
      <c r="AF326" s="169">
        <v>1.0855000000000001</v>
      </c>
      <c r="AG326" s="169">
        <v>1.0855000000000001</v>
      </c>
      <c r="AH326" s="169">
        <v>1.0855000000000001</v>
      </c>
      <c r="AI326" s="169">
        <v>1.0855000000000001</v>
      </c>
      <c r="AJ326" s="169">
        <v>1.0855000000000001</v>
      </c>
      <c r="AK326" s="169">
        <v>1.0855000000000001</v>
      </c>
      <c r="AL326" s="169">
        <v>1.0855000000000001</v>
      </c>
      <c r="AM326" s="169">
        <v>1.0855000000000001</v>
      </c>
      <c r="AN326" s="169">
        <v>1.0855000000000001</v>
      </c>
      <c r="AO326" s="169">
        <v>1.0855000000000001</v>
      </c>
    </row>
    <row r="327" spans="1:41" x14ac:dyDescent="0.35">
      <c r="A327" s="147" t="str">
        <f t="shared" si="266"/>
        <v>WACC_095</v>
      </c>
      <c r="B327" s="139" t="s">
        <v>24</v>
      </c>
      <c r="C327" s="140" t="s">
        <v>96</v>
      </c>
      <c r="D327" s="140" t="s">
        <v>81</v>
      </c>
      <c r="E327" s="61">
        <v>1.0855000000000001</v>
      </c>
      <c r="F327" s="169">
        <v>1.0855000000000001</v>
      </c>
      <c r="G327" s="169">
        <v>1.0855000000000001</v>
      </c>
      <c r="H327" s="169">
        <v>1.0855000000000001</v>
      </c>
      <c r="I327" s="169">
        <v>1.0855000000000001</v>
      </c>
      <c r="J327" s="169">
        <v>1.0855000000000001</v>
      </c>
      <c r="K327" s="169">
        <v>1.0855000000000001</v>
      </c>
      <c r="L327" s="169">
        <v>1.0855000000000001</v>
      </c>
      <c r="M327" s="169">
        <v>1.0855000000000001</v>
      </c>
      <c r="N327" s="169">
        <v>1.0855000000000001</v>
      </c>
      <c r="O327" s="169">
        <v>1.0855000000000001</v>
      </c>
      <c r="P327" s="169">
        <v>1.0855000000000001</v>
      </c>
      <c r="Q327" s="169">
        <v>1.0855000000000001</v>
      </c>
      <c r="R327" s="169">
        <v>1.0855000000000001</v>
      </c>
      <c r="S327" s="169">
        <v>1.0855000000000001</v>
      </c>
      <c r="T327" s="169">
        <v>1.0855000000000001</v>
      </c>
      <c r="U327" s="169">
        <v>1.0855000000000001</v>
      </c>
      <c r="V327" s="169">
        <v>1.0855000000000001</v>
      </c>
      <c r="W327" s="169">
        <v>1.0855000000000001</v>
      </c>
      <c r="X327" s="169">
        <v>1.0855000000000001</v>
      </c>
      <c r="Y327" s="169">
        <v>1.0855000000000001</v>
      </c>
      <c r="Z327" s="169">
        <v>1.0855000000000001</v>
      </c>
      <c r="AA327" s="169">
        <v>1.0855000000000001</v>
      </c>
      <c r="AB327" s="169">
        <v>1.0855000000000001</v>
      </c>
      <c r="AC327" s="169">
        <v>1.0855000000000001</v>
      </c>
      <c r="AD327" s="169">
        <v>1.0855000000000001</v>
      </c>
      <c r="AE327" s="169">
        <v>1.0855000000000001</v>
      </c>
      <c r="AF327" s="169">
        <v>1.0855000000000001</v>
      </c>
      <c r="AG327" s="169">
        <v>1.0855000000000001</v>
      </c>
      <c r="AH327" s="169">
        <v>1.0855000000000001</v>
      </c>
      <c r="AI327" s="169">
        <v>1.0855000000000001</v>
      </c>
      <c r="AJ327" s="169">
        <v>1.0855000000000001</v>
      </c>
      <c r="AK327" s="169">
        <v>1.0855000000000001</v>
      </c>
      <c r="AL327" s="169">
        <v>1.0855000000000001</v>
      </c>
      <c r="AM327" s="169">
        <v>1.0855000000000001</v>
      </c>
      <c r="AN327" s="169">
        <v>1.0855000000000001</v>
      </c>
      <c r="AO327" s="169">
        <v>1.0855000000000001</v>
      </c>
    </row>
    <row r="328" spans="1:41" x14ac:dyDescent="0.35">
      <c r="A328" s="147" t="str">
        <f t="shared" si="266"/>
        <v>WACC_095</v>
      </c>
      <c r="B328" s="137" t="s">
        <v>17</v>
      </c>
      <c r="C328" s="140" t="s">
        <v>96</v>
      </c>
      <c r="D328" s="138" t="s">
        <v>81</v>
      </c>
      <c r="E328" s="61">
        <v>1.0855000000000001</v>
      </c>
      <c r="F328" s="169">
        <v>1.0855000000000001</v>
      </c>
      <c r="G328" s="169">
        <v>1.0855000000000001</v>
      </c>
      <c r="H328" s="169">
        <v>1.0855000000000001</v>
      </c>
      <c r="I328" s="169">
        <v>1.0855000000000001</v>
      </c>
      <c r="J328" s="169">
        <v>1.0855000000000001</v>
      </c>
      <c r="K328" s="169">
        <v>1.0855000000000001</v>
      </c>
      <c r="L328" s="169">
        <v>1.0855000000000001</v>
      </c>
      <c r="M328" s="169">
        <v>1.0855000000000001</v>
      </c>
      <c r="N328" s="169">
        <v>1.0855000000000001</v>
      </c>
      <c r="O328" s="169">
        <v>1.0855000000000001</v>
      </c>
      <c r="P328" s="169">
        <v>1.0855000000000001</v>
      </c>
      <c r="Q328" s="169">
        <v>1.0855000000000001</v>
      </c>
      <c r="R328" s="169">
        <v>1.0855000000000001</v>
      </c>
      <c r="S328" s="169">
        <v>1.0855000000000001</v>
      </c>
      <c r="T328" s="169">
        <v>1.0855000000000001</v>
      </c>
      <c r="U328" s="169">
        <v>1.0855000000000001</v>
      </c>
      <c r="V328" s="169">
        <v>1.0855000000000001</v>
      </c>
      <c r="W328" s="169">
        <v>1.0855000000000001</v>
      </c>
      <c r="X328" s="169">
        <v>1.0855000000000001</v>
      </c>
      <c r="Y328" s="169">
        <v>1.0855000000000001</v>
      </c>
      <c r="Z328" s="169">
        <v>1.0855000000000001</v>
      </c>
      <c r="AA328" s="169">
        <v>1.0855000000000001</v>
      </c>
      <c r="AB328" s="169">
        <v>1.0855000000000001</v>
      </c>
      <c r="AC328" s="169">
        <v>1.0855000000000001</v>
      </c>
      <c r="AD328" s="169">
        <v>1.0855000000000001</v>
      </c>
      <c r="AE328" s="169">
        <v>1.0855000000000001</v>
      </c>
      <c r="AF328" s="169">
        <v>1.0855000000000001</v>
      </c>
      <c r="AG328" s="169">
        <v>1.0855000000000001</v>
      </c>
      <c r="AH328" s="169">
        <v>1.0855000000000001</v>
      </c>
      <c r="AI328" s="169">
        <v>1.0855000000000001</v>
      </c>
      <c r="AJ328" s="169">
        <v>1.0855000000000001</v>
      </c>
      <c r="AK328" s="169">
        <v>1.0855000000000001</v>
      </c>
      <c r="AL328" s="169">
        <v>1.0855000000000001</v>
      </c>
      <c r="AM328" s="169">
        <v>1.0855000000000001</v>
      </c>
      <c r="AN328" s="169">
        <v>1.0855000000000001</v>
      </c>
      <c r="AO328" s="169">
        <v>1.0855000000000001</v>
      </c>
    </row>
    <row r="329" spans="1:41" x14ac:dyDescent="0.35">
      <c r="A329" s="147" t="str">
        <f t="shared" si="266"/>
        <v>WACC_095</v>
      </c>
      <c r="B329" s="139" t="s">
        <v>18</v>
      </c>
      <c r="C329" s="140" t="s">
        <v>96</v>
      </c>
      <c r="D329" s="140" t="s">
        <v>81</v>
      </c>
      <c r="E329" s="61">
        <v>1.0855000000000001</v>
      </c>
      <c r="F329" s="169">
        <v>1.0855000000000001</v>
      </c>
      <c r="G329" s="169">
        <v>1.0855000000000001</v>
      </c>
      <c r="H329" s="169">
        <v>1.0855000000000001</v>
      </c>
      <c r="I329" s="169">
        <v>1.0855000000000001</v>
      </c>
      <c r="J329" s="169">
        <v>1.0855000000000001</v>
      </c>
      <c r="K329" s="169">
        <v>1.0855000000000001</v>
      </c>
      <c r="L329" s="169">
        <v>1.0855000000000001</v>
      </c>
      <c r="M329" s="169">
        <v>1.0855000000000001</v>
      </c>
      <c r="N329" s="169">
        <v>1.0855000000000001</v>
      </c>
      <c r="O329" s="169">
        <v>1.0855000000000001</v>
      </c>
      <c r="P329" s="169">
        <v>1.0855000000000001</v>
      </c>
      <c r="Q329" s="169">
        <v>1.0855000000000001</v>
      </c>
      <c r="R329" s="169">
        <v>1.0855000000000001</v>
      </c>
      <c r="S329" s="169">
        <v>1.0855000000000001</v>
      </c>
      <c r="T329" s="169">
        <v>1.0855000000000001</v>
      </c>
      <c r="U329" s="169">
        <v>1.0855000000000001</v>
      </c>
      <c r="V329" s="169">
        <v>1.0855000000000001</v>
      </c>
      <c r="W329" s="169">
        <v>1.0855000000000001</v>
      </c>
      <c r="X329" s="169">
        <v>1.0855000000000001</v>
      </c>
      <c r="Y329" s="169">
        <v>1.0855000000000001</v>
      </c>
      <c r="Z329" s="169">
        <v>1.0855000000000001</v>
      </c>
      <c r="AA329" s="169">
        <v>1.0855000000000001</v>
      </c>
      <c r="AB329" s="169">
        <v>1.0855000000000001</v>
      </c>
      <c r="AC329" s="169">
        <v>1.0855000000000001</v>
      </c>
      <c r="AD329" s="169">
        <v>1.0855000000000001</v>
      </c>
      <c r="AE329" s="169">
        <v>1.0855000000000001</v>
      </c>
      <c r="AF329" s="169">
        <v>1.0855000000000001</v>
      </c>
      <c r="AG329" s="169">
        <v>1.0855000000000001</v>
      </c>
      <c r="AH329" s="169">
        <v>1.0855000000000001</v>
      </c>
      <c r="AI329" s="169">
        <v>1.0855000000000001</v>
      </c>
      <c r="AJ329" s="169">
        <v>1.0855000000000001</v>
      </c>
      <c r="AK329" s="169">
        <v>1.0855000000000001</v>
      </c>
      <c r="AL329" s="169">
        <v>1.0855000000000001</v>
      </c>
      <c r="AM329" s="169">
        <v>1.0855000000000001</v>
      </c>
      <c r="AN329" s="169">
        <v>1.0855000000000001</v>
      </c>
      <c r="AO329" s="169">
        <v>1.0855000000000001</v>
      </c>
    </row>
    <row r="330" spans="1:41" x14ac:dyDescent="0.35">
      <c r="A330" s="147" t="str">
        <f t="shared" si="266"/>
        <v>WACC_095</v>
      </c>
      <c r="B330" s="137" t="s">
        <v>19</v>
      </c>
      <c r="C330" s="140" t="s">
        <v>96</v>
      </c>
      <c r="D330" s="138" t="s">
        <v>81</v>
      </c>
      <c r="E330" s="61">
        <v>1.0855000000000001</v>
      </c>
      <c r="F330" s="169">
        <v>1.0855000000000001</v>
      </c>
      <c r="G330" s="169">
        <v>1.0855000000000001</v>
      </c>
      <c r="H330" s="169">
        <v>1.0855000000000001</v>
      </c>
      <c r="I330" s="169">
        <v>1.0855000000000001</v>
      </c>
      <c r="J330" s="169">
        <v>1.0855000000000001</v>
      </c>
      <c r="K330" s="169">
        <v>1.0855000000000001</v>
      </c>
      <c r="L330" s="169">
        <v>1.0855000000000001</v>
      </c>
      <c r="M330" s="169">
        <v>1.0855000000000001</v>
      </c>
      <c r="N330" s="169">
        <v>1.0855000000000001</v>
      </c>
      <c r="O330" s="169">
        <v>1.0855000000000001</v>
      </c>
      <c r="P330" s="169">
        <v>1.0855000000000001</v>
      </c>
      <c r="Q330" s="169">
        <v>1.0855000000000001</v>
      </c>
      <c r="R330" s="169">
        <v>1.0855000000000001</v>
      </c>
      <c r="S330" s="169">
        <v>1.0855000000000001</v>
      </c>
      <c r="T330" s="169">
        <v>1.0855000000000001</v>
      </c>
      <c r="U330" s="169">
        <v>1.0855000000000001</v>
      </c>
      <c r="V330" s="169">
        <v>1.0855000000000001</v>
      </c>
      <c r="W330" s="169">
        <v>1.0855000000000001</v>
      </c>
      <c r="X330" s="169">
        <v>1.0855000000000001</v>
      </c>
      <c r="Y330" s="169">
        <v>1.0855000000000001</v>
      </c>
      <c r="Z330" s="169">
        <v>1.0855000000000001</v>
      </c>
      <c r="AA330" s="169">
        <v>1.0855000000000001</v>
      </c>
      <c r="AB330" s="169">
        <v>1.0855000000000001</v>
      </c>
      <c r="AC330" s="169">
        <v>1.0855000000000001</v>
      </c>
      <c r="AD330" s="169">
        <v>1.0855000000000001</v>
      </c>
      <c r="AE330" s="169">
        <v>1.0855000000000001</v>
      </c>
      <c r="AF330" s="169">
        <v>1.0855000000000001</v>
      </c>
      <c r="AG330" s="169">
        <v>1.0855000000000001</v>
      </c>
      <c r="AH330" s="169">
        <v>1.0855000000000001</v>
      </c>
      <c r="AI330" s="169">
        <v>1.0855000000000001</v>
      </c>
      <c r="AJ330" s="169">
        <v>1.0855000000000001</v>
      </c>
      <c r="AK330" s="169">
        <v>1.0855000000000001</v>
      </c>
      <c r="AL330" s="169">
        <v>1.0855000000000001</v>
      </c>
      <c r="AM330" s="169">
        <v>1.0855000000000001</v>
      </c>
      <c r="AN330" s="169">
        <v>1.0855000000000001</v>
      </c>
      <c r="AO330" s="169">
        <v>1.0855000000000001</v>
      </c>
    </row>
    <row r="331" spans="1:41" x14ac:dyDescent="0.35">
      <c r="A331" s="147" t="str">
        <f t="shared" si="266"/>
        <v>WACC_095</v>
      </c>
      <c r="B331" s="139" t="s">
        <v>20</v>
      </c>
      <c r="C331" s="140" t="s">
        <v>96</v>
      </c>
      <c r="D331" s="140" t="s">
        <v>81</v>
      </c>
      <c r="E331" s="61">
        <v>1.0855000000000001</v>
      </c>
      <c r="F331" s="169">
        <v>1.0855000000000001</v>
      </c>
      <c r="G331" s="169">
        <v>1.0855000000000001</v>
      </c>
      <c r="H331" s="169">
        <v>1.0855000000000001</v>
      </c>
      <c r="I331" s="169">
        <v>1.0855000000000001</v>
      </c>
      <c r="J331" s="169">
        <v>1.0855000000000001</v>
      </c>
      <c r="K331" s="169">
        <v>1.0855000000000001</v>
      </c>
      <c r="L331" s="169">
        <v>1.0855000000000001</v>
      </c>
      <c r="M331" s="169">
        <v>1.0855000000000001</v>
      </c>
      <c r="N331" s="169">
        <v>1.0855000000000001</v>
      </c>
      <c r="O331" s="169">
        <v>1.0855000000000001</v>
      </c>
      <c r="P331" s="169">
        <v>1.0855000000000001</v>
      </c>
      <c r="Q331" s="169">
        <v>1.0855000000000001</v>
      </c>
      <c r="R331" s="169">
        <v>1.0855000000000001</v>
      </c>
      <c r="S331" s="169">
        <v>1.0855000000000001</v>
      </c>
      <c r="T331" s="169">
        <v>1.0855000000000001</v>
      </c>
      <c r="U331" s="169">
        <v>1.0855000000000001</v>
      </c>
      <c r="V331" s="169">
        <v>1.0855000000000001</v>
      </c>
      <c r="W331" s="169">
        <v>1.0855000000000001</v>
      </c>
      <c r="X331" s="169">
        <v>1.0855000000000001</v>
      </c>
      <c r="Y331" s="169">
        <v>1.0855000000000001</v>
      </c>
      <c r="Z331" s="169">
        <v>1.0855000000000001</v>
      </c>
      <c r="AA331" s="169">
        <v>1.0855000000000001</v>
      </c>
      <c r="AB331" s="169">
        <v>1.0855000000000001</v>
      </c>
      <c r="AC331" s="169">
        <v>1.0855000000000001</v>
      </c>
      <c r="AD331" s="169">
        <v>1.0855000000000001</v>
      </c>
      <c r="AE331" s="169">
        <v>1.0855000000000001</v>
      </c>
      <c r="AF331" s="169">
        <v>1.0855000000000001</v>
      </c>
      <c r="AG331" s="169">
        <v>1.0855000000000001</v>
      </c>
      <c r="AH331" s="169">
        <v>1.0855000000000001</v>
      </c>
      <c r="AI331" s="169">
        <v>1.0855000000000001</v>
      </c>
      <c r="AJ331" s="169">
        <v>1.0855000000000001</v>
      </c>
      <c r="AK331" s="169">
        <v>1.0855000000000001</v>
      </c>
      <c r="AL331" s="169">
        <v>1.0855000000000001</v>
      </c>
      <c r="AM331" s="169">
        <v>1.0855000000000001</v>
      </c>
      <c r="AN331" s="169">
        <v>1.0855000000000001</v>
      </c>
      <c r="AO331" s="169">
        <v>1.0855000000000001</v>
      </c>
    </row>
    <row r="332" spans="1:41" x14ac:dyDescent="0.35">
      <c r="A332" s="147" t="str">
        <f t="shared" si="266"/>
        <v>WACC_095</v>
      </c>
      <c r="B332" s="137" t="s">
        <v>21</v>
      </c>
      <c r="C332" s="140" t="s">
        <v>96</v>
      </c>
      <c r="D332" s="138" t="s">
        <v>81</v>
      </c>
      <c r="E332" s="61">
        <v>1.0855000000000001</v>
      </c>
      <c r="F332" s="169">
        <v>1.0855000000000001</v>
      </c>
      <c r="G332" s="169">
        <v>1.0855000000000001</v>
      </c>
      <c r="H332" s="169">
        <v>1.0855000000000001</v>
      </c>
      <c r="I332" s="169">
        <v>1.0855000000000001</v>
      </c>
      <c r="J332" s="169">
        <v>1.0855000000000001</v>
      </c>
      <c r="K332" s="169">
        <v>1.0855000000000001</v>
      </c>
      <c r="L332" s="169">
        <v>1.0855000000000001</v>
      </c>
      <c r="M332" s="169">
        <v>1.0855000000000001</v>
      </c>
      <c r="N332" s="169">
        <v>1.0855000000000001</v>
      </c>
      <c r="O332" s="169">
        <v>1.0855000000000001</v>
      </c>
      <c r="P332" s="169">
        <v>1.0855000000000001</v>
      </c>
      <c r="Q332" s="169">
        <v>1.0855000000000001</v>
      </c>
      <c r="R332" s="169">
        <v>1.0855000000000001</v>
      </c>
      <c r="S332" s="169">
        <v>1.0855000000000001</v>
      </c>
      <c r="T332" s="169">
        <v>1.0855000000000001</v>
      </c>
      <c r="U332" s="169">
        <v>1.0855000000000001</v>
      </c>
      <c r="V332" s="169">
        <v>1.0855000000000001</v>
      </c>
      <c r="W332" s="169">
        <v>1.0855000000000001</v>
      </c>
      <c r="X332" s="169">
        <v>1.0855000000000001</v>
      </c>
      <c r="Y332" s="169">
        <v>1.0855000000000001</v>
      </c>
      <c r="Z332" s="169">
        <v>1.0855000000000001</v>
      </c>
      <c r="AA332" s="169">
        <v>1.0855000000000001</v>
      </c>
      <c r="AB332" s="169">
        <v>1.0855000000000001</v>
      </c>
      <c r="AC332" s="169">
        <v>1.0855000000000001</v>
      </c>
      <c r="AD332" s="169">
        <v>1.0855000000000001</v>
      </c>
      <c r="AE332" s="169">
        <v>1.0855000000000001</v>
      </c>
      <c r="AF332" s="169">
        <v>1.0855000000000001</v>
      </c>
      <c r="AG332" s="169">
        <v>1.0855000000000001</v>
      </c>
      <c r="AH332" s="169">
        <v>1.0855000000000001</v>
      </c>
      <c r="AI332" s="169">
        <v>1.0855000000000001</v>
      </c>
      <c r="AJ332" s="169">
        <v>1.0855000000000001</v>
      </c>
      <c r="AK332" s="169">
        <v>1.0855000000000001</v>
      </c>
      <c r="AL332" s="169">
        <v>1.0855000000000001</v>
      </c>
      <c r="AM332" s="169">
        <v>1.0855000000000001</v>
      </c>
      <c r="AN332" s="169">
        <v>1.0855000000000001</v>
      </c>
      <c r="AO332" s="169">
        <v>1.0855000000000001</v>
      </c>
    </row>
    <row r="333" spans="1:41" x14ac:dyDescent="0.35">
      <c r="A333" s="147" t="str">
        <f t="shared" si="266"/>
        <v>WACC_095</v>
      </c>
      <c r="B333" s="139" t="s">
        <v>22</v>
      </c>
      <c r="C333" s="140" t="s">
        <v>96</v>
      </c>
      <c r="D333" s="140" t="s">
        <v>81</v>
      </c>
      <c r="E333" s="61">
        <v>1.0855000000000001</v>
      </c>
      <c r="F333" s="169">
        <v>1.0855000000000001</v>
      </c>
      <c r="G333" s="169">
        <v>1.0855000000000001</v>
      </c>
      <c r="H333" s="169">
        <v>1.0855000000000001</v>
      </c>
      <c r="I333" s="169">
        <v>1.0855000000000001</v>
      </c>
      <c r="J333" s="169">
        <v>1.0855000000000001</v>
      </c>
      <c r="K333" s="169">
        <v>1.0855000000000001</v>
      </c>
      <c r="L333" s="169">
        <v>1.0855000000000001</v>
      </c>
      <c r="M333" s="169">
        <v>1.0855000000000001</v>
      </c>
      <c r="N333" s="169">
        <v>1.0855000000000001</v>
      </c>
      <c r="O333" s="169">
        <v>1.0855000000000001</v>
      </c>
      <c r="P333" s="169">
        <v>1.0855000000000001</v>
      </c>
      <c r="Q333" s="169">
        <v>1.0855000000000001</v>
      </c>
      <c r="R333" s="169">
        <v>1.0855000000000001</v>
      </c>
      <c r="S333" s="169">
        <v>1.0855000000000001</v>
      </c>
      <c r="T333" s="169">
        <v>1.0855000000000001</v>
      </c>
      <c r="U333" s="169">
        <v>1.0855000000000001</v>
      </c>
      <c r="V333" s="169">
        <v>1.0855000000000001</v>
      </c>
      <c r="W333" s="169">
        <v>1.0855000000000001</v>
      </c>
      <c r="X333" s="169">
        <v>1.0855000000000001</v>
      </c>
      <c r="Y333" s="169">
        <v>1.0855000000000001</v>
      </c>
      <c r="Z333" s="169">
        <v>1.0855000000000001</v>
      </c>
      <c r="AA333" s="169">
        <v>1.0855000000000001</v>
      </c>
      <c r="AB333" s="169">
        <v>1.0855000000000001</v>
      </c>
      <c r="AC333" s="169">
        <v>1.0855000000000001</v>
      </c>
      <c r="AD333" s="169">
        <v>1.0855000000000001</v>
      </c>
      <c r="AE333" s="169">
        <v>1.0855000000000001</v>
      </c>
      <c r="AF333" s="169">
        <v>1.0855000000000001</v>
      </c>
      <c r="AG333" s="169">
        <v>1.0855000000000001</v>
      </c>
      <c r="AH333" s="169">
        <v>1.0855000000000001</v>
      </c>
      <c r="AI333" s="169">
        <v>1.0855000000000001</v>
      </c>
      <c r="AJ333" s="169">
        <v>1.0855000000000001</v>
      </c>
      <c r="AK333" s="169">
        <v>1.0855000000000001</v>
      </c>
      <c r="AL333" s="169">
        <v>1.0855000000000001</v>
      </c>
      <c r="AM333" s="169">
        <v>1.0855000000000001</v>
      </c>
      <c r="AN333" s="169">
        <v>1.0855000000000001</v>
      </c>
      <c r="AO333" s="169">
        <v>1.0855000000000001</v>
      </c>
    </row>
    <row r="334" spans="1:41" x14ac:dyDescent="0.35">
      <c r="A334" s="147" t="str">
        <f t="shared" si="266"/>
        <v>WACC_095</v>
      </c>
      <c r="B334" s="139" t="s">
        <v>117</v>
      </c>
      <c r="C334" s="140" t="s">
        <v>96</v>
      </c>
      <c r="D334" s="140" t="s">
        <v>81</v>
      </c>
      <c r="E334" s="61">
        <v>1.0855000000000001</v>
      </c>
      <c r="F334" s="169">
        <v>1.0855000000000001</v>
      </c>
      <c r="G334" s="169">
        <v>1.0855000000000001</v>
      </c>
      <c r="H334" s="169">
        <v>1.0855000000000001</v>
      </c>
      <c r="I334" s="169">
        <v>1.0855000000000001</v>
      </c>
      <c r="J334" s="169">
        <v>1.0855000000000001</v>
      </c>
      <c r="K334" s="169">
        <v>1.0855000000000001</v>
      </c>
      <c r="L334" s="169">
        <v>1.0855000000000001</v>
      </c>
      <c r="M334" s="169">
        <v>1.0855000000000001</v>
      </c>
      <c r="N334" s="169">
        <v>1.0855000000000001</v>
      </c>
      <c r="O334" s="169">
        <v>1.0855000000000001</v>
      </c>
      <c r="P334" s="169">
        <v>1.0855000000000001</v>
      </c>
      <c r="Q334" s="169">
        <v>1.0855000000000001</v>
      </c>
      <c r="R334" s="169">
        <v>1.0855000000000001</v>
      </c>
      <c r="S334" s="169">
        <v>1.0855000000000001</v>
      </c>
      <c r="T334" s="169">
        <v>1.0855000000000001</v>
      </c>
      <c r="U334" s="169">
        <v>1.0855000000000001</v>
      </c>
      <c r="V334" s="169">
        <v>1.0855000000000001</v>
      </c>
      <c r="W334" s="169">
        <v>1.0855000000000001</v>
      </c>
      <c r="X334" s="169">
        <v>1.0855000000000001</v>
      </c>
      <c r="Y334" s="169">
        <v>1.0855000000000001</v>
      </c>
      <c r="Z334" s="169">
        <v>1.0855000000000001</v>
      </c>
      <c r="AA334" s="169">
        <v>1.0855000000000001</v>
      </c>
      <c r="AB334" s="169">
        <v>1.0855000000000001</v>
      </c>
      <c r="AC334" s="169">
        <v>1.0855000000000001</v>
      </c>
      <c r="AD334" s="169">
        <v>1.0855000000000001</v>
      </c>
      <c r="AE334" s="169">
        <v>1.0855000000000001</v>
      </c>
      <c r="AF334" s="169">
        <v>1.0855000000000001</v>
      </c>
      <c r="AG334" s="169">
        <v>1.0855000000000001</v>
      </c>
      <c r="AH334" s="169">
        <v>1.0855000000000001</v>
      </c>
      <c r="AI334" s="169">
        <v>1.0855000000000001</v>
      </c>
      <c r="AJ334" s="169">
        <v>1.0855000000000001</v>
      </c>
      <c r="AK334" s="169">
        <v>1.0855000000000001</v>
      </c>
      <c r="AL334" s="169">
        <v>1.0855000000000001</v>
      </c>
      <c r="AM334" s="169">
        <v>1.0855000000000001</v>
      </c>
      <c r="AN334" s="169">
        <v>1.0855000000000001</v>
      </c>
      <c r="AO334" s="169">
        <v>1.0855000000000001</v>
      </c>
    </row>
    <row r="335" spans="1:41" x14ac:dyDescent="0.35">
      <c r="A335" s="147" t="str">
        <f>A333</f>
        <v>WACC_095</v>
      </c>
      <c r="B335" s="137" t="s">
        <v>12</v>
      </c>
      <c r="C335" s="140" t="s">
        <v>96</v>
      </c>
      <c r="D335" s="138" t="s">
        <v>81</v>
      </c>
      <c r="E335" s="62">
        <v>1.0350978687500001</v>
      </c>
      <c r="F335" s="169">
        <v>1.0350978687500001</v>
      </c>
      <c r="G335" s="169">
        <v>1.0350978687500001</v>
      </c>
      <c r="H335" s="169">
        <v>1.0350978687500001</v>
      </c>
      <c r="I335" s="169">
        <v>1.0350978687500001</v>
      </c>
      <c r="J335" s="169">
        <v>1.0350978687500001</v>
      </c>
      <c r="K335" s="169">
        <v>1.0350978687500001</v>
      </c>
      <c r="L335" s="169">
        <v>1.0350978687500001</v>
      </c>
      <c r="M335" s="169">
        <v>1.0350978687500001</v>
      </c>
      <c r="N335" s="169">
        <v>1.0350978687500001</v>
      </c>
      <c r="O335" s="169">
        <v>1.0350978687500001</v>
      </c>
      <c r="P335" s="169">
        <v>1.0350978687500001</v>
      </c>
      <c r="Q335" s="169">
        <v>1.0350978687500001</v>
      </c>
      <c r="R335" s="169">
        <v>1.0350978687500001</v>
      </c>
      <c r="S335" s="169">
        <v>1.0350978687500001</v>
      </c>
      <c r="T335" s="169">
        <v>1.0350978687500001</v>
      </c>
      <c r="U335" s="169">
        <v>1.0350978687500001</v>
      </c>
      <c r="V335" s="169">
        <v>1.0350978687500001</v>
      </c>
      <c r="W335" s="169">
        <v>1.0350978687500001</v>
      </c>
      <c r="X335" s="169">
        <v>1.0350978687500001</v>
      </c>
      <c r="Y335" s="169">
        <v>1.0350978687500001</v>
      </c>
      <c r="Z335" s="169">
        <v>1.0350978687500001</v>
      </c>
      <c r="AA335" s="169">
        <v>1.0350978687500001</v>
      </c>
      <c r="AB335" s="169">
        <v>1.0350978687500001</v>
      </c>
      <c r="AC335" s="169">
        <v>1.0350978687500001</v>
      </c>
      <c r="AD335" s="169">
        <v>1.0350978687500001</v>
      </c>
      <c r="AE335" s="169">
        <v>1.0350978687500001</v>
      </c>
      <c r="AF335" s="169">
        <v>1.0350978687500001</v>
      </c>
      <c r="AG335" s="169">
        <v>1.0350978687500001</v>
      </c>
      <c r="AH335" s="169">
        <v>1.0350978687500001</v>
      </c>
      <c r="AI335" s="169">
        <v>1.0350978687500001</v>
      </c>
      <c r="AJ335" s="169">
        <v>1.0350978687500001</v>
      </c>
      <c r="AK335" s="169">
        <v>1.0350978687500001</v>
      </c>
      <c r="AL335" s="169">
        <v>1.0350978687500001</v>
      </c>
      <c r="AM335" s="169">
        <v>1.0350978687500001</v>
      </c>
      <c r="AN335" s="169">
        <v>1.0350978687500001</v>
      </c>
      <c r="AO335" s="169">
        <v>1.0350978687500001</v>
      </c>
    </row>
    <row r="336" spans="1:41" x14ac:dyDescent="0.35">
      <c r="A336" s="147" t="str">
        <f t="shared" si="266"/>
        <v>WACC_095</v>
      </c>
      <c r="B336" s="139" t="s">
        <v>13</v>
      </c>
      <c r="C336" s="140" t="s">
        <v>96</v>
      </c>
      <c r="D336" s="140" t="s">
        <v>81</v>
      </c>
      <c r="E336" s="61">
        <v>1.0350978687500001</v>
      </c>
      <c r="F336" s="169">
        <v>1.0350978687500001</v>
      </c>
      <c r="G336" s="169">
        <v>1.0350978687500001</v>
      </c>
      <c r="H336" s="169">
        <v>1.0350978687500001</v>
      </c>
      <c r="I336" s="169">
        <v>1.0350978687500001</v>
      </c>
      <c r="J336" s="169">
        <v>1.0350978687500001</v>
      </c>
      <c r="K336" s="169">
        <v>1.0350978687500001</v>
      </c>
      <c r="L336" s="169">
        <v>1.0350978687500001</v>
      </c>
      <c r="M336" s="169">
        <v>1.0350978687500001</v>
      </c>
      <c r="N336" s="169">
        <v>1.0350978687500001</v>
      </c>
      <c r="O336" s="169">
        <v>1.0350978687500001</v>
      </c>
      <c r="P336" s="169">
        <v>1.0350978687500001</v>
      </c>
      <c r="Q336" s="169">
        <v>1.0350978687500001</v>
      </c>
      <c r="R336" s="169">
        <v>1.0350978687500001</v>
      </c>
      <c r="S336" s="169">
        <v>1.0350978687500001</v>
      </c>
      <c r="T336" s="169">
        <v>1.0350978687500001</v>
      </c>
      <c r="U336" s="169">
        <v>1.0350978687500001</v>
      </c>
      <c r="V336" s="169">
        <v>1.0350978687500001</v>
      </c>
      <c r="W336" s="169">
        <v>1.0350978687500001</v>
      </c>
      <c r="X336" s="169">
        <v>1.0350978687500001</v>
      </c>
      <c r="Y336" s="169">
        <v>1.0350978687500001</v>
      </c>
      <c r="Z336" s="169">
        <v>1.0350978687500001</v>
      </c>
      <c r="AA336" s="169">
        <v>1.0350978687500001</v>
      </c>
      <c r="AB336" s="169">
        <v>1.0350978687500001</v>
      </c>
      <c r="AC336" s="169">
        <v>1.0350978687500001</v>
      </c>
      <c r="AD336" s="169">
        <v>1.0350978687500001</v>
      </c>
      <c r="AE336" s="169">
        <v>1.0350978687500001</v>
      </c>
      <c r="AF336" s="169">
        <v>1.0350978687500001</v>
      </c>
      <c r="AG336" s="169">
        <v>1.0350978687500001</v>
      </c>
      <c r="AH336" s="169">
        <v>1.0350978687500001</v>
      </c>
      <c r="AI336" s="169">
        <v>1.0350978687500001</v>
      </c>
      <c r="AJ336" s="169">
        <v>1.0350978687500001</v>
      </c>
      <c r="AK336" s="169">
        <v>1.0350978687500001</v>
      </c>
      <c r="AL336" s="169">
        <v>1.0350978687500001</v>
      </c>
      <c r="AM336" s="169">
        <v>1.0350978687500001</v>
      </c>
      <c r="AN336" s="169">
        <v>1.0350978687500001</v>
      </c>
      <c r="AO336" s="169">
        <v>1.0350978687500001</v>
      </c>
    </row>
    <row r="337" spans="1:41" x14ac:dyDescent="0.35">
      <c r="A337" s="147" t="str">
        <f t="shared" si="266"/>
        <v>WACC_095</v>
      </c>
      <c r="B337" s="137" t="s">
        <v>14</v>
      </c>
      <c r="C337" s="140" t="s">
        <v>96</v>
      </c>
      <c r="D337" s="138" t="s">
        <v>81</v>
      </c>
      <c r="E337" s="62">
        <v>1.0350978687500001</v>
      </c>
      <c r="F337" s="169">
        <v>1.0350978687500001</v>
      </c>
      <c r="G337" s="169">
        <v>1.0350978687500001</v>
      </c>
      <c r="H337" s="169">
        <v>1.0350978687500001</v>
      </c>
      <c r="I337" s="169">
        <v>1.0350978687500001</v>
      </c>
      <c r="J337" s="169">
        <v>1.0350978687500001</v>
      </c>
      <c r="K337" s="169">
        <v>1.0350978687500001</v>
      </c>
      <c r="L337" s="169">
        <v>1.0350978687500001</v>
      </c>
      <c r="M337" s="169">
        <v>1.0350978687500001</v>
      </c>
      <c r="N337" s="169">
        <v>1.0350978687500001</v>
      </c>
      <c r="O337" s="169">
        <v>1.0350978687500001</v>
      </c>
      <c r="P337" s="169">
        <v>1.0350978687500001</v>
      </c>
      <c r="Q337" s="169">
        <v>1.0350978687500001</v>
      </c>
      <c r="R337" s="169">
        <v>1.0350978687500001</v>
      </c>
      <c r="S337" s="169">
        <v>1.0350978687500001</v>
      </c>
      <c r="T337" s="169">
        <v>1.0350978687500001</v>
      </c>
      <c r="U337" s="169">
        <v>1.0350978687500001</v>
      </c>
      <c r="V337" s="169">
        <v>1.0350978687500001</v>
      </c>
      <c r="W337" s="169">
        <v>1.0350978687500001</v>
      </c>
      <c r="X337" s="169">
        <v>1.0350978687500001</v>
      </c>
      <c r="Y337" s="169">
        <v>1.0350978687500001</v>
      </c>
      <c r="Z337" s="169">
        <v>1.0350978687500001</v>
      </c>
      <c r="AA337" s="169">
        <v>1.0350978687500001</v>
      </c>
      <c r="AB337" s="169">
        <v>1.0350978687500001</v>
      </c>
      <c r="AC337" s="169">
        <v>1.0350978687500001</v>
      </c>
      <c r="AD337" s="169">
        <v>1.0350978687500001</v>
      </c>
      <c r="AE337" s="169">
        <v>1.0350978687500001</v>
      </c>
      <c r="AF337" s="169">
        <v>1.0350978687500001</v>
      </c>
      <c r="AG337" s="169">
        <v>1.0350978687500001</v>
      </c>
      <c r="AH337" s="169">
        <v>1.0350978687500001</v>
      </c>
      <c r="AI337" s="169">
        <v>1.0350978687500001</v>
      </c>
      <c r="AJ337" s="169">
        <v>1.0350978687500001</v>
      </c>
      <c r="AK337" s="169">
        <v>1.0350978687500001</v>
      </c>
      <c r="AL337" s="169">
        <v>1.0350978687500001</v>
      </c>
      <c r="AM337" s="169">
        <v>1.0350978687500001</v>
      </c>
      <c r="AN337" s="169">
        <v>1.0350978687500001</v>
      </c>
      <c r="AO337" s="169">
        <v>1.0350978687500001</v>
      </c>
    </row>
    <row r="338" spans="1:41" x14ac:dyDescent="0.35">
      <c r="A338" s="147" t="str">
        <f t="shared" si="266"/>
        <v>WACC_095</v>
      </c>
      <c r="B338" s="139" t="s">
        <v>10</v>
      </c>
      <c r="C338" s="140" t="s">
        <v>96</v>
      </c>
      <c r="D338" s="140" t="s">
        <v>81</v>
      </c>
      <c r="E338" s="61">
        <v>1.0095000000000001</v>
      </c>
      <c r="F338" s="169">
        <v>1.0095000000000001</v>
      </c>
      <c r="G338" s="169">
        <v>1.0095000000000001</v>
      </c>
      <c r="H338" s="169">
        <v>1.0095000000000001</v>
      </c>
      <c r="I338" s="169">
        <v>1.0095000000000001</v>
      </c>
      <c r="J338" s="169">
        <v>1.0095000000000001</v>
      </c>
      <c r="K338" s="169">
        <v>1.0095000000000001</v>
      </c>
      <c r="L338" s="169">
        <v>1.0095000000000001</v>
      </c>
      <c r="M338" s="169">
        <v>1.0095000000000001</v>
      </c>
      <c r="N338" s="169">
        <v>1.0095000000000001</v>
      </c>
      <c r="O338" s="169">
        <v>1.0095000000000001</v>
      </c>
      <c r="P338" s="169">
        <v>1.0095000000000001</v>
      </c>
      <c r="Q338" s="169">
        <v>1.0095000000000001</v>
      </c>
      <c r="R338" s="169">
        <v>1.0095000000000001</v>
      </c>
      <c r="S338" s="169">
        <v>1.0095000000000001</v>
      </c>
      <c r="T338" s="169">
        <v>1.0095000000000001</v>
      </c>
      <c r="U338" s="169">
        <v>1.0095000000000001</v>
      </c>
      <c r="V338" s="169">
        <v>1.0095000000000001</v>
      </c>
      <c r="W338" s="169">
        <v>1.0095000000000001</v>
      </c>
      <c r="X338" s="169">
        <v>1.0095000000000001</v>
      </c>
      <c r="Y338" s="169">
        <v>1.0095000000000001</v>
      </c>
      <c r="Z338" s="169">
        <v>1.0095000000000001</v>
      </c>
      <c r="AA338" s="169">
        <v>1.0095000000000001</v>
      </c>
      <c r="AB338" s="169">
        <v>1.0095000000000001</v>
      </c>
      <c r="AC338" s="169">
        <v>1.0095000000000001</v>
      </c>
      <c r="AD338" s="169">
        <v>1.0095000000000001</v>
      </c>
      <c r="AE338" s="169">
        <v>1.0095000000000001</v>
      </c>
      <c r="AF338" s="169">
        <v>1.0095000000000001</v>
      </c>
      <c r="AG338" s="169">
        <v>1.0095000000000001</v>
      </c>
      <c r="AH338" s="169">
        <v>1.0095000000000001</v>
      </c>
      <c r="AI338" s="169">
        <v>1.0095000000000001</v>
      </c>
      <c r="AJ338" s="169">
        <v>1.0095000000000001</v>
      </c>
      <c r="AK338" s="169">
        <v>1.0095000000000001</v>
      </c>
      <c r="AL338" s="169">
        <v>1.0095000000000001</v>
      </c>
      <c r="AM338" s="169">
        <v>1.0095000000000001</v>
      </c>
      <c r="AN338" s="169">
        <v>1.0095000000000001</v>
      </c>
      <c r="AO338" s="169">
        <v>1.0095000000000001</v>
      </c>
    </row>
    <row r="339" spans="1:41" x14ac:dyDescent="0.35">
      <c r="A339" s="147" t="str">
        <f t="shared" si="266"/>
        <v>WACC_095</v>
      </c>
      <c r="B339" s="137" t="s">
        <v>11</v>
      </c>
      <c r="C339" s="140" t="s">
        <v>96</v>
      </c>
      <c r="D339" s="138" t="s">
        <v>81</v>
      </c>
      <c r="E339" s="62">
        <v>1.0095000000000001</v>
      </c>
      <c r="F339" s="169">
        <v>1.0095000000000001</v>
      </c>
      <c r="G339" s="169">
        <v>1.0095000000000001</v>
      </c>
      <c r="H339" s="169">
        <v>1.0095000000000001</v>
      </c>
      <c r="I339" s="169">
        <v>1.0095000000000001</v>
      </c>
      <c r="J339" s="169">
        <v>1.0095000000000001</v>
      </c>
      <c r="K339" s="169">
        <v>1.0095000000000001</v>
      </c>
      <c r="L339" s="169">
        <v>1.0095000000000001</v>
      </c>
      <c r="M339" s="169">
        <v>1.0095000000000001</v>
      </c>
      <c r="N339" s="169">
        <v>1.0095000000000001</v>
      </c>
      <c r="O339" s="169">
        <v>1.0095000000000001</v>
      </c>
      <c r="P339" s="169">
        <v>1.0095000000000001</v>
      </c>
      <c r="Q339" s="169">
        <v>1.0095000000000001</v>
      </c>
      <c r="R339" s="169">
        <v>1.0095000000000001</v>
      </c>
      <c r="S339" s="169">
        <v>1.0095000000000001</v>
      </c>
      <c r="T339" s="169">
        <v>1.0095000000000001</v>
      </c>
      <c r="U339" s="169">
        <v>1.0095000000000001</v>
      </c>
      <c r="V339" s="169">
        <v>1.0095000000000001</v>
      </c>
      <c r="W339" s="169">
        <v>1.0095000000000001</v>
      </c>
      <c r="X339" s="169">
        <v>1.0095000000000001</v>
      </c>
      <c r="Y339" s="169">
        <v>1.0095000000000001</v>
      </c>
      <c r="Z339" s="169">
        <v>1.0095000000000001</v>
      </c>
      <c r="AA339" s="169">
        <v>1.0095000000000001</v>
      </c>
      <c r="AB339" s="169">
        <v>1.0095000000000001</v>
      </c>
      <c r="AC339" s="169">
        <v>1.0095000000000001</v>
      </c>
      <c r="AD339" s="169">
        <v>1.0095000000000001</v>
      </c>
      <c r="AE339" s="169">
        <v>1.0095000000000001</v>
      </c>
      <c r="AF339" s="169">
        <v>1.0095000000000001</v>
      </c>
      <c r="AG339" s="169">
        <v>1.0095000000000001</v>
      </c>
      <c r="AH339" s="169">
        <v>1.0095000000000001</v>
      </c>
      <c r="AI339" s="169">
        <v>1.0095000000000001</v>
      </c>
      <c r="AJ339" s="169">
        <v>1.0095000000000001</v>
      </c>
      <c r="AK339" s="169">
        <v>1.0095000000000001</v>
      </c>
      <c r="AL339" s="169">
        <v>1.0095000000000001</v>
      </c>
      <c r="AM339" s="169">
        <v>1.0095000000000001</v>
      </c>
      <c r="AN339" s="169">
        <v>1.0095000000000001</v>
      </c>
      <c r="AO339" s="169">
        <v>1.0095000000000001</v>
      </c>
    </row>
    <row r="340" spans="1:41" x14ac:dyDescent="0.35">
      <c r="A340" s="147" t="str">
        <f t="shared" si="266"/>
        <v>WACC_095</v>
      </c>
      <c r="B340" s="139" t="s">
        <v>8</v>
      </c>
      <c r="C340" s="140" t="s">
        <v>96</v>
      </c>
      <c r="D340" s="140" t="s">
        <v>81</v>
      </c>
      <c r="E340" s="61">
        <v>1.0095000000000001</v>
      </c>
      <c r="F340" s="169">
        <v>1.0095000000000001</v>
      </c>
      <c r="G340" s="169">
        <v>1.0095000000000001</v>
      </c>
      <c r="H340" s="169">
        <v>1.0095000000000001</v>
      </c>
      <c r="I340" s="169">
        <v>1.0095000000000001</v>
      </c>
      <c r="J340" s="169">
        <v>1.0095000000000001</v>
      </c>
      <c r="K340" s="169">
        <v>1.0095000000000001</v>
      </c>
      <c r="L340" s="169">
        <v>1.0095000000000001</v>
      </c>
      <c r="M340" s="169">
        <v>1.0095000000000001</v>
      </c>
      <c r="N340" s="169">
        <v>1.0095000000000001</v>
      </c>
      <c r="O340" s="169">
        <v>1.0095000000000001</v>
      </c>
      <c r="P340" s="169">
        <v>1.0095000000000001</v>
      </c>
      <c r="Q340" s="169">
        <v>1.0095000000000001</v>
      </c>
      <c r="R340" s="169">
        <v>1.0095000000000001</v>
      </c>
      <c r="S340" s="169">
        <v>1.0095000000000001</v>
      </c>
      <c r="T340" s="169">
        <v>1.0095000000000001</v>
      </c>
      <c r="U340" s="169">
        <v>1.0095000000000001</v>
      </c>
      <c r="V340" s="169">
        <v>1.0095000000000001</v>
      </c>
      <c r="W340" s="169">
        <v>1.0095000000000001</v>
      </c>
      <c r="X340" s="169">
        <v>1.0095000000000001</v>
      </c>
      <c r="Y340" s="169">
        <v>1.0095000000000001</v>
      </c>
      <c r="Z340" s="169">
        <v>1.0095000000000001</v>
      </c>
      <c r="AA340" s="169">
        <v>1.0095000000000001</v>
      </c>
      <c r="AB340" s="169">
        <v>1.0095000000000001</v>
      </c>
      <c r="AC340" s="169">
        <v>1.0095000000000001</v>
      </c>
      <c r="AD340" s="169">
        <v>1.0095000000000001</v>
      </c>
      <c r="AE340" s="169">
        <v>1.0095000000000001</v>
      </c>
      <c r="AF340" s="169">
        <v>1.0095000000000001</v>
      </c>
      <c r="AG340" s="169">
        <v>1.0095000000000001</v>
      </c>
      <c r="AH340" s="169">
        <v>1.0095000000000001</v>
      </c>
      <c r="AI340" s="169">
        <v>1.0095000000000001</v>
      </c>
      <c r="AJ340" s="169">
        <v>1.0095000000000001</v>
      </c>
      <c r="AK340" s="169">
        <v>1.0095000000000001</v>
      </c>
      <c r="AL340" s="169">
        <v>1.0095000000000001</v>
      </c>
      <c r="AM340" s="169">
        <v>1.0095000000000001</v>
      </c>
      <c r="AN340" s="169">
        <v>1.0095000000000001</v>
      </c>
      <c r="AO340" s="169">
        <v>1.0095000000000001</v>
      </c>
    </row>
    <row r="341" spans="1:41" x14ac:dyDescent="0.35">
      <c r="A341" s="147" t="str">
        <f t="shared" si="266"/>
        <v>WACC_095</v>
      </c>
      <c r="B341" s="137" t="s">
        <v>28</v>
      </c>
      <c r="C341" s="140" t="s">
        <v>96</v>
      </c>
      <c r="D341" s="138" t="s">
        <v>81</v>
      </c>
      <c r="E341" s="62">
        <v>1.2913383958635649</v>
      </c>
      <c r="F341" s="169">
        <v>1.2913383958635649</v>
      </c>
      <c r="G341" s="169">
        <v>1.2913383958635649</v>
      </c>
      <c r="H341" s="169">
        <v>1.2913383958635649</v>
      </c>
      <c r="I341" s="169">
        <v>1.2913383958635649</v>
      </c>
      <c r="J341" s="169">
        <v>1.2913383958635649</v>
      </c>
      <c r="K341" s="169">
        <v>1.2913383958635649</v>
      </c>
      <c r="L341" s="169">
        <v>1.2913383958635649</v>
      </c>
      <c r="M341" s="169">
        <v>1.2913383958635649</v>
      </c>
      <c r="N341" s="169">
        <v>1.2913383958635649</v>
      </c>
      <c r="O341" s="169">
        <v>1.2913383958635649</v>
      </c>
      <c r="P341" s="169">
        <v>1.2913383958635649</v>
      </c>
      <c r="Q341" s="169">
        <v>1.2913383958635649</v>
      </c>
      <c r="R341" s="169">
        <v>1.2913383958635649</v>
      </c>
      <c r="S341" s="169">
        <v>1.2913383958635649</v>
      </c>
      <c r="T341" s="169">
        <v>1.2913383958635649</v>
      </c>
      <c r="U341" s="169">
        <v>1.2913383958635649</v>
      </c>
      <c r="V341" s="169">
        <v>1.2913383958635649</v>
      </c>
      <c r="W341" s="169">
        <v>1.2913383958635649</v>
      </c>
      <c r="X341" s="169">
        <v>1.2913383958635649</v>
      </c>
      <c r="Y341" s="169">
        <v>1.2913383958635649</v>
      </c>
      <c r="Z341" s="169">
        <v>1.2913383958635649</v>
      </c>
      <c r="AA341" s="169">
        <v>1.2913383958635649</v>
      </c>
      <c r="AB341" s="169">
        <v>1.2913383958635649</v>
      </c>
      <c r="AC341" s="169">
        <v>1.2913383958635649</v>
      </c>
      <c r="AD341" s="169">
        <v>1.2913383958635649</v>
      </c>
      <c r="AE341" s="169">
        <v>1.2913383958635649</v>
      </c>
      <c r="AF341" s="169">
        <v>1.2913383958635649</v>
      </c>
      <c r="AG341" s="169">
        <v>1.2913383958635649</v>
      </c>
      <c r="AH341" s="169">
        <v>1.2913383958635649</v>
      </c>
      <c r="AI341" s="169">
        <v>1.2913383958635649</v>
      </c>
      <c r="AJ341" s="169">
        <v>1.2913383958635649</v>
      </c>
      <c r="AK341" s="169">
        <v>1.2913383958635649</v>
      </c>
      <c r="AL341" s="169">
        <v>1.2913383958635649</v>
      </c>
      <c r="AM341" s="169">
        <v>1.2913383958635649</v>
      </c>
      <c r="AN341" s="169">
        <v>1.2913383958635649</v>
      </c>
      <c r="AO341" s="169">
        <v>1.2913383958635649</v>
      </c>
    </row>
    <row r="342" spans="1:41" x14ac:dyDescent="0.35">
      <c r="A342" s="148" t="s">
        <v>97</v>
      </c>
      <c r="B342" s="149" t="s">
        <v>15</v>
      </c>
      <c r="C342" s="150" t="s">
        <v>96</v>
      </c>
      <c r="D342" s="150" t="s">
        <v>81</v>
      </c>
      <c r="E342" s="63">
        <v>1.1100000000000001</v>
      </c>
      <c r="F342" s="150">
        <v>1.1100000000000001</v>
      </c>
      <c r="G342" s="150">
        <v>1.1100000000000001</v>
      </c>
      <c r="H342" s="150">
        <v>1.1100000000000001</v>
      </c>
      <c r="I342" s="150">
        <v>1.1100000000000001</v>
      </c>
      <c r="J342" s="150">
        <v>1.1100000000000001</v>
      </c>
      <c r="K342" s="150">
        <v>1.1100000000000001</v>
      </c>
      <c r="L342" s="150">
        <v>1.1100000000000001</v>
      </c>
      <c r="M342" s="150">
        <v>1.1100000000000001</v>
      </c>
      <c r="N342" s="150">
        <v>1.1100000000000001</v>
      </c>
      <c r="O342" s="150">
        <v>1.1100000000000001</v>
      </c>
      <c r="P342" s="150">
        <v>1.1100000000000001</v>
      </c>
      <c r="Q342" s="150">
        <v>1.1100000000000001</v>
      </c>
      <c r="R342" s="150">
        <v>1.1100000000000001</v>
      </c>
      <c r="S342" s="150">
        <v>1.1100000000000001</v>
      </c>
      <c r="T342" s="150">
        <v>1.1100000000000001</v>
      </c>
      <c r="U342" s="150">
        <v>1.1100000000000001</v>
      </c>
      <c r="V342" s="150">
        <v>1.1100000000000001</v>
      </c>
      <c r="W342" s="150">
        <v>1.1100000000000001</v>
      </c>
      <c r="X342" s="150">
        <v>1.1100000000000001</v>
      </c>
      <c r="Y342" s="150">
        <v>1.1100000000000001</v>
      </c>
      <c r="Z342" s="150">
        <v>1.1100000000000001</v>
      </c>
      <c r="AA342" s="150">
        <v>1.1100000000000001</v>
      </c>
      <c r="AB342" s="150">
        <v>1.1100000000000001</v>
      </c>
      <c r="AC342" s="150">
        <v>1.1100000000000001</v>
      </c>
      <c r="AD342" s="150">
        <v>1.1100000000000001</v>
      </c>
      <c r="AE342" s="150">
        <v>1.1100000000000001</v>
      </c>
      <c r="AF342" s="150">
        <v>1.1100000000000001</v>
      </c>
      <c r="AG342" s="150">
        <v>1.1100000000000001</v>
      </c>
      <c r="AH342" s="150">
        <v>1.1100000000000001</v>
      </c>
      <c r="AI342" s="150">
        <v>1.1100000000000001</v>
      </c>
      <c r="AJ342" s="150">
        <v>1.1100000000000001</v>
      </c>
      <c r="AK342" s="150">
        <v>1.1100000000000001</v>
      </c>
      <c r="AL342" s="150">
        <v>1.1100000000000001</v>
      </c>
      <c r="AM342" s="150">
        <v>1.1100000000000001</v>
      </c>
      <c r="AN342" s="150">
        <v>1.1100000000000001</v>
      </c>
      <c r="AO342" s="150">
        <v>1.1100000000000001</v>
      </c>
    </row>
    <row r="343" spans="1:41" x14ac:dyDescent="0.35">
      <c r="A343" s="148" t="str">
        <f t="shared" ref="A343:A360" si="267">A342</f>
        <v>WACC_082</v>
      </c>
      <c r="B343" s="151" t="s">
        <v>25</v>
      </c>
      <c r="C343" s="150" t="s">
        <v>96</v>
      </c>
      <c r="D343" s="152" t="s">
        <v>81</v>
      </c>
      <c r="E343" s="64">
        <v>1.1100000000000001</v>
      </c>
      <c r="F343" s="150">
        <v>1.1100000000000001</v>
      </c>
      <c r="G343" s="150">
        <v>1.1100000000000001</v>
      </c>
      <c r="H343" s="150">
        <v>1.1100000000000001</v>
      </c>
      <c r="I343" s="150">
        <v>1.1100000000000001</v>
      </c>
      <c r="J343" s="150">
        <v>1.1100000000000001</v>
      </c>
      <c r="K343" s="150">
        <v>1.1100000000000001</v>
      </c>
      <c r="L343" s="150">
        <v>1.1100000000000001</v>
      </c>
      <c r="M343" s="150">
        <v>1.1100000000000001</v>
      </c>
      <c r="N343" s="150">
        <v>1.1100000000000001</v>
      </c>
      <c r="O343" s="150">
        <v>1.1100000000000001</v>
      </c>
      <c r="P343" s="150">
        <v>1.1100000000000001</v>
      </c>
      <c r="Q343" s="150">
        <v>1.1100000000000001</v>
      </c>
      <c r="R343" s="150">
        <v>1.1100000000000001</v>
      </c>
      <c r="S343" s="150">
        <v>1.1100000000000001</v>
      </c>
      <c r="T343" s="150">
        <v>1.1100000000000001</v>
      </c>
      <c r="U343" s="150">
        <v>1.1100000000000001</v>
      </c>
      <c r="V343" s="150">
        <v>1.1100000000000001</v>
      </c>
      <c r="W343" s="150">
        <v>1.1100000000000001</v>
      </c>
      <c r="X343" s="150">
        <v>1.1100000000000001</v>
      </c>
      <c r="Y343" s="150">
        <v>1.1100000000000001</v>
      </c>
      <c r="Z343" s="150">
        <v>1.1100000000000001</v>
      </c>
      <c r="AA343" s="150">
        <v>1.1100000000000001</v>
      </c>
      <c r="AB343" s="150">
        <v>1.1100000000000001</v>
      </c>
      <c r="AC343" s="150">
        <v>1.1100000000000001</v>
      </c>
      <c r="AD343" s="150">
        <v>1.1100000000000001</v>
      </c>
      <c r="AE343" s="150">
        <v>1.1100000000000001</v>
      </c>
      <c r="AF343" s="150">
        <v>1.1100000000000001</v>
      </c>
      <c r="AG343" s="150">
        <v>1.1100000000000001</v>
      </c>
      <c r="AH343" s="150">
        <v>1.1100000000000001</v>
      </c>
      <c r="AI343" s="150">
        <v>1.1100000000000001</v>
      </c>
      <c r="AJ343" s="150">
        <v>1.1100000000000001</v>
      </c>
      <c r="AK343" s="150">
        <v>1.1100000000000001</v>
      </c>
      <c r="AL343" s="150">
        <v>1.1100000000000001</v>
      </c>
      <c r="AM343" s="150">
        <v>1.1100000000000001</v>
      </c>
      <c r="AN343" s="150">
        <v>1.1100000000000001</v>
      </c>
      <c r="AO343" s="150">
        <v>1.1100000000000001</v>
      </c>
    </row>
    <row r="344" spans="1:41" x14ac:dyDescent="0.35">
      <c r="A344" s="148" t="str">
        <f t="shared" si="267"/>
        <v>WACC_082</v>
      </c>
      <c r="B344" s="149" t="s">
        <v>26</v>
      </c>
      <c r="C344" s="150" t="s">
        <v>96</v>
      </c>
      <c r="D344" s="150" t="s">
        <v>81</v>
      </c>
      <c r="E344" s="63">
        <v>1.25</v>
      </c>
      <c r="F344" s="150">
        <v>1.25</v>
      </c>
      <c r="G344" s="150">
        <v>1.25</v>
      </c>
      <c r="H344" s="150">
        <v>1.25</v>
      </c>
      <c r="I344" s="150">
        <v>1.25</v>
      </c>
      <c r="J344" s="150">
        <v>1.25</v>
      </c>
      <c r="K344" s="150">
        <v>1.25</v>
      </c>
      <c r="L344" s="150">
        <v>1.25</v>
      </c>
      <c r="M344" s="150">
        <v>1.25</v>
      </c>
      <c r="N344" s="150">
        <v>1.25</v>
      </c>
      <c r="O344" s="150">
        <v>1.25</v>
      </c>
      <c r="P344" s="150">
        <v>1.25</v>
      </c>
      <c r="Q344" s="150">
        <v>1.25</v>
      </c>
      <c r="R344" s="150">
        <v>1.25</v>
      </c>
      <c r="S344" s="150">
        <v>1.25</v>
      </c>
      <c r="T344" s="150">
        <v>1.25</v>
      </c>
      <c r="U344" s="150">
        <v>1.25</v>
      </c>
      <c r="V344" s="150">
        <v>1.25</v>
      </c>
      <c r="W344" s="150">
        <v>1.25</v>
      </c>
      <c r="X344" s="150">
        <v>1.25</v>
      </c>
      <c r="Y344" s="150">
        <v>1.25</v>
      </c>
      <c r="Z344" s="150">
        <v>1.25</v>
      </c>
      <c r="AA344" s="150">
        <v>1.25</v>
      </c>
      <c r="AB344" s="150">
        <v>1.25</v>
      </c>
      <c r="AC344" s="150">
        <v>1.25</v>
      </c>
      <c r="AD344" s="150">
        <v>1.25</v>
      </c>
      <c r="AE344" s="150">
        <v>1.25</v>
      </c>
      <c r="AF344" s="150">
        <v>1.25</v>
      </c>
      <c r="AG344" s="150">
        <v>1.25</v>
      </c>
      <c r="AH344" s="150">
        <v>1.25</v>
      </c>
      <c r="AI344" s="150">
        <v>1.25</v>
      </c>
      <c r="AJ344" s="150">
        <v>1.25</v>
      </c>
      <c r="AK344" s="150">
        <v>1.25</v>
      </c>
      <c r="AL344" s="150">
        <v>1.25</v>
      </c>
      <c r="AM344" s="150">
        <v>1.25</v>
      </c>
      <c r="AN344" s="150">
        <v>1.25</v>
      </c>
      <c r="AO344" s="150">
        <v>1.25</v>
      </c>
    </row>
    <row r="345" spans="1:41" x14ac:dyDescent="0.35">
      <c r="A345" s="148" t="str">
        <f t="shared" si="267"/>
        <v>WACC_082</v>
      </c>
      <c r="B345" s="151" t="s">
        <v>23</v>
      </c>
      <c r="C345" s="150" t="s">
        <v>96</v>
      </c>
      <c r="D345" s="152" t="s">
        <v>81</v>
      </c>
      <c r="E345" s="64">
        <v>1.07</v>
      </c>
      <c r="F345" s="150">
        <v>1.07</v>
      </c>
      <c r="G345" s="150">
        <v>1.07</v>
      </c>
      <c r="H345" s="150">
        <v>1.07</v>
      </c>
      <c r="I345" s="150">
        <v>1.07</v>
      </c>
      <c r="J345" s="150">
        <v>1.07</v>
      </c>
      <c r="K345" s="150">
        <v>1.07</v>
      </c>
      <c r="L345" s="150">
        <v>1.07</v>
      </c>
      <c r="M345" s="150">
        <v>1.07</v>
      </c>
      <c r="N345" s="150">
        <v>1.07</v>
      </c>
      <c r="O345" s="150">
        <v>1.07</v>
      </c>
      <c r="P345" s="150">
        <v>1.07</v>
      </c>
      <c r="Q345" s="150">
        <v>1.07</v>
      </c>
      <c r="R345" s="150">
        <v>1.07</v>
      </c>
      <c r="S345" s="150">
        <v>1.07</v>
      </c>
      <c r="T345" s="150">
        <v>1.07</v>
      </c>
      <c r="U345" s="150">
        <v>1.07</v>
      </c>
      <c r="V345" s="150">
        <v>1.07</v>
      </c>
      <c r="W345" s="150">
        <v>1.07</v>
      </c>
      <c r="X345" s="150">
        <v>1.07</v>
      </c>
      <c r="Y345" s="150">
        <v>1.07</v>
      </c>
      <c r="Z345" s="150">
        <v>1.07</v>
      </c>
      <c r="AA345" s="150">
        <v>1.07</v>
      </c>
      <c r="AB345" s="150">
        <v>1.07</v>
      </c>
      <c r="AC345" s="150">
        <v>1.07</v>
      </c>
      <c r="AD345" s="150">
        <v>1.07</v>
      </c>
      <c r="AE345" s="150">
        <v>1.07</v>
      </c>
      <c r="AF345" s="150">
        <v>1.07</v>
      </c>
      <c r="AG345" s="150">
        <v>1.07</v>
      </c>
      <c r="AH345" s="150">
        <v>1.07</v>
      </c>
      <c r="AI345" s="150">
        <v>1.07</v>
      </c>
      <c r="AJ345" s="150">
        <v>1.07</v>
      </c>
      <c r="AK345" s="150">
        <v>1.07</v>
      </c>
      <c r="AL345" s="150">
        <v>1.07</v>
      </c>
      <c r="AM345" s="150">
        <v>1.07</v>
      </c>
      <c r="AN345" s="150">
        <v>1.07</v>
      </c>
      <c r="AO345" s="150">
        <v>1.07</v>
      </c>
    </row>
    <row r="346" spans="1:41" x14ac:dyDescent="0.35">
      <c r="A346" s="148" t="str">
        <f t="shared" si="267"/>
        <v>WACC_082</v>
      </c>
      <c r="B346" s="149" t="s">
        <v>24</v>
      </c>
      <c r="C346" s="150" t="s">
        <v>96</v>
      </c>
      <c r="D346" s="150" t="s">
        <v>81</v>
      </c>
      <c r="E346" s="63">
        <f>E345</f>
        <v>1.07</v>
      </c>
      <c r="F346" s="150">
        <f>F345</f>
        <v>1.07</v>
      </c>
      <c r="G346" s="150">
        <f t="shared" ref="G346:AO351" si="268">G345</f>
        <v>1.07</v>
      </c>
      <c r="H346" s="150">
        <f t="shared" si="268"/>
        <v>1.07</v>
      </c>
      <c r="I346" s="150">
        <f t="shared" si="268"/>
        <v>1.07</v>
      </c>
      <c r="J346" s="150">
        <f t="shared" si="268"/>
        <v>1.07</v>
      </c>
      <c r="K346" s="150">
        <f t="shared" si="268"/>
        <v>1.07</v>
      </c>
      <c r="L346" s="150">
        <f t="shared" si="268"/>
        <v>1.07</v>
      </c>
      <c r="M346" s="150">
        <f t="shared" si="268"/>
        <v>1.07</v>
      </c>
      <c r="N346" s="150">
        <f t="shared" si="268"/>
        <v>1.07</v>
      </c>
      <c r="O346" s="150">
        <f t="shared" si="268"/>
        <v>1.07</v>
      </c>
      <c r="P346" s="150">
        <f t="shared" si="268"/>
        <v>1.07</v>
      </c>
      <c r="Q346" s="150">
        <f t="shared" si="268"/>
        <v>1.07</v>
      </c>
      <c r="R346" s="150">
        <f t="shared" si="268"/>
        <v>1.07</v>
      </c>
      <c r="S346" s="150">
        <f t="shared" si="268"/>
        <v>1.07</v>
      </c>
      <c r="T346" s="150">
        <f t="shared" si="268"/>
        <v>1.07</v>
      </c>
      <c r="U346" s="150">
        <f t="shared" si="268"/>
        <v>1.07</v>
      </c>
      <c r="V346" s="150">
        <f t="shared" si="268"/>
        <v>1.07</v>
      </c>
      <c r="W346" s="150">
        <f t="shared" si="268"/>
        <v>1.07</v>
      </c>
      <c r="X346" s="150">
        <f t="shared" si="268"/>
        <v>1.07</v>
      </c>
      <c r="Y346" s="150">
        <f t="shared" si="268"/>
        <v>1.07</v>
      </c>
      <c r="Z346" s="150">
        <f t="shared" si="268"/>
        <v>1.07</v>
      </c>
      <c r="AA346" s="150">
        <f t="shared" si="268"/>
        <v>1.07</v>
      </c>
      <c r="AB346" s="150">
        <f t="shared" si="268"/>
        <v>1.07</v>
      </c>
      <c r="AC346" s="150">
        <f t="shared" si="268"/>
        <v>1.07</v>
      </c>
      <c r="AD346" s="150">
        <f t="shared" si="268"/>
        <v>1.07</v>
      </c>
      <c r="AE346" s="150">
        <f t="shared" si="268"/>
        <v>1.07</v>
      </c>
      <c r="AF346" s="150">
        <f t="shared" si="268"/>
        <v>1.07</v>
      </c>
      <c r="AG346" s="150">
        <f t="shared" si="268"/>
        <v>1.07</v>
      </c>
      <c r="AH346" s="150">
        <f t="shared" si="268"/>
        <v>1.07</v>
      </c>
      <c r="AI346" s="150">
        <f t="shared" si="268"/>
        <v>1.07</v>
      </c>
      <c r="AJ346" s="150">
        <f t="shared" si="268"/>
        <v>1.07</v>
      </c>
      <c r="AK346" s="150">
        <f t="shared" si="268"/>
        <v>1.07</v>
      </c>
      <c r="AL346" s="150">
        <f t="shared" si="268"/>
        <v>1.07</v>
      </c>
      <c r="AM346" s="150">
        <f t="shared" si="268"/>
        <v>1.07</v>
      </c>
      <c r="AN346" s="150">
        <f t="shared" si="268"/>
        <v>1.07</v>
      </c>
      <c r="AO346" s="150">
        <f t="shared" si="268"/>
        <v>1.07</v>
      </c>
    </row>
    <row r="347" spans="1:41" x14ac:dyDescent="0.35">
      <c r="A347" s="148" t="str">
        <f t="shared" si="267"/>
        <v>WACC_082</v>
      </c>
      <c r="B347" s="151" t="s">
        <v>17</v>
      </c>
      <c r="C347" s="150" t="s">
        <v>96</v>
      </c>
      <c r="D347" s="152" t="s">
        <v>81</v>
      </c>
      <c r="E347" s="63">
        <f t="shared" ref="E347:F351" si="269">E346</f>
        <v>1.07</v>
      </c>
      <c r="F347" s="150">
        <f t="shared" si="269"/>
        <v>1.07</v>
      </c>
      <c r="G347" s="150">
        <f t="shared" si="268"/>
        <v>1.07</v>
      </c>
      <c r="H347" s="150">
        <f t="shared" si="268"/>
        <v>1.07</v>
      </c>
      <c r="I347" s="150">
        <f t="shared" si="268"/>
        <v>1.07</v>
      </c>
      <c r="J347" s="150">
        <f t="shared" si="268"/>
        <v>1.07</v>
      </c>
      <c r="K347" s="150">
        <f t="shared" si="268"/>
        <v>1.07</v>
      </c>
      <c r="L347" s="150">
        <f t="shared" si="268"/>
        <v>1.07</v>
      </c>
      <c r="M347" s="150">
        <f t="shared" si="268"/>
        <v>1.07</v>
      </c>
      <c r="N347" s="150">
        <f t="shared" si="268"/>
        <v>1.07</v>
      </c>
      <c r="O347" s="150">
        <f t="shared" si="268"/>
        <v>1.07</v>
      </c>
      <c r="P347" s="150">
        <f t="shared" si="268"/>
        <v>1.07</v>
      </c>
      <c r="Q347" s="150">
        <f t="shared" si="268"/>
        <v>1.07</v>
      </c>
      <c r="R347" s="150">
        <f t="shared" si="268"/>
        <v>1.07</v>
      </c>
      <c r="S347" s="150">
        <f t="shared" si="268"/>
        <v>1.07</v>
      </c>
      <c r="T347" s="150">
        <f t="shared" si="268"/>
        <v>1.07</v>
      </c>
      <c r="U347" s="150">
        <f t="shared" si="268"/>
        <v>1.07</v>
      </c>
      <c r="V347" s="150">
        <f t="shared" si="268"/>
        <v>1.07</v>
      </c>
      <c r="W347" s="150">
        <f t="shared" si="268"/>
        <v>1.07</v>
      </c>
      <c r="X347" s="150">
        <f t="shared" si="268"/>
        <v>1.07</v>
      </c>
      <c r="Y347" s="150">
        <f t="shared" si="268"/>
        <v>1.07</v>
      </c>
      <c r="Z347" s="150">
        <f t="shared" si="268"/>
        <v>1.07</v>
      </c>
      <c r="AA347" s="150">
        <f t="shared" si="268"/>
        <v>1.07</v>
      </c>
      <c r="AB347" s="150">
        <f t="shared" si="268"/>
        <v>1.07</v>
      </c>
      <c r="AC347" s="150">
        <f t="shared" si="268"/>
        <v>1.07</v>
      </c>
      <c r="AD347" s="150">
        <f t="shared" si="268"/>
        <v>1.07</v>
      </c>
      <c r="AE347" s="150">
        <f t="shared" si="268"/>
        <v>1.07</v>
      </c>
      <c r="AF347" s="150">
        <f t="shared" si="268"/>
        <v>1.07</v>
      </c>
      <c r="AG347" s="150">
        <f t="shared" si="268"/>
        <v>1.07</v>
      </c>
      <c r="AH347" s="150">
        <f t="shared" si="268"/>
        <v>1.07</v>
      </c>
      <c r="AI347" s="150">
        <f t="shared" si="268"/>
        <v>1.07</v>
      </c>
      <c r="AJ347" s="150">
        <f t="shared" si="268"/>
        <v>1.07</v>
      </c>
      <c r="AK347" s="150">
        <f t="shared" si="268"/>
        <v>1.07</v>
      </c>
      <c r="AL347" s="150">
        <f t="shared" si="268"/>
        <v>1.07</v>
      </c>
      <c r="AM347" s="150">
        <f t="shared" si="268"/>
        <v>1.07</v>
      </c>
      <c r="AN347" s="150">
        <f t="shared" si="268"/>
        <v>1.07</v>
      </c>
      <c r="AO347" s="150">
        <f t="shared" si="268"/>
        <v>1.07</v>
      </c>
    </row>
    <row r="348" spans="1:41" x14ac:dyDescent="0.35">
      <c r="A348" s="148" t="str">
        <f t="shared" si="267"/>
        <v>WACC_082</v>
      </c>
      <c r="B348" s="149" t="s">
        <v>18</v>
      </c>
      <c r="C348" s="150" t="s">
        <v>96</v>
      </c>
      <c r="D348" s="150" t="s">
        <v>81</v>
      </c>
      <c r="E348" s="63">
        <f t="shared" si="269"/>
        <v>1.07</v>
      </c>
      <c r="F348" s="150">
        <f t="shared" si="269"/>
        <v>1.07</v>
      </c>
      <c r="G348" s="150">
        <f t="shared" si="268"/>
        <v>1.07</v>
      </c>
      <c r="H348" s="150">
        <f t="shared" si="268"/>
        <v>1.07</v>
      </c>
      <c r="I348" s="150">
        <f t="shared" si="268"/>
        <v>1.07</v>
      </c>
      <c r="J348" s="150">
        <f t="shared" si="268"/>
        <v>1.07</v>
      </c>
      <c r="K348" s="150">
        <f t="shared" si="268"/>
        <v>1.07</v>
      </c>
      <c r="L348" s="150">
        <f t="shared" si="268"/>
        <v>1.07</v>
      </c>
      <c r="M348" s="150">
        <f t="shared" si="268"/>
        <v>1.07</v>
      </c>
      <c r="N348" s="150">
        <f t="shared" si="268"/>
        <v>1.07</v>
      </c>
      <c r="O348" s="150">
        <f t="shared" si="268"/>
        <v>1.07</v>
      </c>
      <c r="P348" s="150">
        <f t="shared" si="268"/>
        <v>1.07</v>
      </c>
      <c r="Q348" s="150">
        <f t="shared" si="268"/>
        <v>1.07</v>
      </c>
      <c r="R348" s="150">
        <f t="shared" si="268"/>
        <v>1.07</v>
      </c>
      <c r="S348" s="150">
        <f t="shared" si="268"/>
        <v>1.07</v>
      </c>
      <c r="T348" s="150">
        <f t="shared" si="268"/>
        <v>1.07</v>
      </c>
      <c r="U348" s="150">
        <f t="shared" si="268"/>
        <v>1.07</v>
      </c>
      <c r="V348" s="150">
        <f t="shared" si="268"/>
        <v>1.07</v>
      </c>
      <c r="W348" s="150">
        <f t="shared" si="268"/>
        <v>1.07</v>
      </c>
      <c r="X348" s="150">
        <f t="shared" si="268"/>
        <v>1.07</v>
      </c>
      <c r="Y348" s="150">
        <f t="shared" si="268"/>
        <v>1.07</v>
      </c>
      <c r="Z348" s="150">
        <f t="shared" si="268"/>
        <v>1.07</v>
      </c>
      <c r="AA348" s="150">
        <f t="shared" si="268"/>
        <v>1.07</v>
      </c>
      <c r="AB348" s="150">
        <f t="shared" si="268"/>
        <v>1.07</v>
      </c>
      <c r="AC348" s="150">
        <f t="shared" si="268"/>
        <v>1.07</v>
      </c>
      <c r="AD348" s="150">
        <f t="shared" si="268"/>
        <v>1.07</v>
      </c>
      <c r="AE348" s="150">
        <f t="shared" si="268"/>
        <v>1.07</v>
      </c>
      <c r="AF348" s="150">
        <f t="shared" si="268"/>
        <v>1.07</v>
      </c>
      <c r="AG348" s="150">
        <f t="shared" si="268"/>
        <v>1.07</v>
      </c>
      <c r="AH348" s="150">
        <f t="shared" si="268"/>
        <v>1.07</v>
      </c>
      <c r="AI348" s="150">
        <f t="shared" si="268"/>
        <v>1.07</v>
      </c>
      <c r="AJ348" s="150">
        <f t="shared" si="268"/>
        <v>1.07</v>
      </c>
      <c r="AK348" s="150">
        <f t="shared" si="268"/>
        <v>1.07</v>
      </c>
      <c r="AL348" s="150">
        <f t="shared" si="268"/>
        <v>1.07</v>
      </c>
      <c r="AM348" s="150">
        <f t="shared" si="268"/>
        <v>1.07</v>
      </c>
      <c r="AN348" s="150">
        <f t="shared" si="268"/>
        <v>1.07</v>
      </c>
      <c r="AO348" s="150">
        <f t="shared" si="268"/>
        <v>1.07</v>
      </c>
    </row>
    <row r="349" spans="1:41" x14ac:dyDescent="0.35">
      <c r="A349" s="148" t="str">
        <f t="shared" si="267"/>
        <v>WACC_082</v>
      </c>
      <c r="B349" s="151" t="s">
        <v>19</v>
      </c>
      <c r="C349" s="150" t="s">
        <v>96</v>
      </c>
      <c r="D349" s="152" t="s">
        <v>81</v>
      </c>
      <c r="E349" s="63">
        <f t="shared" si="269"/>
        <v>1.07</v>
      </c>
      <c r="F349" s="150">
        <f t="shared" si="269"/>
        <v>1.07</v>
      </c>
      <c r="G349" s="150">
        <f t="shared" si="268"/>
        <v>1.07</v>
      </c>
      <c r="H349" s="150">
        <f t="shared" si="268"/>
        <v>1.07</v>
      </c>
      <c r="I349" s="150">
        <f t="shared" si="268"/>
        <v>1.07</v>
      </c>
      <c r="J349" s="150">
        <f t="shared" si="268"/>
        <v>1.07</v>
      </c>
      <c r="K349" s="150">
        <f t="shared" si="268"/>
        <v>1.07</v>
      </c>
      <c r="L349" s="150">
        <f t="shared" si="268"/>
        <v>1.07</v>
      </c>
      <c r="M349" s="150">
        <f t="shared" si="268"/>
        <v>1.07</v>
      </c>
      <c r="N349" s="150">
        <f t="shared" si="268"/>
        <v>1.07</v>
      </c>
      <c r="O349" s="150">
        <f t="shared" si="268"/>
        <v>1.07</v>
      </c>
      <c r="P349" s="150">
        <f t="shared" si="268"/>
        <v>1.07</v>
      </c>
      <c r="Q349" s="150">
        <f t="shared" si="268"/>
        <v>1.07</v>
      </c>
      <c r="R349" s="150">
        <f t="shared" si="268"/>
        <v>1.07</v>
      </c>
      <c r="S349" s="150">
        <f t="shared" si="268"/>
        <v>1.07</v>
      </c>
      <c r="T349" s="150">
        <f t="shared" si="268"/>
        <v>1.07</v>
      </c>
      <c r="U349" s="150">
        <f t="shared" si="268"/>
        <v>1.07</v>
      </c>
      <c r="V349" s="150">
        <f t="shared" si="268"/>
        <v>1.07</v>
      </c>
      <c r="W349" s="150">
        <f t="shared" si="268"/>
        <v>1.07</v>
      </c>
      <c r="X349" s="150">
        <f t="shared" si="268"/>
        <v>1.07</v>
      </c>
      <c r="Y349" s="150">
        <f t="shared" si="268"/>
        <v>1.07</v>
      </c>
      <c r="Z349" s="150">
        <f t="shared" si="268"/>
        <v>1.07</v>
      </c>
      <c r="AA349" s="150">
        <f t="shared" si="268"/>
        <v>1.07</v>
      </c>
      <c r="AB349" s="150">
        <f t="shared" si="268"/>
        <v>1.07</v>
      </c>
      <c r="AC349" s="150">
        <f t="shared" si="268"/>
        <v>1.07</v>
      </c>
      <c r="AD349" s="150">
        <f t="shared" si="268"/>
        <v>1.07</v>
      </c>
      <c r="AE349" s="150">
        <f t="shared" si="268"/>
        <v>1.07</v>
      </c>
      <c r="AF349" s="150">
        <f t="shared" si="268"/>
        <v>1.07</v>
      </c>
      <c r="AG349" s="150">
        <f t="shared" si="268"/>
        <v>1.07</v>
      </c>
      <c r="AH349" s="150">
        <f t="shared" si="268"/>
        <v>1.07</v>
      </c>
      <c r="AI349" s="150">
        <f t="shared" si="268"/>
        <v>1.07</v>
      </c>
      <c r="AJ349" s="150">
        <f t="shared" si="268"/>
        <v>1.07</v>
      </c>
      <c r="AK349" s="150">
        <f t="shared" si="268"/>
        <v>1.07</v>
      </c>
      <c r="AL349" s="150">
        <f t="shared" si="268"/>
        <v>1.07</v>
      </c>
      <c r="AM349" s="150">
        <f t="shared" si="268"/>
        <v>1.07</v>
      </c>
      <c r="AN349" s="150">
        <f t="shared" si="268"/>
        <v>1.07</v>
      </c>
      <c r="AO349" s="150">
        <f t="shared" si="268"/>
        <v>1.07</v>
      </c>
    </row>
    <row r="350" spans="1:41" x14ac:dyDescent="0.35">
      <c r="A350" s="148" t="str">
        <f t="shared" si="267"/>
        <v>WACC_082</v>
      </c>
      <c r="B350" s="149" t="s">
        <v>20</v>
      </c>
      <c r="C350" s="150" t="s">
        <v>96</v>
      </c>
      <c r="D350" s="150" t="s">
        <v>81</v>
      </c>
      <c r="E350" s="63">
        <f t="shared" si="269"/>
        <v>1.07</v>
      </c>
      <c r="F350" s="150">
        <f t="shared" si="269"/>
        <v>1.07</v>
      </c>
      <c r="G350" s="150">
        <f t="shared" si="268"/>
        <v>1.07</v>
      </c>
      <c r="H350" s="150">
        <f t="shared" si="268"/>
        <v>1.07</v>
      </c>
      <c r="I350" s="150">
        <f t="shared" si="268"/>
        <v>1.07</v>
      </c>
      <c r="J350" s="150">
        <f t="shared" si="268"/>
        <v>1.07</v>
      </c>
      <c r="K350" s="150">
        <f t="shared" si="268"/>
        <v>1.07</v>
      </c>
      <c r="L350" s="150">
        <f t="shared" si="268"/>
        <v>1.07</v>
      </c>
      <c r="M350" s="150">
        <f t="shared" si="268"/>
        <v>1.07</v>
      </c>
      <c r="N350" s="150">
        <f t="shared" si="268"/>
        <v>1.07</v>
      </c>
      <c r="O350" s="150">
        <f t="shared" si="268"/>
        <v>1.07</v>
      </c>
      <c r="P350" s="150">
        <f t="shared" si="268"/>
        <v>1.07</v>
      </c>
      <c r="Q350" s="150">
        <f t="shared" si="268"/>
        <v>1.07</v>
      </c>
      <c r="R350" s="150">
        <f t="shared" si="268"/>
        <v>1.07</v>
      </c>
      <c r="S350" s="150">
        <f t="shared" si="268"/>
        <v>1.07</v>
      </c>
      <c r="T350" s="150">
        <f t="shared" si="268"/>
        <v>1.07</v>
      </c>
      <c r="U350" s="150">
        <f t="shared" si="268"/>
        <v>1.07</v>
      </c>
      <c r="V350" s="150">
        <f t="shared" si="268"/>
        <v>1.07</v>
      </c>
      <c r="W350" s="150">
        <f t="shared" si="268"/>
        <v>1.07</v>
      </c>
      <c r="X350" s="150">
        <f t="shared" si="268"/>
        <v>1.07</v>
      </c>
      <c r="Y350" s="150">
        <f t="shared" si="268"/>
        <v>1.07</v>
      </c>
      <c r="Z350" s="150">
        <f t="shared" si="268"/>
        <v>1.07</v>
      </c>
      <c r="AA350" s="150">
        <f t="shared" si="268"/>
        <v>1.07</v>
      </c>
      <c r="AB350" s="150">
        <f t="shared" si="268"/>
        <v>1.07</v>
      </c>
      <c r="AC350" s="150">
        <f t="shared" si="268"/>
        <v>1.07</v>
      </c>
      <c r="AD350" s="150">
        <f t="shared" si="268"/>
        <v>1.07</v>
      </c>
      <c r="AE350" s="150">
        <f t="shared" si="268"/>
        <v>1.07</v>
      </c>
      <c r="AF350" s="150">
        <f t="shared" si="268"/>
        <v>1.07</v>
      </c>
      <c r="AG350" s="150">
        <f t="shared" si="268"/>
        <v>1.07</v>
      </c>
      <c r="AH350" s="150">
        <f t="shared" si="268"/>
        <v>1.07</v>
      </c>
      <c r="AI350" s="150">
        <f t="shared" si="268"/>
        <v>1.07</v>
      </c>
      <c r="AJ350" s="150">
        <f t="shared" si="268"/>
        <v>1.07</v>
      </c>
      <c r="AK350" s="150">
        <f t="shared" si="268"/>
        <v>1.07</v>
      </c>
      <c r="AL350" s="150">
        <f t="shared" si="268"/>
        <v>1.07</v>
      </c>
      <c r="AM350" s="150">
        <f t="shared" si="268"/>
        <v>1.07</v>
      </c>
      <c r="AN350" s="150">
        <f t="shared" si="268"/>
        <v>1.07</v>
      </c>
      <c r="AO350" s="150">
        <f t="shared" si="268"/>
        <v>1.07</v>
      </c>
    </row>
    <row r="351" spans="1:41" x14ac:dyDescent="0.35">
      <c r="A351" s="148" t="str">
        <f t="shared" si="267"/>
        <v>WACC_082</v>
      </c>
      <c r="B351" s="151" t="s">
        <v>21</v>
      </c>
      <c r="C351" s="150" t="s">
        <v>96</v>
      </c>
      <c r="D351" s="152" t="s">
        <v>81</v>
      </c>
      <c r="E351" s="63">
        <f t="shared" si="269"/>
        <v>1.07</v>
      </c>
      <c r="F351" s="150">
        <f t="shared" si="269"/>
        <v>1.07</v>
      </c>
      <c r="G351" s="150">
        <f t="shared" si="268"/>
        <v>1.07</v>
      </c>
      <c r="H351" s="150">
        <f t="shared" si="268"/>
        <v>1.07</v>
      </c>
      <c r="I351" s="150">
        <f t="shared" si="268"/>
        <v>1.07</v>
      </c>
      <c r="J351" s="150">
        <f t="shared" si="268"/>
        <v>1.07</v>
      </c>
      <c r="K351" s="150">
        <f t="shared" si="268"/>
        <v>1.07</v>
      </c>
      <c r="L351" s="150">
        <f t="shared" si="268"/>
        <v>1.07</v>
      </c>
      <c r="M351" s="150">
        <f t="shared" si="268"/>
        <v>1.07</v>
      </c>
      <c r="N351" s="150">
        <f t="shared" si="268"/>
        <v>1.07</v>
      </c>
      <c r="O351" s="150">
        <f t="shared" si="268"/>
        <v>1.07</v>
      </c>
      <c r="P351" s="150">
        <f t="shared" si="268"/>
        <v>1.07</v>
      </c>
      <c r="Q351" s="150">
        <f t="shared" si="268"/>
        <v>1.07</v>
      </c>
      <c r="R351" s="150">
        <f t="shared" si="268"/>
        <v>1.07</v>
      </c>
      <c r="S351" s="150">
        <f t="shared" si="268"/>
        <v>1.07</v>
      </c>
      <c r="T351" s="150">
        <f t="shared" si="268"/>
        <v>1.07</v>
      </c>
      <c r="U351" s="150">
        <f t="shared" si="268"/>
        <v>1.07</v>
      </c>
      <c r="V351" s="150">
        <f t="shared" si="268"/>
        <v>1.07</v>
      </c>
      <c r="W351" s="150">
        <f t="shared" si="268"/>
        <v>1.07</v>
      </c>
      <c r="X351" s="150">
        <f t="shared" si="268"/>
        <v>1.07</v>
      </c>
      <c r="Y351" s="150">
        <f t="shared" si="268"/>
        <v>1.07</v>
      </c>
      <c r="Z351" s="150">
        <f t="shared" si="268"/>
        <v>1.07</v>
      </c>
      <c r="AA351" s="150">
        <f t="shared" si="268"/>
        <v>1.07</v>
      </c>
      <c r="AB351" s="150">
        <f t="shared" si="268"/>
        <v>1.07</v>
      </c>
      <c r="AC351" s="150">
        <f t="shared" si="268"/>
        <v>1.07</v>
      </c>
      <c r="AD351" s="150">
        <f t="shared" si="268"/>
        <v>1.07</v>
      </c>
      <c r="AE351" s="150">
        <f t="shared" si="268"/>
        <v>1.07</v>
      </c>
      <c r="AF351" s="150">
        <f t="shared" si="268"/>
        <v>1.07</v>
      </c>
      <c r="AG351" s="150">
        <f t="shared" si="268"/>
        <v>1.07</v>
      </c>
      <c r="AH351" s="150">
        <f t="shared" si="268"/>
        <v>1.07</v>
      </c>
      <c r="AI351" s="150">
        <f t="shared" si="268"/>
        <v>1.07</v>
      </c>
      <c r="AJ351" s="150">
        <f t="shared" si="268"/>
        <v>1.07</v>
      </c>
      <c r="AK351" s="150">
        <f t="shared" si="268"/>
        <v>1.07</v>
      </c>
      <c r="AL351" s="150">
        <f t="shared" si="268"/>
        <v>1.07</v>
      </c>
      <c r="AM351" s="150">
        <f t="shared" si="268"/>
        <v>1.07</v>
      </c>
      <c r="AN351" s="150">
        <f t="shared" si="268"/>
        <v>1.07</v>
      </c>
      <c r="AO351" s="150">
        <f t="shared" si="268"/>
        <v>1.07</v>
      </c>
    </row>
    <row r="352" spans="1:41" x14ac:dyDescent="0.35">
      <c r="A352" s="148" t="str">
        <f t="shared" si="267"/>
        <v>WACC_082</v>
      </c>
      <c r="B352" s="149" t="s">
        <v>22</v>
      </c>
      <c r="C352" s="150" t="s">
        <v>96</v>
      </c>
      <c r="D352" s="150" t="s">
        <v>81</v>
      </c>
      <c r="E352" s="63">
        <f>E345</f>
        <v>1.07</v>
      </c>
      <c r="F352" s="150">
        <f>F345</f>
        <v>1.07</v>
      </c>
      <c r="G352" s="150">
        <f t="shared" ref="G352:AO353" si="270">G345</f>
        <v>1.07</v>
      </c>
      <c r="H352" s="150">
        <f t="shared" si="270"/>
        <v>1.07</v>
      </c>
      <c r="I352" s="150">
        <f t="shared" si="270"/>
        <v>1.07</v>
      </c>
      <c r="J352" s="150">
        <f t="shared" si="270"/>
        <v>1.07</v>
      </c>
      <c r="K352" s="150">
        <f t="shared" si="270"/>
        <v>1.07</v>
      </c>
      <c r="L352" s="150">
        <f t="shared" si="270"/>
        <v>1.07</v>
      </c>
      <c r="M352" s="150">
        <f t="shared" si="270"/>
        <v>1.07</v>
      </c>
      <c r="N352" s="150">
        <f t="shared" si="270"/>
        <v>1.07</v>
      </c>
      <c r="O352" s="150">
        <f t="shared" si="270"/>
        <v>1.07</v>
      </c>
      <c r="P352" s="150">
        <f t="shared" si="270"/>
        <v>1.07</v>
      </c>
      <c r="Q352" s="150">
        <f t="shared" si="270"/>
        <v>1.07</v>
      </c>
      <c r="R352" s="150">
        <f t="shared" si="270"/>
        <v>1.07</v>
      </c>
      <c r="S352" s="150">
        <f t="shared" si="270"/>
        <v>1.07</v>
      </c>
      <c r="T352" s="150">
        <f t="shared" si="270"/>
        <v>1.07</v>
      </c>
      <c r="U352" s="150">
        <f t="shared" si="270"/>
        <v>1.07</v>
      </c>
      <c r="V352" s="150">
        <f t="shared" si="270"/>
        <v>1.07</v>
      </c>
      <c r="W352" s="150">
        <f t="shared" si="270"/>
        <v>1.07</v>
      </c>
      <c r="X352" s="150">
        <f t="shared" si="270"/>
        <v>1.07</v>
      </c>
      <c r="Y352" s="150">
        <f t="shared" si="270"/>
        <v>1.07</v>
      </c>
      <c r="Z352" s="150">
        <f t="shared" si="270"/>
        <v>1.07</v>
      </c>
      <c r="AA352" s="150">
        <f t="shared" si="270"/>
        <v>1.07</v>
      </c>
      <c r="AB352" s="150">
        <f t="shared" si="270"/>
        <v>1.07</v>
      </c>
      <c r="AC352" s="150">
        <f t="shared" si="270"/>
        <v>1.07</v>
      </c>
      <c r="AD352" s="150">
        <f t="shared" si="270"/>
        <v>1.07</v>
      </c>
      <c r="AE352" s="150">
        <f t="shared" si="270"/>
        <v>1.07</v>
      </c>
      <c r="AF352" s="150">
        <f t="shared" si="270"/>
        <v>1.07</v>
      </c>
      <c r="AG352" s="150">
        <f t="shared" si="270"/>
        <v>1.07</v>
      </c>
      <c r="AH352" s="150">
        <f t="shared" si="270"/>
        <v>1.07</v>
      </c>
      <c r="AI352" s="150">
        <f t="shared" si="270"/>
        <v>1.07</v>
      </c>
      <c r="AJ352" s="150">
        <f t="shared" si="270"/>
        <v>1.07</v>
      </c>
      <c r="AK352" s="150">
        <f t="shared" si="270"/>
        <v>1.07</v>
      </c>
      <c r="AL352" s="150">
        <f t="shared" si="270"/>
        <v>1.07</v>
      </c>
      <c r="AM352" s="150">
        <f t="shared" si="270"/>
        <v>1.07</v>
      </c>
      <c r="AN352" s="150">
        <f t="shared" si="270"/>
        <v>1.07</v>
      </c>
      <c r="AO352" s="150">
        <f t="shared" si="270"/>
        <v>1.07</v>
      </c>
    </row>
    <row r="353" spans="1:41" x14ac:dyDescent="0.35">
      <c r="A353" s="148" t="str">
        <f t="shared" si="267"/>
        <v>WACC_082</v>
      </c>
      <c r="B353" s="149" t="s">
        <v>117</v>
      </c>
      <c r="C353" s="150" t="s">
        <v>96</v>
      </c>
      <c r="D353" s="150" t="s">
        <v>81</v>
      </c>
      <c r="E353" s="63">
        <f>E346</f>
        <v>1.07</v>
      </c>
      <c r="F353" s="150">
        <f>F346</f>
        <v>1.07</v>
      </c>
      <c r="G353" s="150">
        <f t="shared" si="270"/>
        <v>1.07</v>
      </c>
      <c r="H353" s="150">
        <f t="shared" si="270"/>
        <v>1.07</v>
      </c>
      <c r="I353" s="150">
        <f t="shared" si="270"/>
        <v>1.07</v>
      </c>
      <c r="J353" s="150">
        <f t="shared" si="270"/>
        <v>1.07</v>
      </c>
      <c r="K353" s="150">
        <f t="shared" si="270"/>
        <v>1.07</v>
      </c>
      <c r="L353" s="150">
        <f t="shared" si="270"/>
        <v>1.07</v>
      </c>
      <c r="M353" s="150">
        <f t="shared" si="270"/>
        <v>1.07</v>
      </c>
      <c r="N353" s="150">
        <f t="shared" si="270"/>
        <v>1.07</v>
      </c>
      <c r="O353" s="150">
        <f t="shared" si="270"/>
        <v>1.07</v>
      </c>
      <c r="P353" s="150">
        <f t="shared" si="270"/>
        <v>1.07</v>
      </c>
      <c r="Q353" s="150">
        <f t="shared" si="270"/>
        <v>1.07</v>
      </c>
      <c r="R353" s="150">
        <f t="shared" si="270"/>
        <v>1.07</v>
      </c>
      <c r="S353" s="150">
        <f t="shared" si="270"/>
        <v>1.07</v>
      </c>
      <c r="T353" s="150">
        <f t="shared" si="270"/>
        <v>1.07</v>
      </c>
      <c r="U353" s="150">
        <f t="shared" si="270"/>
        <v>1.07</v>
      </c>
      <c r="V353" s="150">
        <f t="shared" si="270"/>
        <v>1.07</v>
      </c>
      <c r="W353" s="150">
        <f t="shared" si="270"/>
        <v>1.07</v>
      </c>
      <c r="X353" s="150">
        <f t="shared" si="270"/>
        <v>1.07</v>
      </c>
      <c r="Y353" s="150">
        <f t="shared" si="270"/>
        <v>1.07</v>
      </c>
      <c r="Z353" s="150">
        <f t="shared" si="270"/>
        <v>1.07</v>
      </c>
      <c r="AA353" s="150">
        <f t="shared" si="270"/>
        <v>1.07</v>
      </c>
      <c r="AB353" s="150">
        <f t="shared" si="270"/>
        <v>1.07</v>
      </c>
      <c r="AC353" s="150">
        <f t="shared" si="270"/>
        <v>1.07</v>
      </c>
      <c r="AD353" s="150">
        <f t="shared" si="270"/>
        <v>1.07</v>
      </c>
      <c r="AE353" s="150">
        <f t="shared" si="270"/>
        <v>1.07</v>
      </c>
      <c r="AF353" s="150">
        <f t="shared" si="270"/>
        <v>1.07</v>
      </c>
      <c r="AG353" s="150">
        <f t="shared" si="270"/>
        <v>1.07</v>
      </c>
      <c r="AH353" s="150">
        <f t="shared" si="270"/>
        <v>1.07</v>
      </c>
      <c r="AI353" s="150">
        <f t="shared" si="270"/>
        <v>1.07</v>
      </c>
      <c r="AJ353" s="150">
        <f t="shared" si="270"/>
        <v>1.07</v>
      </c>
      <c r="AK353" s="150">
        <f t="shared" si="270"/>
        <v>1.07</v>
      </c>
      <c r="AL353" s="150">
        <f t="shared" si="270"/>
        <v>1.07</v>
      </c>
      <c r="AM353" s="150">
        <f t="shared" si="270"/>
        <v>1.07</v>
      </c>
      <c r="AN353" s="150">
        <f t="shared" si="270"/>
        <v>1.07</v>
      </c>
      <c r="AO353" s="150">
        <f t="shared" si="270"/>
        <v>1.07</v>
      </c>
    </row>
    <row r="354" spans="1:41" x14ac:dyDescent="0.35">
      <c r="A354" s="148" t="str">
        <f>A352</f>
        <v>WACC_082</v>
      </c>
      <c r="B354" s="151" t="s">
        <v>12</v>
      </c>
      <c r="C354" s="150" t="s">
        <v>96</v>
      </c>
      <c r="D354" s="152" t="s">
        <v>81</v>
      </c>
      <c r="E354" s="64">
        <v>1.03</v>
      </c>
      <c r="F354" s="150">
        <v>1.03</v>
      </c>
      <c r="G354" s="150">
        <v>1.03</v>
      </c>
      <c r="H354" s="150">
        <v>1.03</v>
      </c>
      <c r="I354" s="150">
        <v>1.03</v>
      </c>
      <c r="J354" s="150">
        <v>1.03</v>
      </c>
      <c r="K354" s="150">
        <v>1.03</v>
      </c>
      <c r="L354" s="150">
        <v>1.03</v>
      </c>
      <c r="M354" s="150">
        <v>1.03</v>
      </c>
      <c r="N354" s="150">
        <v>1.03</v>
      </c>
      <c r="O354" s="150">
        <v>1.03</v>
      </c>
      <c r="P354" s="150">
        <v>1.03</v>
      </c>
      <c r="Q354" s="150">
        <v>1.03</v>
      </c>
      <c r="R354" s="150">
        <v>1.03</v>
      </c>
      <c r="S354" s="150">
        <v>1.03</v>
      </c>
      <c r="T354" s="150">
        <v>1.03</v>
      </c>
      <c r="U354" s="150">
        <v>1.03</v>
      </c>
      <c r="V354" s="150">
        <v>1.03</v>
      </c>
      <c r="W354" s="150">
        <v>1.03</v>
      </c>
      <c r="X354" s="150">
        <v>1.03</v>
      </c>
      <c r="Y354" s="150">
        <v>1.03</v>
      </c>
      <c r="Z354" s="150">
        <v>1.03</v>
      </c>
      <c r="AA354" s="150">
        <v>1.03</v>
      </c>
      <c r="AB354" s="150">
        <v>1.03</v>
      </c>
      <c r="AC354" s="150">
        <v>1.03</v>
      </c>
      <c r="AD354" s="150">
        <v>1.03</v>
      </c>
      <c r="AE354" s="150">
        <v>1.03</v>
      </c>
      <c r="AF354" s="150">
        <v>1.03</v>
      </c>
      <c r="AG354" s="150">
        <v>1.03</v>
      </c>
      <c r="AH354" s="150">
        <v>1.03</v>
      </c>
      <c r="AI354" s="150">
        <v>1.03</v>
      </c>
      <c r="AJ354" s="150">
        <v>1.03</v>
      </c>
      <c r="AK354" s="150">
        <v>1.03</v>
      </c>
      <c r="AL354" s="150">
        <v>1.03</v>
      </c>
      <c r="AM354" s="150">
        <v>1.03</v>
      </c>
      <c r="AN354" s="150">
        <v>1.03</v>
      </c>
      <c r="AO354" s="150">
        <v>1.03</v>
      </c>
    </row>
    <row r="355" spans="1:41" x14ac:dyDescent="0.35">
      <c r="A355" s="148" t="str">
        <f t="shared" si="267"/>
        <v>WACC_082</v>
      </c>
      <c r="B355" s="149" t="s">
        <v>13</v>
      </c>
      <c r="C355" s="150" t="s">
        <v>96</v>
      </c>
      <c r="D355" s="150" t="s">
        <v>81</v>
      </c>
      <c r="E355" s="63">
        <v>1.03</v>
      </c>
      <c r="F355" s="150">
        <v>1.03</v>
      </c>
      <c r="G355" s="150">
        <v>1.03</v>
      </c>
      <c r="H355" s="150">
        <v>1.03</v>
      </c>
      <c r="I355" s="150">
        <v>1.03</v>
      </c>
      <c r="J355" s="150">
        <v>1.03</v>
      </c>
      <c r="K355" s="150">
        <v>1.03</v>
      </c>
      <c r="L355" s="150">
        <v>1.03</v>
      </c>
      <c r="M355" s="150">
        <v>1.03</v>
      </c>
      <c r="N355" s="150">
        <v>1.03</v>
      </c>
      <c r="O355" s="150">
        <v>1.03</v>
      </c>
      <c r="P355" s="150">
        <v>1.03</v>
      </c>
      <c r="Q355" s="150">
        <v>1.03</v>
      </c>
      <c r="R355" s="150">
        <v>1.03</v>
      </c>
      <c r="S355" s="150">
        <v>1.03</v>
      </c>
      <c r="T355" s="150">
        <v>1.03</v>
      </c>
      <c r="U355" s="150">
        <v>1.03</v>
      </c>
      <c r="V355" s="150">
        <v>1.03</v>
      </c>
      <c r="W355" s="150">
        <v>1.03</v>
      </c>
      <c r="X355" s="150">
        <v>1.03</v>
      </c>
      <c r="Y355" s="150">
        <v>1.03</v>
      </c>
      <c r="Z355" s="150">
        <v>1.03</v>
      </c>
      <c r="AA355" s="150">
        <v>1.03</v>
      </c>
      <c r="AB355" s="150">
        <v>1.03</v>
      </c>
      <c r="AC355" s="150">
        <v>1.03</v>
      </c>
      <c r="AD355" s="150">
        <v>1.03</v>
      </c>
      <c r="AE355" s="150">
        <v>1.03</v>
      </c>
      <c r="AF355" s="150">
        <v>1.03</v>
      </c>
      <c r="AG355" s="150">
        <v>1.03</v>
      </c>
      <c r="AH355" s="150">
        <v>1.03</v>
      </c>
      <c r="AI355" s="150">
        <v>1.03</v>
      </c>
      <c r="AJ355" s="150">
        <v>1.03</v>
      </c>
      <c r="AK355" s="150">
        <v>1.03</v>
      </c>
      <c r="AL355" s="150">
        <v>1.03</v>
      </c>
      <c r="AM355" s="150">
        <v>1.03</v>
      </c>
      <c r="AN355" s="150">
        <v>1.03</v>
      </c>
      <c r="AO355" s="150">
        <v>1.03</v>
      </c>
    </row>
    <row r="356" spans="1:41" x14ac:dyDescent="0.35">
      <c r="A356" s="148" t="str">
        <f t="shared" si="267"/>
        <v>WACC_082</v>
      </c>
      <c r="B356" s="151" t="s">
        <v>14</v>
      </c>
      <c r="C356" s="150" t="s">
        <v>96</v>
      </c>
      <c r="D356" s="152" t="s">
        <v>81</v>
      </c>
      <c r="E356" s="64">
        <v>1.03</v>
      </c>
      <c r="F356" s="150">
        <v>1.03</v>
      </c>
      <c r="G356" s="150">
        <v>1.03</v>
      </c>
      <c r="H356" s="150">
        <v>1.03</v>
      </c>
      <c r="I356" s="150">
        <v>1.03</v>
      </c>
      <c r="J356" s="150">
        <v>1.03</v>
      </c>
      <c r="K356" s="150">
        <v>1.03</v>
      </c>
      <c r="L356" s="150">
        <v>1.03</v>
      </c>
      <c r="M356" s="150">
        <v>1.03</v>
      </c>
      <c r="N356" s="150">
        <v>1.03</v>
      </c>
      <c r="O356" s="150">
        <v>1.03</v>
      </c>
      <c r="P356" s="150">
        <v>1.03</v>
      </c>
      <c r="Q356" s="150">
        <v>1.03</v>
      </c>
      <c r="R356" s="150">
        <v>1.03</v>
      </c>
      <c r="S356" s="150">
        <v>1.03</v>
      </c>
      <c r="T356" s="150">
        <v>1.03</v>
      </c>
      <c r="U356" s="150">
        <v>1.03</v>
      </c>
      <c r="V356" s="150">
        <v>1.03</v>
      </c>
      <c r="W356" s="150">
        <v>1.03</v>
      </c>
      <c r="X356" s="150">
        <v>1.03</v>
      </c>
      <c r="Y356" s="150">
        <v>1.03</v>
      </c>
      <c r="Z356" s="150">
        <v>1.03</v>
      </c>
      <c r="AA356" s="150">
        <v>1.03</v>
      </c>
      <c r="AB356" s="150">
        <v>1.03</v>
      </c>
      <c r="AC356" s="150">
        <v>1.03</v>
      </c>
      <c r="AD356" s="150">
        <v>1.03</v>
      </c>
      <c r="AE356" s="150">
        <v>1.03</v>
      </c>
      <c r="AF356" s="150">
        <v>1.03</v>
      </c>
      <c r="AG356" s="150">
        <v>1.03</v>
      </c>
      <c r="AH356" s="150">
        <v>1.03</v>
      </c>
      <c r="AI356" s="150">
        <v>1.03</v>
      </c>
      <c r="AJ356" s="150">
        <v>1.03</v>
      </c>
      <c r="AK356" s="150">
        <v>1.03</v>
      </c>
      <c r="AL356" s="150">
        <v>1.03</v>
      </c>
      <c r="AM356" s="150">
        <v>1.03</v>
      </c>
      <c r="AN356" s="150">
        <v>1.03</v>
      </c>
      <c r="AO356" s="150">
        <v>1.03</v>
      </c>
    </row>
    <row r="357" spans="1:41" x14ac:dyDescent="0.35">
      <c r="A357" s="148" t="str">
        <f t="shared" si="267"/>
        <v>WACC_082</v>
      </c>
      <c r="B357" s="149" t="s">
        <v>10</v>
      </c>
      <c r="C357" s="150" t="s">
        <v>96</v>
      </c>
      <c r="D357" s="150" t="s">
        <v>81</v>
      </c>
      <c r="E357" s="63">
        <v>1.01</v>
      </c>
      <c r="F357" s="150">
        <v>1.01</v>
      </c>
      <c r="G357" s="150">
        <v>1.01</v>
      </c>
      <c r="H357" s="150">
        <v>1.01</v>
      </c>
      <c r="I357" s="150">
        <v>1.01</v>
      </c>
      <c r="J357" s="150">
        <v>1.01</v>
      </c>
      <c r="K357" s="150">
        <v>1.01</v>
      </c>
      <c r="L357" s="150">
        <v>1.01</v>
      </c>
      <c r="M357" s="150">
        <v>1.01</v>
      </c>
      <c r="N357" s="150">
        <v>1.01</v>
      </c>
      <c r="O357" s="150">
        <v>1.01</v>
      </c>
      <c r="P357" s="150">
        <v>1.01</v>
      </c>
      <c r="Q357" s="150">
        <v>1.01</v>
      </c>
      <c r="R357" s="150">
        <v>1.01</v>
      </c>
      <c r="S357" s="150">
        <v>1.01</v>
      </c>
      <c r="T357" s="150">
        <v>1.01</v>
      </c>
      <c r="U357" s="150">
        <v>1.01</v>
      </c>
      <c r="V357" s="150">
        <v>1.01</v>
      </c>
      <c r="W357" s="150">
        <v>1.01</v>
      </c>
      <c r="X357" s="150">
        <v>1.01</v>
      </c>
      <c r="Y357" s="150">
        <v>1.01</v>
      </c>
      <c r="Z357" s="150">
        <v>1.01</v>
      </c>
      <c r="AA357" s="150">
        <v>1.01</v>
      </c>
      <c r="AB357" s="150">
        <v>1.01</v>
      </c>
      <c r="AC357" s="150">
        <v>1.01</v>
      </c>
      <c r="AD357" s="150">
        <v>1.01</v>
      </c>
      <c r="AE357" s="150">
        <v>1.01</v>
      </c>
      <c r="AF357" s="150">
        <v>1.01</v>
      </c>
      <c r="AG357" s="150">
        <v>1.01</v>
      </c>
      <c r="AH357" s="150">
        <v>1.01</v>
      </c>
      <c r="AI357" s="150">
        <v>1.01</v>
      </c>
      <c r="AJ357" s="150">
        <v>1.01</v>
      </c>
      <c r="AK357" s="150">
        <v>1.01</v>
      </c>
      <c r="AL357" s="150">
        <v>1.01</v>
      </c>
      <c r="AM357" s="150">
        <v>1.01</v>
      </c>
      <c r="AN357" s="150">
        <v>1.01</v>
      </c>
      <c r="AO357" s="150">
        <v>1.01</v>
      </c>
    </row>
    <row r="358" spans="1:41" x14ac:dyDescent="0.35">
      <c r="A358" s="148" t="str">
        <f t="shared" si="267"/>
        <v>WACC_082</v>
      </c>
      <c r="B358" s="151" t="s">
        <v>11</v>
      </c>
      <c r="C358" s="150" t="s">
        <v>96</v>
      </c>
      <c r="D358" s="152" t="s">
        <v>81</v>
      </c>
      <c r="E358" s="64">
        <v>1.01</v>
      </c>
      <c r="F358" s="150">
        <v>1.01</v>
      </c>
      <c r="G358" s="150">
        <v>1.01</v>
      </c>
      <c r="H358" s="150">
        <v>1.01</v>
      </c>
      <c r="I358" s="150">
        <v>1.01</v>
      </c>
      <c r="J358" s="150">
        <v>1.01</v>
      </c>
      <c r="K358" s="150">
        <v>1.01</v>
      </c>
      <c r="L358" s="150">
        <v>1.01</v>
      </c>
      <c r="M358" s="150">
        <v>1.01</v>
      </c>
      <c r="N358" s="150">
        <v>1.01</v>
      </c>
      <c r="O358" s="150">
        <v>1.01</v>
      </c>
      <c r="P358" s="150">
        <v>1.01</v>
      </c>
      <c r="Q358" s="150">
        <v>1.01</v>
      </c>
      <c r="R358" s="150">
        <v>1.01</v>
      </c>
      <c r="S358" s="150">
        <v>1.01</v>
      </c>
      <c r="T358" s="150">
        <v>1.01</v>
      </c>
      <c r="U358" s="150">
        <v>1.01</v>
      </c>
      <c r="V358" s="150">
        <v>1.01</v>
      </c>
      <c r="W358" s="150">
        <v>1.01</v>
      </c>
      <c r="X358" s="150">
        <v>1.01</v>
      </c>
      <c r="Y358" s="150">
        <v>1.01</v>
      </c>
      <c r="Z358" s="150">
        <v>1.01</v>
      </c>
      <c r="AA358" s="150">
        <v>1.01</v>
      </c>
      <c r="AB358" s="150">
        <v>1.01</v>
      </c>
      <c r="AC358" s="150">
        <v>1.01</v>
      </c>
      <c r="AD358" s="150">
        <v>1.01</v>
      </c>
      <c r="AE358" s="150">
        <v>1.01</v>
      </c>
      <c r="AF358" s="150">
        <v>1.01</v>
      </c>
      <c r="AG358" s="150">
        <v>1.01</v>
      </c>
      <c r="AH358" s="150">
        <v>1.01</v>
      </c>
      <c r="AI358" s="150">
        <v>1.01</v>
      </c>
      <c r="AJ358" s="150">
        <v>1.01</v>
      </c>
      <c r="AK358" s="150">
        <v>1.01</v>
      </c>
      <c r="AL358" s="150">
        <v>1.01</v>
      </c>
      <c r="AM358" s="150">
        <v>1.01</v>
      </c>
      <c r="AN358" s="150">
        <v>1.01</v>
      </c>
      <c r="AO358" s="150">
        <v>1.01</v>
      </c>
    </row>
    <row r="359" spans="1:41" x14ac:dyDescent="0.35">
      <c r="A359" s="148" t="str">
        <f t="shared" si="267"/>
        <v>WACC_082</v>
      </c>
      <c r="B359" s="149" t="s">
        <v>8</v>
      </c>
      <c r="C359" s="150" t="s">
        <v>96</v>
      </c>
      <c r="D359" s="150" t="s">
        <v>81</v>
      </c>
      <c r="E359" s="63">
        <v>1.01</v>
      </c>
      <c r="F359" s="150">
        <v>1.01</v>
      </c>
      <c r="G359" s="150">
        <v>1.01</v>
      </c>
      <c r="H359" s="150">
        <v>1.01</v>
      </c>
      <c r="I359" s="150">
        <v>1.01</v>
      </c>
      <c r="J359" s="150">
        <v>1.01</v>
      </c>
      <c r="K359" s="150">
        <v>1.01</v>
      </c>
      <c r="L359" s="150">
        <v>1.01</v>
      </c>
      <c r="M359" s="150">
        <v>1.01</v>
      </c>
      <c r="N359" s="150">
        <v>1.01</v>
      </c>
      <c r="O359" s="150">
        <v>1.01</v>
      </c>
      <c r="P359" s="150">
        <v>1.01</v>
      </c>
      <c r="Q359" s="150">
        <v>1.01</v>
      </c>
      <c r="R359" s="150">
        <v>1.01</v>
      </c>
      <c r="S359" s="150">
        <v>1.01</v>
      </c>
      <c r="T359" s="150">
        <v>1.01</v>
      </c>
      <c r="U359" s="150">
        <v>1.01</v>
      </c>
      <c r="V359" s="150">
        <v>1.01</v>
      </c>
      <c r="W359" s="150">
        <v>1.01</v>
      </c>
      <c r="X359" s="150">
        <v>1.01</v>
      </c>
      <c r="Y359" s="150">
        <v>1.01</v>
      </c>
      <c r="Z359" s="150">
        <v>1.01</v>
      </c>
      <c r="AA359" s="150">
        <v>1.01</v>
      </c>
      <c r="AB359" s="150">
        <v>1.01</v>
      </c>
      <c r="AC359" s="150">
        <v>1.01</v>
      </c>
      <c r="AD359" s="150">
        <v>1.01</v>
      </c>
      <c r="AE359" s="150">
        <v>1.01</v>
      </c>
      <c r="AF359" s="150">
        <v>1.01</v>
      </c>
      <c r="AG359" s="150">
        <v>1.01</v>
      </c>
      <c r="AH359" s="150">
        <v>1.01</v>
      </c>
      <c r="AI359" s="150">
        <v>1.01</v>
      </c>
      <c r="AJ359" s="150">
        <v>1.01</v>
      </c>
      <c r="AK359" s="150">
        <v>1.01</v>
      </c>
      <c r="AL359" s="150">
        <v>1.01</v>
      </c>
      <c r="AM359" s="150">
        <v>1.01</v>
      </c>
      <c r="AN359" s="150">
        <v>1.01</v>
      </c>
      <c r="AO359" s="150">
        <v>1.01</v>
      </c>
    </row>
    <row r="360" spans="1:41" x14ac:dyDescent="0.35">
      <c r="A360" s="148" t="str">
        <f t="shared" si="267"/>
        <v>WACC_082</v>
      </c>
      <c r="B360" s="151" t="s">
        <v>28</v>
      </c>
      <c r="C360" s="150" t="s">
        <v>96</v>
      </c>
      <c r="D360" s="152" t="s">
        <v>81</v>
      </c>
      <c r="E360" s="64">
        <v>1.25</v>
      </c>
      <c r="F360" s="150">
        <v>1.25</v>
      </c>
      <c r="G360" s="150">
        <v>1.25</v>
      </c>
      <c r="H360" s="150">
        <v>1.25</v>
      </c>
      <c r="I360" s="150">
        <v>1.25</v>
      </c>
      <c r="J360" s="150">
        <v>1.25</v>
      </c>
      <c r="K360" s="150">
        <v>1.25</v>
      </c>
      <c r="L360" s="150">
        <v>1.25</v>
      </c>
      <c r="M360" s="150">
        <v>1.25</v>
      </c>
      <c r="N360" s="150">
        <v>1.25</v>
      </c>
      <c r="O360" s="150">
        <v>1.25</v>
      </c>
      <c r="P360" s="150">
        <v>1.25</v>
      </c>
      <c r="Q360" s="150">
        <v>1.25</v>
      </c>
      <c r="R360" s="150">
        <v>1.25</v>
      </c>
      <c r="S360" s="150">
        <v>1.25</v>
      </c>
      <c r="T360" s="150">
        <v>1.25</v>
      </c>
      <c r="U360" s="150">
        <v>1.25</v>
      </c>
      <c r="V360" s="150">
        <v>1.25</v>
      </c>
      <c r="W360" s="150">
        <v>1.25</v>
      </c>
      <c r="X360" s="150">
        <v>1.25</v>
      </c>
      <c r="Y360" s="150">
        <v>1.25</v>
      </c>
      <c r="Z360" s="150">
        <v>1.25</v>
      </c>
      <c r="AA360" s="150">
        <v>1.25</v>
      </c>
      <c r="AB360" s="150">
        <v>1.25</v>
      </c>
      <c r="AC360" s="150">
        <v>1.25</v>
      </c>
      <c r="AD360" s="150">
        <v>1.25</v>
      </c>
      <c r="AE360" s="150">
        <v>1.25</v>
      </c>
      <c r="AF360" s="150">
        <v>1.25</v>
      </c>
      <c r="AG360" s="150">
        <v>1.25</v>
      </c>
      <c r="AH360" s="150">
        <v>1.25</v>
      </c>
      <c r="AI360" s="150">
        <v>1.25</v>
      </c>
      <c r="AJ360" s="150">
        <v>1.25</v>
      </c>
      <c r="AK360" s="150">
        <v>1.25</v>
      </c>
      <c r="AL360" s="150">
        <v>1.25</v>
      </c>
      <c r="AM360" s="150">
        <v>1.25</v>
      </c>
      <c r="AN360" s="150">
        <v>1.25</v>
      </c>
      <c r="AO360" s="150">
        <v>1.25</v>
      </c>
    </row>
    <row r="361" spans="1:41" x14ac:dyDescent="0.35">
      <c r="A361" s="146" t="s">
        <v>132</v>
      </c>
      <c r="B361" s="134" t="s">
        <v>15</v>
      </c>
      <c r="C361" s="135" t="s">
        <v>96</v>
      </c>
      <c r="D361" s="135" t="s">
        <v>81</v>
      </c>
      <c r="E361" s="59">
        <v>1.1673504000000001</v>
      </c>
      <c r="F361" s="168">
        <v>1.1618996040000003</v>
      </c>
      <c r="G361" s="168">
        <v>1.1618996040000003</v>
      </c>
      <c r="H361" s="168">
        <v>1.1618996040000003</v>
      </c>
      <c r="I361" s="168">
        <v>1.1618996040000003</v>
      </c>
      <c r="J361" s="168">
        <v>1.1618996040000003</v>
      </c>
      <c r="K361" s="168">
        <v>1.1618996040000003</v>
      </c>
      <c r="L361" s="168">
        <v>1.1618996040000003</v>
      </c>
      <c r="M361" s="168">
        <v>1.1618996040000003</v>
      </c>
      <c r="N361" s="168">
        <v>1.1618996040000003</v>
      </c>
      <c r="O361" s="168">
        <v>1.1618996040000003</v>
      </c>
      <c r="P361" s="168">
        <v>1.1618996040000003</v>
      </c>
      <c r="Q361" s="168">
        <v>1.1618996040000003</v>
      </c>
      <c r="R361" s="168">
        <v>1.1618996040000003</v>
      </c>
      <c r="S361" s="168">
        <v>1.1618996040000003</v>
      </c>
      <c r="T361" s="168">
        <v>1.1618996040000003</v>
      </c>
      <c r="U361" s="168">
        <v>1.1618996040000003</v>
      </c>
      <c r="V361" s="168">
        <v>1.1618996040000003</v>
      </c>
      <c r="W361" s="168">
        <v>1.1618996040000003</v>
      </c>
      <c r="X361" s="168">
        <v>1.1618996040000003</v>
      </c>
      <c r="Y361" s="168">
        <v>1.1618996040000003</v>
      </c>
      <c r="Z361" s="168">
        <v>1.1618996040000003</v>
      </c>
      <c r="AA361" s="168">
        <v>1.1618996040000003</v>
      </c>
      <c r="AB361" s="168">
        <v>1.1618996040000003</v>
      </c>
      <c r="AC361" s="168">
        <v>1.1618996040000003</v>
      </c>
      <c r="AD361" s="168">
        <v>1.1618996040000003</v>
      </c>
      <c r="AE361" s="168">
        <v>1.1618996040000003</v>
      </c>
      <c r="AF361" s="168">
        <v>1.1618996040000003</v>
      </c>
      <c r="AG361" s="168">
        <v>1.1618996040000003</v>
      </c>
      <c r="AH361" s="168">
        <v>1.1618996040000003</v>
      </c>
      <c r="AI361" s="168">
        <v>1.1618996040000003</v>
      </c>
      <c r="AJ361" s="168">
        <v>1.1618996040000003</v>
      </c>
      <c r="AK361" s="168">
        <v>1.1618996040000003</v>
      </c>
      <c r="AL361" s="168">
        <v>1.1618996040000003</v>
      </c>
      <c r="AM361" s="168">
        <v>1.1618996040000003</v>
      </c>
      <c r="AN361" s="168">
        <v>1.1618996040000003</v>
      </c>
      <c r="AO361" s="168">
        <v>1.1618996040000003</v>
      </c>
    </row>
    <row r="362" spans="1:41" x14ac:dyDescent="0.35">
      <c r="A362" s="146" t="str">
        <f t="shared" ref="A362:A379" si="271">A361</f>
        <v>WACC_1201</v>
      </c>
      <c r="B362" s="132" t="s">
        <v>25</v>
      </c>
      <c r="C362" s="135" t="s">
        <v>96</v>
      </c>
      <c r="D362" s="133" t="s">
        <v>81</v>
      </c>
      <c r="E362" s="60">
        <v>1.298599524442916</v>
      </c>
      <c r="F362" s="168">
        <v>1.1624090531609648</v>
      </c>
      <c r="G362" s="168">
        <v>1.1624090531609648</v>
      </c>
      <c r="H362" s="168">
        <v>1.1624090531609648</v>
      </c>
      <c r="I362" s="168">
        <v>1.1624090531609648</v>
      </c>
      <c r="J362" s="168">
        <v>1.1624090531609648</v>
      </c>
      <c r="K362" s="168">
        <v>1.1624090531609648</v>
      </c>
      <c r="L362" s="168">
        <v>1.1624090531609648</v>
      </c>
      <c r="M362" s="168">
        <v>1.1624090531609648</v>
      </c>
      <c r="N362" s="168">
        <v>1.1624090531609648</v>
      </c>
      <c r="O362" s="168">
        <v>1.1624090531609648</v>
      </c>
      <c r="P362" s="168">
        <v>1.1624090531609648</v>
      </c>
      <c r="Q362" s="168">
        <v>1.1624090531609648</v>
      </c>
      <c r="R362" s="168">
        <v>1.1624090531609648</v>
      </c>
      <c r="S362" s="168">
        <v>1.1624090531609648</v>
      </c>
      <c r="T362" s="168">
        <v>1.1624090531609648</v>
      </c>
      <c r="U362" s="168">
        <v>1.1624090531609648</v>
      </c>
      <c r="V362" s="168">
        <v>1.1624090531609648</v>
      </c>
      <c r="W362" s="168">
        <v>1.1624090531609648</v>
      </c>
      <c r="X362" s="168">
        <v>1.1624090531609648</v>
      </c>
      <c r="Y362" s="168">
        <v>1.1624090531609648</v>
      </c>
      <c r="Z362" s="168">
        <v>1.1624090531609648</v>
      </c>
      <c r="AA362" s="168">
        <v>1.1624090531609648</v>
      </c>
      <c r="AB362" s="168">
        <v>1.1624090531609648</v>
      </c>
      <c r="AC362" s="168">
        <v>1.1624090531609648</v>
      </c>
      <c r="AD362" s="168">
        <v>1.1624090531609648</v>
      </c>
      <c r="AE362" s="168">
        <v>1.1624090531609648</v>
      </c>
      <c r="AF362" s="168">
        <v>1.1624090531609648</v>
      </c>
      <c r="AG362" s="168">
        <v>1.1624090531609648</v>
      </c>
      <c r="AH362" s="168">
        <v>1.1624090531609648</v>
      </c>
      <c r="AI362" s="168">
        <v>1.1624090531609648</v>
      </c>
      <c r="AJ362" s="168">
        <v>1.1624090531609648</v>
      </c>
      <c r="AK362" s="168">
        <v>1.1624090531609648</v>
      </c>
      <c r="AL362" s="168">
        <v>1.1624090531609648</v>
      </c>
      <c r="AM362" s="168">
        <v>1.1624090531609648</v>
      </c>
      <c r="AN362" s="168">
        <v>1.1624090531609648</v>
      </c>
      <c r="AO362" s="168">
        <v>1.1624090531609648</v>
      </c>
    </row>
    <row r="363" spans="1:41" x14ac:dyDescent="0.35">
      <c r="A363" s="146" t="str">
        <f t="shared" si="271"/>
        <v>WACC_1201</v>
      </c>
      <c r="B363" s="134" t="s">
        <v>26</v>
      </c>
      <c r="C363" s="135" t="s">
        <v>96</v>
      </c>
      <c r="D363" s="135" t="s">
        <v>81</v>
      </c>
      <c r="E363" s="59">
        <v>1.3917761430759941</v>
      </c>
      <c r="F363" s="168">
        <v>1.3775735893783241</v>
      </c>
      <c r="G363" s="168">
        <v>1.3775735893783241</v>
      </c>
      <c r="H363" s="168">
        <v>1.3775735893783241</v>
      </c>
      <c r="I363" s="168">
        <v>1.3775735893783241</v>
      </c>
      <c r="J363" s="168">
        <v>1.3775735893783241</v>
      </c>
      <c r="K363" s="168">
        <v>1.3775735893783241</v>
      </c>
      <c r="L363" s="168">
        <v>1.3775735893783241</v>
      </c>
      <c r="M363" s="168">
        <v>1.3775735893783241</v>
      </c>
      <c r="N363" s="168">
        <v>1.3775735893783241</v>
      </c>
      <c r="O363" s="168">
        <v>1.3775735893783241</v>
      </c>
      <c r="P363" s="168">
        <v>1.3775735893783241</v>
      </c>
      <c r="Q363" s="168">
        <v>1.3775735893783241</v>
      </c>
      <c r="R363" s="168">
        <v>1.3775735893783241</v>
      </c>
      <c r="S363" s="168">
        <v>1.3775735893783241</v>
      </c>
      <c r="T363" s="168">
        <v>1.3775735893783241</v>
      </c>
      <c r="U363" s="168">
        <v>1.3775735893783241</v>
      </c>
      <c r="V363" s="168">
        <v>1.3775735893783241</v>
      </c>
      <c r="W363" s="168">
        <v>1.3775735893783241</v>
      </c>
      <c r="X363" s="168">
        <v>1.3775735893783241</v>
      </c>
      <c r="Y363" s="168">
        <v>1.3775735893783241</v>
      </c>
      <c r="Z363" s="168">
        <v>1.3775735893783241</v>
      </c>
      <c r="AA363" s="168">
        <v>1.3775735893783241</v>
      </c>
      <c r="AB363" s="168">
        <v>1.3775735893783241</v>
      </c>
      <c r="AC363" s="168">
        <v>1.3775735893783241</v>
      </c>
      <c r="AD363" s="168">
        <v>1.3775735893783241</v>
      </c>
      <c r="AE363" s="168">
        <v>1.3775735893783241</v>
      </c>
      <c r="AF363" s="168">
        <v>1.3775735893783241</v>
      </c>
      <c r="AG363" s="168">
        <v>1.3775735893783241</v>
      </c>
      <c r="AH363" s="168">
        <v>1.3775735893783241</v>
      </c>
      <c r="AI363" s="168">
        <v>1.3775735893783241</v>
      </c>
      <c r="AJ363" s="168">
        <v>1.3775735893783241</v>
      </c>
      <c r="AK363" s="168">
        <v>1.3775735893783241</v>
      </c>
      <c r="AL363" s="168">
        <v>1.3775735893783241</v>
      </c>
      <c r="AM363" s="168">
        <v>1.3775735893783241</v>
      </c>
      <c r="AN363" s="168">
        <v>1.3775735893783241</v>
      </c>
      <c r="AO363" s="168">
        <v>1.3775735893783241</v>
      </c>
    </row>
    <row r="364" spans="1:41" x14ac:dyDescent="0.35">
      <c r="A364" s="146" t="str">
        <f t="shared" si="271"/>
        <v>WACC_1201</v>
      </c>
      <c r="B364" s="132" t="s">
        <v>23</v>
      </c>
      <c r="C364" s="135" t="s">
        <v>96</v>
      </c>
      <c r="D364" s="133" t="s">
        <v>81</v>
      </c>
      <c r="E364" s="60">
        <v>1.1116000000000001</v>
      </c>
      <c r="F364" s="168">
        <v>1.1080900000000002</v>
      </c>
      <c r="G364" s="168">
        <v>1.1080900000000002</v>
      </c>
      <c r="H364" s="168">
        <v>1.1080900000000002</v>
      </c>
      <c r="I364" s="168">
        <v>1.1080900000000002</v>
      </c>
      <c r="J364" s="168">
        <v>1.1080900000000002</v>
      </c>
      <c r="K364" s="168">
        <v>1.1080900000000002</v>
      </c>
      <c r="L364" s="168">
        <v>1.1080900000000002</v>
      </c>
      <c r="M364" s="168">
        <v>1.1080900000000002</v>
      </c>
      <c r="N364" s="168">
        <v>1.1080900000000002</v>
      </c>
      <c r="O364" s="168">
        <v>1.1080900000000002</v>
      </c>
      <c r="P364" s="168">
        <v>1.1080900000000002</v>
      </c>
      <c r="Q364" s="168">
        <v>1.1080900000000002</v>
      </c>
      <c r="R364" s="168">
        <v>1.1080900000000002</v>
      </c>
      <c r="S364" s="168">
        <v>1.1080900000000002</v>
      </c>
      <c r="T364" s="168">
        <v>1.1080900000000002</v>
      </c>
      <c r="U364" s="168">
        <v>1.1080900000000002</v>
      </c>
      <c r="V364" s="168">
        <v>1.1080900000000002</v>
      </c>
      <c r="W364" s="168">
        <v>1.1080900000000002</v>
      </c>
      <c r="X364" s="168">
        <v>1.1080900000000002</v>
      </c>
      <c r="Y364" s="168">
        <v>1.1080900000000002</v>
      </c>
      <c r="Z364" s="168">
        <v>1.1080900000000002</v>
      </c>
      <c r="AA364" s="168">
        <v>1.1080900000000002</v>
      </c>
      <c r="AB364" s="168">
        <v>1.1080900000000002</v>
      </c>
      <c r="AC364" s="168">
        <v>1.1080900000000002</v>
      </c>
      <c r="AD364" s="168">
        <v>1.1080900000000002</v>
      </c>
      <c r="AE364" s="168">
        <v>1.1080900000000002</v>
      </c>
      <c r="AF364" s="168">
        <v>1.1080900000000002</v>
      </c>
      <c r="AG364" s="168">
        <v>1.1080900000000002</v>
      </c>
      <c r="AH364" s="168">
        <v>1.1080900000000002</v>
      </c>
      <c r="AI364" s="168">
        <v>1.1080900000000002</v>
      </c>
      <c r="AJ364" s="168">
        <v>1.1080900000000002</v>
      </c>
      <c r="AK364" s="168">
        <v>1.1080900000000002</v>
      </c>
      <c r="AL364" s="168">
        <v>1.1080900000000002</v>
      </c>
      <c r="AM364" s="168">
        <v>1.1080900000000002</v>
      </c>
      <c r="AN364" s="168">
        <v>1.1080900000000002</v>
      </c>
      <c r="AO364" s="168">
        <v>1.1080900000000002</v>
      </c>
    </row>
    <row r="365" spans="1:41" x14ac:dyDescent="0.35">
      <c r="A365" s="146" t="str">
        <f t="shared" si="271"/>
        <v>WACC_1201</v>
      </c>
      <c r="B365" s="134" t="s">
        <v>24</v>
      </c>
      <c r="C365" s="135" t="s">
        <v>96</v>
      </c>
      <c r="D365" s="135" t="s">
        <v>81</v>
      </c>
      <c r="E365" s="59">
        <v>1.1116000000000001</v>
      </c>
      <c r="F365" s="168">
        <v>1.1080900000000002</v>
      </c>
      <c r="G365" s="168">
        <v>1.1080900000000002</v>
      </c>
      <c r="H365" s="168">
        <v>1.1080900000000002</v>
      </c>
      <c r="I365" s="168">
        <v>1.1080900000000002</v>
      </c>
      <c r="J365" s="168">
        <v>1.1080900000000002</v>
      </c>
      <c r="K365" s="168">
        <v>1.1080900000000002</v>
      </c>
      <c r="L365" s="168">
        <v>1.1080900000000002</v>
      </c>
      <c r="M365" s="168">
        <v>1.1080900000000002</v>
      </c>
      <c r="N365" s="168">
        <v>1.1080900000000002</v>
      </c>
      <c r="O365" s="168">
        <v>1.1080900000000002</v>
      </c>
      <c r="P365" s="168">
        <v>1.1080900000000002</v>
      </c>
      <c r="Q365" s="168">
        <v>1.1080900000000002</v>
      </c>
      <c r="R365" s="168">
        <v>1.1080900000000002</v>
      </c>
      <c r="S365" s="168">
        <v>1.1080900000000002</v>
      </c>
      <c r="T365" s="168">
        <v>1.1080900000000002</v>
      </c>
      <c r="U365" s="168">
        <v>1.1080900000000002</v>
      </c>
      <c r="V365" s="168">
        <v>1.1080900000000002</v>
      </c>
      <c r="W365" s="168">
        <v>1.1080900000000002</v>
      </c>
      <c r="X365" s="168">
        <v>1.1080900000000002</v>
      </c>
      <c r="Y365" s="168">
        <v>1.1080900000000002</v>
      </c>
      <c r="Z365" s="168">
        <v>1.1080900000000002</v>
      </c>
      <c r="AA365" s="168">
        <v>1.1080900000000002</v>
      </c>
      <c r="AB365" s="168">
        <v>1.1080900000000002</v>
      </c>
      <c r="AC365" s="168">
        <v>1.1080900000000002</v>
      </c>
      <c r="AD365" s="168">
        <v>1.1080900000000002</v>
      </c>
      <c r="AE365" s="168">
        <v>1.1080900000000002</v>
      </c>
      <c r="AF365" s="168">
        <v>1.1080900000000002</v>
      </c>
      <c r="AG365" s="168">
        <v>1.1080900000000002</v>
      </c>
      <c r="AH365" s="168">
        <v>1.1080900000000002</v>
      </c>
      <c r="AI365" s="168">
        <v>1.1080900000000002</v>
      </c>
      <c r="AJ365" s="168">
        <v>1.1080900000000002</v>
      </c>
      <c r="AK365" s="168">
        <v>1.1080900000000002</v>
      </c>
      <c r="AL365" s="168">
        <v>1.1080900000000002</v>
      </c>
      <c r="AM365" s="168">
        <v>1.1080900000000002</v>
      </c>
      <c r="AN365" s="168">
        <v>1.1080900000000002</v>
      </c>
      <c r="AO365" s="168">
        <v>1.1080900000000002</v>
      </c>
    </row>
    <row r="366" spans="1:41" x14ac:dyDescent="0.35">
      <c r="A366" s="146" t="str">
        <f t="shared" si="271"/>
        <v>WACC_1201</v>
      </c>
      <c r="B366" s="132" t="s">
        <v>17</v>
      </c>
      <c r="C366" s="135" t="s">
        <v>96</v>
      </c>
      <c r="D366" s="133" t="s">
        <v>81</v>
      </c>
      <c r="E366" s="60">
        <v>1.1116000000000001</v>
      </c>
      <c r="F366" s="168">
        <v>1.1080900000000002</v>
      </c>
      <c r="G366" s="168">
        <v>1.1080900000000002</v>
      </c>
      <c r="H366" s="168">
        <v>1.1080900000000002</v>
      </c>
      <c r="I366" s="168">
        <v>1.1080900000000002</v>
      </c>
      <c r="J366" s="168">
        <v>1.1080900000000002</v>
      </c>
      <c r="K366" s="168">
        <v>1.1080900000000002</v>
      </c>
      <c r="L366" s="168">
        <v>1.1080900000000002</v>
      </c>
      <c r="M366" s="168">
        <v>1.1080900000000002</v>
      </c>
      <c r="N366" s="168">
        <v>1.1080900000000002</v>
      </c>
      <c r="O366" s="168">
        <v>1.1080900000000002</v>
      </c>
      <c r="P366" s="168">
        <v>1.1080900000000002</v>
      </c>
      <c r="Q366" s="168">
        <v>1.1080900000000002</v>
      </c>
      <c r="R366" s="168">
        <v>1.1080900000000002</v>
      </c>
      <c r="S366" s="168">
        <v>1.1080900000000002</v>
      </c>
      <c r="T366" s="168">
        <v>1.1080900000000002</v>
      </c>
      <c r="U366" s="168">
        <v>1.1080900000000002</v>
      </c>
      <c r="V366" s="168">
        <v>1.1080900000000002</v>
      </c>
      <c r="W366" s="168">
        <v>1.1080900000000002</v>
      </c>
      <c r="X366" s="168">
        <v>1.1080900000000002</v>
      </c>
      <c r="Y366" s="168">
        <v>1.1080900000000002</v>
      </c>
      <c r="Z366" s="168">
        <v>1.1080900000000002</v>
      </c>
      <c r="AA366" s="168">
        <v>1.1080900000000002</v>
      </c>
      <c r="AB366" s="168">
        <v>1.1080900000000002</v>
      </c>
      <c r="AC366" s="168">
        <v>1.1080900000000002</v>
      </c>
      <c r="AD366" s="168">
        <v>1.1080900000000002</v>
      </c>
      <c r="AE366" s="168">
        <v>1.1080900000000002</v>
      </c>
      <c r="AF366" s="168">
        <v>1.1080900000000002</v>
      </c>
      <c r="AG366" s="168">
        <v>1.1080900000000002</v>
      </c>
      <c r="AH366" s="168">
        <v>1.1080900000000002</v>
      </c>
      <c r="AI366" s="168">
        <v>1.1080900000000002</v>
      </c>
      <c r="AJ366" s="168">
        <v>1.1080900000000002</v>
      </c>
      <c r="AK366" s="168">
        <v>1.1080900000000002</v>
      </c>
      <c r="AL366" s="168">
        <v>1.1080900000000002</v>
      </c>
      <c r="AM366" s="168">
        <v>1.1080900000000002</v>
      </c>
      <c r="AN366" s="168">
        <v>1.1080900000000002</v>
      </c>
      <c r="AO366" s="168">
        <v>1.1080900000000002</v>
      </c>
    </row>
    <row r="367" spans="1:41" x14ac:dyDescent="0.35">
      <c r="A367" s="146" t="str">
        <f t="shared" si="271"/>
        <v>WACC_1201</v>
      </c>
      <c r="B367" s="134" t="s">
        <v>18</v>
      </c>
      <c r="C367" s="135" t="s">
        <v>96</v>
      </c>
      <c r="D367" s="135" t="s">
        <v>81</v>
      </c>
      <c r="E367" s="59">
        <v>1.1116000000000001</v>
      </c>
      <c r="F367" s="168">
        <v>1.1080900000000002</v>
      </c>
      <c r="G367" s="168">
        <v>1.1080900000000002</v>
      </c>
      <c r="H367" s="168">
        <v>1.1080900000000002</v>
      </c>
      <c r="I367" s="168">
        <v>1.1080900000000002</v>
      </c>
      <c r="J367" s="168">
        <v>1.1080900000000002</v>
      </c>
      <c r="K367" s="168">
        <v>1.1080900000000002</v>
      </c>
      <c r="L367" s="168">
        <v>1.1080900000000002</v>
      </c>
      <c r="M367" s="168">
        <v>1.1080900000000002</v>
      </c>
      <c r="N367" s="168">
        <v>1.1080900000000002</v>
      </c>
      <c r="O367" s="168">
        <v>1.1080900000000002</v>
      </c>
      <c r="P367" s="168">
        <v>1.1080900000000002</v>
      </c>
      <c r="Q367" s="168">
        <v>1.1080900000000002</v>
      </c>
      <c r="R367" s="168">
        <v>1.1080900000000002</v>
      </c>
      <c r="S367" s="168">
        <v>1.1080900000000002</v>
      </c>
      <c r="T367" s="168">
        <v>1.1080900000000002</v>
      </c>
      <c r="U367" s="168">
        <v>1.1080900000000002</v>
      </c>
      <c r="V367" s="168">
        <v>1.1080900000000002</v>
      </c>
      <c r="W367" s="168">
        <v>1.1080900000000002</v>
      </c>
      <c r="X367" s="168">
        <v>1.1080900000000002</v>
      </c>
      <c r="Y367" s="168">
        <v>1.1080900000000002</v>
      </c>
      <c r="Z367" s="168">
        <v>1.1080900000000002</v>
      </c>
      <c r="AA367" s="168">
        <v>1.1080900000000002</v>
      </c>
      <c r="AB367" s="168">
        <v>1.1080900000000002</v>
      </c>
      <c r="AC367" s="168">
        <v>1.1080900000000002</v>
      </c>
      <c r="AD367" s="168">
        <v>1.1080900000000002</v>
      </c>
      <c r="AE367" s="168">
        <v>1.1080900000000002</v>
      </c>
      <c r="AF367" s="168">
        <v>1.1080900000000002</v>
      </c>
      <c r="AG367" s="168">
        <v>1.1080900000000002</v>
      </c>
      <c r="AH367" s="168">
        <v>1.1080900000000002</v>
      </c>
      <c r="AI367" s="168">
        <v>1.1080900000000002</v>
      </c>
      <c r="AJ367" s="168">
        <v>1.1080900000000002</v>
      </c>
      <c r="AK367" s="168">
        <v>1.1080900000000002</v>
      </c>
      <c r="AL367" s="168">
        <v>1.1080900000000002</v>
      </c>
      <c r="AM367" s="168">
        <v>1.1080900000000002</v>
      </c>
      <c r="AN367" s="168">
        <v>1.1080900000000002</v>
      </c>
      <c r="AO367" s="168">
        <v>1.1080900000000002</v>
      </c>
    </row>
    <row r="368" spans="1:41" x14ac:dyDescent="0.35">
      <c r="A368" s="146" t="str">
        <f t="shared" si="271"/>
        <v>WACC_1201</v>
      </c>
      <c r="B368" s="132" t="s">
        <v>19</v>
      </c>
      <c r="C368" s="135" t="s">
        <v>96</v>
      </c>
      <c r="D368" s="133" t="s">
        <v>81</v>
      </c>
      <c r="E368" s="60">
        <v>1.1116000000000001</v>
      </c>
      <c r="F368" s="168">
        <v>1.1080900000000002</v>
      </c>
      <c r="G368" s="168">
        <v>1.1080900000000002</v>
      </c>
      <c r="H368" s="168">
        <v>1.1080900000000002</v>
      </c>
      <c r="I368" s="168">
        <v>1.1080900000000002</v>
      </c>
      <c r="J368" s="168">
        <v>1.1080900000000002</v>
      </c>
      <c r="K368" s="168">
        <v>1.1080900000000002</v>
      </c>
      <c r="L368" s="168">
        <v>1.1080900000000002</v>
      </c>
      <c r="M368" s="168">
        <v>1.1080900000000002</v>
      </c>
      <c r="N368" s="168">
        <v>1.1080900000000002</v>
      </c>
      <c r="O368" s="168">
        <v>1.1080900000000002</v>
      </c>
      <c r="P368" s="168">
        <v>1.1080900000000002</v>
      </c>
      <c r="Q368" s="168">
        <v>1.1080900000000002</v>
      </c>
      <c r="R368" s="168">
        <v>1.1080900000000002</v>
      </c>
      <c r="S368" s="168">
        <v>1.1080900000000002</v>
      </c>
      <c r="T368" s="168">
        <v>1.1080900000000002</v>
      </c>
      <c r="U368" s="168">
        <v>1.1080900000000002</v>
      </c>
      <c r="V368" s="168">
        <v>1.1080900000000002</v>
      </c>
      <c r="W368" s="168">
        <v>1.1080900000000002</v>
      </c>
      <c r="X368" s="168">
        <v>1.1080900000000002</v>
      </c>
      <c r="Y368" s="168">
        <v>1.1080900000000002</v>
      </c>
      <c r="Z368" s="168">
        <v>1.1080900000000002</v>
      </c>
      <c r="AA368" s="168">
        <v>1.1080900000000002</v>
      </c>
      <c r="AB368" s="168">
        <v>1.1080900000000002</v>
      </c>
      <c r="AC368" s="168">
        <v>1.1080900000000002</v>
      </c>
      <c r="AD368" s="168">
        <v>1.1080900000000002</v>
      </c>
      <c r="AE368" s="168">
        <v>1.1080900000000002</v>
      </c>
      <c r="AF368" s="168">
        <v>1.1080900000000002</v>
      </c>
      <c r="AG368" s="168">
        <v>1.1080900000000002</v>
      </c>
      <c r="AH368" s="168">
        <v>1.1080900000000002</v>
      </c>
      <c r="AI368" s="168">
        <v>1.1080900000000002</v>
      </c>
      <c r="AJ368" s="168">
        <v>1.1080900000000002</v>
      </c>
      <c r="AK368" s="168">
        <v>1.1080900000000002</v>
      </c>
      <c r="AL368" s="168">
        <v>1.1080900000000002</v>
      </c>
      <c r="AM368" s="168">
        <v>1.1080900000000002</v>
      </c>
      <c r="AN368" s="168">
        <v>1.1080900000000002</v>
      </c>
      <c r="AO368" s="168">
        <v>1.1080900000000002</v>
      </c>
    </row>
    <row r="369" spans="1:41" x14ac:dyDescent="0.35">
      <c r="A369" s="146" t="str">
        <f t="shared" si="271"/>
        <v>WACC_1201</v>
      </c>
      <c r="B369" s="134" t="s">
        <v>20</v>
      </c>
      <c r="C369" s="135" t="s">
        <v>96</v>
      </c>
      <c r="D369" s="135" t="s">
        <v>81</v>
      </c>
      <c r="E369" s="59">
        <v>1.1116000000000001</v>
      </c>
      <c r="F369" s="168">
        <v>1.1080900000000002</v>
      </c>
      <c r="G369" s="168">
        <v>1.1080900000000002</v>
      </c>
      <c r="H369" s="168">
        <v>1.1080900000000002</v>
      </c>
      <c r="I369" s="168">
        <v>1.1080900000000002</v>
      </c>
      <c r="J369" s="168">
        <v>1.1080900000000002</v>
      </c>
      <c r="K369" s="168">
        <v>1.1080900000000002</v>
      </c>
      <c r="L369" s="168">
        <v>1.1080900000000002</v>
      </c>
      <c r="M369" s="168">
        <v>1.1080900000000002</v>
      </c>
      <c r="N369" s="168">
        <v>1.1080900000000002</v>
      </c>
      <c r="O369" s="168">
        <v>1.1080900000000002</v>
      </c>
      <c r="P369" s="168">
        <v>1.1080900000000002</v>
      </c>
      <c r="Q369" s="168">
        <v>1.1080900000000002</v>
      </c>
      <c r="R369" s="168">
        <v>1.1080900000000002</v>
      </c>
      <c r="S369" s="168">
        <v>1.1080900000000002</v>
      </c>
      <c r="T369" s="168">
        <v>1.1080900000000002</v>
      </c>
      <c r="U369" s="168">
        <v>1.1080900000000002</v>
      </c>
      <c r="V369" s="168">
        <v>1.1080900000000002</v>
      </c>
      <c r="W369" s="168">
        <v>1.1080900000000002</v>
      </c>
      <c r="X369" s="168">
        <v>1.1080900000000002</v>
      </c>
      <c r="Y369" s="168">
        <v>1.1080900000000002</v>
      </c>
      <c r="Z369" s="168">
        <v>1.1080900000000002</v>
      </c>
      <c r="AA369" s="168">
        <v>1.1080900000000002</v>
      </c>
      <c r="AB369" s="168">
        <v>1.1080900000000002</v>
      </c>
      <c r="AC369" s="168">
        <v>1.1080900000000002</v>
      </c>
      <c r="AD369" s="168">
        <v>1.1080900000000002</v>
      </c>
      <c r="AE369" s="168">
        <v>1.1080900000000002</v>
      </c>
      <c r="AF369" s="168">
        <v>1.1080900000000002</v>
      </c>
      <c r="AG369" s="168">
        <v>1.1080900000000002</v>
      </c>
      <c r="AH369" s="168">
        <v>1.1080900000000002</v>
      </c>
      <c r="AI369" s="168">
        <v>1.1080900000000002</v>
      </c>
      <c r="AJ369" s="168">
        <v>1.1080900000000002</v>
      </c>
      <c r="AK369" s="168">
        <v>1.1080900000000002</v>
      </c>
      <c r="AL369" s="168">
        <v>1.1080900000000002</v>
      </c>
      <c r="AM369" s="168">
        <v>1.1080900000000002</v>
      </c>
      <c r="AN369" s="168">
        <v>1.1080900000000002</v>
      </c>
      <c r="AO369" s="168">
        <v>1.1080900000000002</v>
      </c>
    </row>
    <row r="370" spans="1:41" x14ac:dyDescent="0.35">
      <c r="A370" s="146" t="str">
        <f t="shared" si="271"/>
        <v>WACC_1201</v>
      </c>
      <c r="B370" s="132" t="s">
        <v>21</v>
      </c>
      <c r="C370" s="135" t="s">
        <v>96</v>
      </c>
      <c r="D370" s="133" t="s">
        <v>81</v>
      </c>
      <c r="E370" s="60">
        <v>1.1116000000000001</v>
      </c>
      <c r="F370" s="168">
        <v>1.1080900000000002</v>
      </c>
      <c r="G370" s="168">
        <v>1.1080900000000002</v>
      </c>
      <c r="H370" s="168">
        <v>1.1080900000000002</v>
      </c>
      <c r="I370" s="168">
        <v>1.1080900000000002</v>
      </c>
      <c r="J370" s="168">
        <v>1.1080900000000002</v>
      </c>
      <c r="K370" s="168">
        <v>1.1080900000000002</v>
      </c>
      <c r="L370" s="168">
        <v>1.1080900000000002</v>
      </c>
      <c r="M370" s="168">
        <v>1.1080900000000002</v>
      </c>
      <c r="N370" s="168">
        <v>1.1080900000000002</v>
      </c>
      <c r="O370" s="168">
        <v>1.1080900000000002</v>
      </c>
      <c r="P370" s="168">
        <v>1.1080900000000002</v>
      </c>
      <c r="Q370" s="168">
        <v>1.1080900000000002</v>
      </c>
      <c r="R370" s="168">
        <v>1.1080900000000002</v>
      </c>
      <c r="S370" s="168">
        <v>1.1080900000000002</v>
      </c>
      <c r="T370" s="168">
        <v>1.1080900000000002</v>
      </c>
      <c r="U370" s="168">
        <v>1.1080900000000002</v>
      </c>
      <c r="V370" s="168">
        <v>1.1080900000000002</v>
      </c>
      <c r="W370" s="168">
        <v>1.1080900000000002</v>
      </c>
      <c r="X370" s="168">
        <v>1.1080900000000002</v>
      </c>
      <c r="Y370" s="168">
        <v>1.1080900000000002</v>
      </c>
      <c r="Z370" s="168">
        <v>1.1080900000000002</v>
      </c>
      <c r="AA370" s="168">
        <v>1.1080900000000002</v>
      </c>
      <c r="AB370" s="168">
        <v>1.1080900000000002</v>
      </c>
      <c r="AC370" s="168">
        <v>1.1080900000000002</v>
      </c>
      <c r="AD370" s="168">
        <v>1.1080900000000002</v>
      </c>
      <c r="AE370" s="168">
        <v>1.1080900000000002</v>
      </c>
      <c r="AF370" s="168">
        <v>1.1080900000000002</v>
      </c>
      <c r="AG370" s="168">
        <v>1.1080900000000002</v>
      </c>
      <c r="AH370" s="168">
        <v>1.1080900000000002</v>
      </c>
      <c r="AI370" s="168">
        <v>1.1080900000000002</v>
      </c>
      <c r="AJ370" s="168">
        <v>1.1080900000000002</v>
      </c>
      <c r="AK370" s="168">
        <v>1.1080900000000002</v>
      </c>
      <c r="AL370" s="168">
        <v>1.1080900000000002</v>
      </c>
      <c r="AM370" s="168">
        <v>1.1080900000000002</v>
      </c>
      <c r="AN370" s="168">
        <v>1.1080900000000002</v>
      </c>
      <c r="AO370" s="168">
        <v>1.1080900000000002</v>
      </c>
    </row>
    <row r="371" spans="1:41" x14ac:dyDescent="0.35">
      <c r="A371" s="146" t="str">
        <f t="shared" si="271"/>
        <v>WACC_1201</v>
      </c>
      <c r="B371" s="134" t="s">
        <v>22</v>
      </c>
      <c r="C371" s="135" t="s">
        <v>96</v>
      </c>
      <c r="D371" s="135" t="s">
        <v>81</v>
      </c>
      <c r="E371" s="59">
        <v>1.1116000000000001</v>
      </c>
      <c r="F371" s="168">
        <v>1.1080900000000002</v>
      </c>
      <c r="G371" s="168">
        <v>1.1080900000000002</v>
      </c>
      <c r="H371" s="168">
        <v>1.1080900000000002</v>
      </c>
      <c r="I371" s="168">
        <v>1.1080900000000002</v>
      </c>
      <c r="J371" s="168">
        <v>1.1080900000000002</v>
      </c>
      <c r="K371" s="168">
        <v>1.1080900000000002</v>
      </c>
      <c r="L371" s="168">
        <v>1.1080900000000002</v>
      </c>
      <c r="M371" s="168">
        <v>1.1080900000000002</v>
      </c>
      <c r="N371" s="168">
        <v>1.1080900000000002</v>
      </c>
      <c r="O371" s="168">
        <v>1.1080900000000002</v>
      </c>
      <c r="P371" s="168">
        <v>1.1080900000000002</v>
      </c>
      <c r="Q371" s="168">
        <v>1.1080900000000002</v>
      </c>
      <c r="R371" s="168">
        <v>1.1080900000000002</v>
      </c>
      <c r="S371" s="168">
        <v>1.1080900000000002</v>
      </c>
      <c r="T371" s="168">
        <v>1.1080900000000002</v>
      </c>
      <c r="U371" s="168">
        <v>1.1080900000000002</v>
      </c>
      <c r="V371" s="168">
        <v>1.1080900000000002</v>
      </c>
      <c r="W371" s="168">
        <v>1.1080900000000002</v>
      </c>
      <c r="X371" s="168">
        <v>1.1080900000000002</v>
      </c>
      <c r="Y371" s="168">
        <v>1.1080900000000002</v>
      </c>
      <c r="Z371" s="168">
        <v>1.1080900000000002</v>
      </c>
      <c r="AA371" s="168">
        <v>1.1080900000000002</v>
      </c>
      <c r="AB371" s="168">
        <v>1.1080900000000002</v>
      </c>
      <c r="AC371" s="168">
        <v>1.1080900000000002</v>
      </c>
      <c r="AD371" s="168">
        <v>1.1080900000000002</v>
      </c>
      <c r="AE371" s="168">
        <v>1.1080900000000002</v>
      </c>
      <c r="AF371" s="168">
        <v>1.1080900000000002</v>
      </c>
      <c r="AG371" s="168">
        <v>1.1080900000000002</v>
      </c>
      <c r="AH371" s="168">
        <v>1.1080900000000002</v>
      </c>
      <c r="AI371" s="168">
        <v>1.1080900000000002</v>
      </c>
      <c r="AJ371" s="168">
        <v>1.1080900000000002</v>
      </c>
      <c r="AK371" s="168">
        <v>1.1080900000000002</v>
      </c>
      <c r="AL371" s="168">
        <v>1.1080900000000002</v>
      </c>
      <c r="AM371" s="168">
        <v>1.1080900000000002</v>
      </c>
      <c r="AN371" s="168">
        <v>1.1080900000000002</v>
      </c>
      <c r="AO371" s="168">
        <v>1.1080900000000002</v>
      </c>
    </row>
    <row r="372" spans="1:41" x14ac:dyDescent="0.35">
      <c r="A372" s="146" t="str">
        <f t="shared" si="271"/>
        <v>WACC_1201</v>
      </c>
      <c r="B372" s="134" t="s">
        <v>117</v>
      </c>
      <c r="C372" s="135" t="s">
        <v>96</v>
      </c>
      <c r="D372" s="135" t="s">
        <v>81</v>
      </c>
      <c r="E372" s="59">
        <v>1.1116000000000001</v>
      </c>
      <c r="F372" s="168">
        <v>1.1080900000000002</v>
      </c>
      <c r="G372" s="168">
        <v>1.1080900000000002</v>
      </c>
      <c r="H372" s="168">
        <v>1.1080900000000002</v>
      </c>
      <c r="I372" s="168">
        <v>1.1080900000000002</v>
      </c>
      <c r="J372" s="168">
        <v>1.1080900000000002</v>
      </c>
      <c r="K372" s="168">
        <v>1.1080900000000002</v>
      </c>
      <c r="L372" s="168">
        <v>1.1080900000000002</v>
      </c>
      <c r="M372" s="168">
        <v>1.1080900000000002</v>
      </c>
      <c r="N372" s="168">
        <v>1.1080900000000002</v>
      </c>
      <c r="O372" s="168">
        <v>1.1080900000000002</v>
      </c>
      <c r="P372" s="168">
        <v>1.1080900000000002</v>
      </c>
      <c r="Q372" s="168">
        <v>1.1080900000000002</v>
      </c>
      <c r="R372" s="168">
        <v>1.1080900000000002</v>
      </c>
      <c r="S372" s="168">
        <v>1.1080900000000002</v>
      </c>
      <c r="T372" s="168">
        <v>1.1080900000000002</v>
      </c>
      <c r="U372" s="168">
        <v>1.1080900000000002</v>
      </c>
      <c r="V372" s="168">
        <v>1.1080900000000002</v>
      </c>
      <c r="W372" s="168">
        <v>1.1080900000000002</v>
      </c>
      <c r="X372" s="168">
        <v>1.1080900000000002</v>
      </c>
      <c r="Y372" s="168">
        <v>1.1080900000000002</v>
      </c>
      <c r="Z372" s="168">
        <v>1.1080900000000002</v>
      </c>
      <c r="AA372" s="168">
        <v>1.1080900000000002</v>
      </c>
      <c r="AB372" s="168">
        <v>1.1080900000000002</v>
      </c>
      <c r="AC372" s="168">
        <v>1.1080900000000002</v>
      </c>
      <c r="AD372" s="168">
        <v>1.1080900000000002</v>
      </c>
      <c r="AE372" s="168">
        <v>1.1080900000000002</v>
      </c>
      <c r="AF372" s="168">
        <v>1.1080900000000002</v>
      </c>
      <c r="AG372" s="168">
        <v>1.1080900000000002</v>
      </c>
      <c r="AH372" s="168">
        <v>1.1080900000000002</v>
      </c>
      <c r="AI372" s="168">
        <v>1.1080900000000002</v>
      </c>
      <c r="AJ372" s="168">
        <v>1.1080900000000002</v>
      </c>
      <c r="AK372" s="168">
        <v>1.1080900000000002</v>
      </c>
      <c r="AL372" s="168">
        <v>1.1080900000000002</v>
      </c>
      <c r="AM372" s="168">
        <v>1.1080900000000002</v>
      </c>
      <c r="AN372" s="168">
        <v>1.1080900000000002</v>
      </c>
      <c r="AO372" s="168">
        <v>1.1080900000000002</v>
      </c>
    </row>
    <row r="373" spans="1:41" x14ac:dyDescent="0.35">
      <c r="A373" s="146" t="str">
        <f>A371</f>
        <v>WACC_1201</v>
      </c>
      <c r="B373" s="132" t="s">
        <v>12</v>
      </c>
      <c r="C373" s="135" t="s">
        <v>96</v>
      </c>
      <c r="D373" s="133" t="s">
        <v>81</v>
      </c>
      <c r="E373" s="60">
        <v>1.0465705312</v>
      </c>
      <c r="F373" s="168">
        <v>1.04500641818005</v>
      </c>
      <c r="G373" s="168">
        <v>1.04500641818005</v>
      </c>
      <c r="H373" s="168">
        <v>1.04500641818005</v>
      </c>
      <c r="I373" s="168">
        <v>1.04500641818005</v>
      </c>
      <c r="J373" s="168">
        <v>1.04500641818005</v>
      </c>
      <c r="K373" s="168">
        <v>1.04500641818005</v>
      </c>
      <c r="L373" s="168">
        <v>1.04500641818005</v>
      </c>
      <c r="M373" s="168">
        <v>1.04500641818005</v>
      </c>
      <c r="N373" s="168">
        <v>1.04500641818005</v>
      </c>
      <c r="O373" s="168">
        <v>1.04500641818005</v>
      </c>
      <c r="P373" s="168">
        <v>1.04500641818005</v>
      </c>
      <c r="Q373" s="168">
        <v>1.04500641818005</v>
      </c>
      <c r="R373" s="168">
        <v>1.04500641818005</v>
      </c>
      <c r="S373" s="168">
        <v>1.04500641818005</v>
      </c>
      <c r="T373" s="168">
        <v>1.04500641818005</v>
      </c>
      <c r="U373" s="168">
        <v>1.04500641818005</v>
      </c>
      <c r="V373" s="168">
        <v>1.04500641818005</v>
      </c>
      <c r="W373" s="168">
        <v>1.04500641818005</v>
      </c>
      <c r="X373" s="168">
        <v>1.04500641818005</v>
      </c>
      <c r="Y373" s="168">
        <v>1.04500641818005</v>
      </c>
      <c r="Z373" s="168">
        <v>1.04500641818005</v>
      </c>
      <c r="AA373" s="168">
        <v>1.04500641818005</v>
      </c>
      <c r="AB373" s="168">
        <v>1.04500641818005</v>
      </c>
      <c r="AC373" s="168">
        <v>1.04500641818005</v>
      </c>
      <c r="AD373" s="168">
        <v>1.04500641818005</v>
      </c>
      <c r="AE373" s="168">
        <v>1.04500641818005</v>
      </c>
      <c r="AF373" s="168">
        <v>1.04500641818005</v>
      </c>
      <c r="AG373" s="168">
        <v>1.04500641818005</v>
      </c>
      <c r="AH373" s="168">
        <v>1.04500641818005</v>
      </c>
      <c r="AI373" s="168">
        <v>1.04500641818005</v>
      </c>
      <c r="AJ373" s="168">
        <v>1.04500641818005</v>
      </c>
      <c r="AK373" s="168">
        <v>1.04500641818005</v>
      </c>
      <c r="AL373" s="168">
        <v>1.04500641818005</v>
      </c>
      <c r="AM373" s="168">
        <v>1.04500641818005</v>
      </c>
      <c r="AN373" s="168">
        <v>1.04500641818005</v>
      </c>
      <c r="AO373" s="168">
        <v>1.04500641818005</v>
      </c>
    </row>
    <row r="374" spans="1:41" x14ac:dyDescent="0.35">
      <c r="A374" s="146" t="str">
        <f t="shared" si="271"/>
        <v>WACC_1201</v>
      </c>
      <c r="B374" s="134" t="s">
        <v>13</v>
      </c>
      <c r="C374" s="135" t="s">
        <v>96</v>
      </c>
      <c r="D374" s="135" t="s">
        <v>81</v>
      </c>
      <c r="E374" s="59">
        <v>1.0465705312</v>
      </c>
      <c r="F374" s="168">
        <v>1.04500641818005</v>
      </c>
      <c r="G374" s="168">
        <v>1.04500641818005</v>
      </c>
      <c r="H374" s="168">
        <v>1.04500641818005</v>
      </c>
      <c r="I374" s="168">
        <v>1.04500641818005</v>
      </c>
      <c r="J374" s="168">
        <v>1.04500641818005</v>
      </c>
      <c r="K374" s="168">
        <v>1.04500641818005</v>
      </c>
      <c r="L374" s="168">
        <v>1.04500641818005</v>
      </c>
      <c r="M374" s="168">
        <v>1.04500641818005</v>
      </c>
      <c r="N374" s="168">
        <v>1.04500641818005</v>
      </c>
      <c r="O374" s="168">
        <v>1.04500641818005</v>
      </c>
      <c r="P374" s="168">
        <v>1.04500641818005</v>
      </c>
      <c r="Q374" s="168">
        <v>1.04500641818005</v>
      </c>
      <c r="R374" s="168">
        <v>1.04500641818005</v>
      </c>
      <c r="S374" s="168">
        <v>1.04500641818005</v>
      </c>
      <c r="T374" s="168">
        <v>1.04500641818005</v>
      </c>
      <c r="U374" s="168">
        <v>1.04500641818005</v>
      </c>
      <c r="V374" s="168">
        <v>1.04500641818005</v>
      </c>
      <c r="W374" s="168">
        <v>1.04500641818005</v>
      </c>
      <c r="X374" s="168">
        <v>1.04500641818005</v>
      </c>
      <c r="Y374" s="168">
        <v>1.04500641818005</v>
      </c>
      <c r="Z374" s="168">
        <v>1.04500641818005</v>
      </c>
      <c r="AA374" s="168">
        <v>1.04500641818005</v>
      </c>
      <c r="AB374" s="168">
        <v>1.04500641818005</v>
      </c>
      <c r="AC374" s="168">
        <v>1.04500641818005</v>
      </c>
      <c r="AD374" s="168">
        <v>1.04500641818005</v>
      </c>
      <c r="AE374" s="168">
        <v>1.04500641818005</v>
      </c>
      <c r="AF374" s="168">
        <v>1.04500641818005</v>
      </c>
      <c r="AG374" s="168">
        <v>1.04500641818005</v>
      </c>
      <c r="AH374" s="168">
        <v>1.04500641818005</v>
      </c>
      <c r="AI374" s="168">
        <v>1.04500641818005</v>
      </c>
      <c r="AJ374" s="168">
        <v>1.04500641818005</v>
      </c>
      <c r="AK374" s="168">
        <v>1.04500641818005</v>
      </c>
      <c r="AL374" s="168">
        <v>1.04500641818005</v>
      </c>
      <c r="AM374" s="168">
        <v>1.04500641818005</v>
      </c>
      <c r="AN374" s="168">
        <v>1.04500641818005</v>
      </c>
      <c r="AO374" s="168">
        <v>1.04500641818005</v>
      </c>
    </row>
    <row r="375" spans="1:41" x14ac:dyDescent="0.35">
      <c r="A375" s="146" t="str">
        <f t="shared" si="271"/>
        <v>WACC_1201</v>
      </c>
      <c r="B375" s="132" t="s">
        <v>14</v>
      </c>
      <c r="C375" s="135" t="s">
        <v>96</v>
      </c>
      <c r="D375" s="133" t="s">
        <v>81</v>
      </c>
      <c r="E375" s="60">
        <v>1.0465705312</v>
      </c>
      <c r="F375" s="168">
        <v>1.04500641818005</v>
      </c>
      <c r="G375" s="168">
        <v>1.04500641818005</v>
      </c>
      <c r="H375" s="168">
        <v>1.04500641818005</v>
      </c>
      <c r="I375" s="168">
        <v>1.04500641818005</v>
      </c>
      <c r="J375" s="168">
        <v>1.04500641818005</v>
      </c>
      <c r="K375" s="168">
        <v>1.04500641818005</v>
      </c>
      <c r="L375" s="168">
        <v>1.04500641818005</v>
      </c>
      <c r="M375" s="168">
        <v>1.04500641818005</v>
      </c>
      <c r="N375" s="168">
        <v>1.04500641818005</v>
      </c>
      <c r="O375" s="168">
        <v>1.04500641818005</v>
      </c>
      <c r="P375" s="168">
        <v>1.04500641818005</v>
      </c>
      <c r="Q375" s="168">
        <v>1.04500641818005</v>
      </c>
      <c r="R375" s="168">
        <v>1.04500641818005</v>
      </c>
      <c r="S375" s="168">
        <v>1.04500641818005</v>
      </c>
      <c r="T375" s="168">
        <v>1.04500641818005</v>
      </c>
      <c r="U375" s="168">
        <v>1.04500641818005</v>
      </c>
      <c r="V375" s="168">
        <v>1.04500641818005</v>
      </c>
      <c r="W375" s="168">
        <v>1.04500641818005</v>
      </c>
      <c r="X375" s="168">
        <v>1.04500641818005</v>
      </c>
      <c r="Y375" s="168">
        <v>1.04500641818005</v>
      </c>
      <c r="Z375" s="168">
        <v>1.04500641818005</v>
      </c>
      <c r="AA375" s="168">
        <v>1.04500641818005</v>
      </c>
      <c r="AB375" s="168">
        <v>1.04500641818005</v>
      </c>
      <c r="AC375" s="168">
        <v>1.04500641818005</v>
      </c>
      <c r="AD375" s="168">
        <v>1.04500641818005</v>
      </c>
      <c r="AE375" s="168">
        <v>1.04500641818005</v>
      </c>
      <c r="AF375" s="168">
        <v>1.04500641818005</v>
      </c>
      <c r="AG375" s="168">
        <v>1.04500641818005</v>
      </c>
      <c r="AH375" s="168">
        <v>1.04500641818005</v>
      </c>
      <c r="AI375" s="168">
        <v>1.04500641818005</v>
      </c>
      <c r="AJ375" s="168">
        <v>1.04500641818005</v>
      </c>
      <c r="AK375" s="168">
        <v>1.04500641818005</v>
      </c>
      <c r="AL375" s="168">
        <v>1.04500641818005</v>
      </c>
      <c r="AM375" s="168">
        <v>1.04500641818005</v>
      </c>
      <c r="AN375" s="168">
        <v>1.04500641818005</v>
      </c>
      <c r="AO375" s="168">
        <v>1.04500641818005</v>
      </c>
    </row>
    <row r="376" spans="1:41" x14ac:dyDescent="0.35">
      <c r="A376" s="146" t="str">
        <f t="shared" si="271"/>
        <v>WACC_1201</v>
      </c>
      <c r="B376" s="134" t="s">
        <v>10</v>
      </c>
      <c r="C376" s="135" t="s">
        <v>96</v>
      </c>
      <c r="D376" s="135" t="s">
        <v>81</v>
      </c>
      <c r="E376" s="59">
        <v>1.0124</v>
      </c>
      <c r="F376" s="168">
        <v>1.0120100000000001</v>
      </c>
      <c r="G376" s="168">
        <v>1.0120100000000001</v>
      </c>
      <c r="H376" s="168">
        <v>1.0120100000000001</v>
      </c>
      <c r="I376" s="168">
        <v>1.0120100000000001</v>
      </c>
      <c r="J376" s="168">
        <v>1.0120100000000001</v>
      </c>
      <c r="K376" s="168">
        <v>1.0120100000000001</v>
      </c>
      <c r="L376" s="168">
        <v>1.0120100000000001</v>
      </c>
      <c r="M376" s="168">
        <v>1.0120100000000001</v>
      </c>
      <c r="N376" s="168">
        <v>1.0120100000000001</v>
      </c>
      <c r="O376" s="168">
        <v>1.0120100000000001</v>
      </c>
      <c r="P376" s="168">
        <v>1.0120100000000001</v>
      </c>
      <c r="Q376" s="168">
        <v>1.0120100000000001</v>
      </c>
      <c r="R376" s="168">
        <v>1.0120100000000001</v>
      </c>
      <c r="S376" s="168">
        <v>1.0120100000000001</v>
      </c>
      <c r="T376" s="168">
        <v>1.0120100000000001</v>
      </c>
      <c r="U376" s="168">
        <v>1.0120100000000001</v>
      </c>
      <c r="V376" s="168">
        <v>1.0120100000000001</v>
      </c>
      <c r="W376" s="168">
        <v>1.0120100000000001</v>
      </c>
      <c r="X376" s="168">
        <v>1.0120100000000001</v>
      </c>
      <c r="Y376" s="168">
        <v>1.0120100000000001</v>
      </c>
      <c r="Z376" s="168">
        <v>1.0120100000000001</v>
      </c>
      <c r="AA376" s="168">
        <v>1.0120100000000001</v>
      </c>
      <c r="AB376" s="168">
        <v>1.0120100000000001</v>
      </c>
      <c r="AC376" s="168">
        <v>1.0120100000000001</v>
      </c>
      <c r="AD376" s="168">
        <v>1.0120100000000001</v>
      </c>
      <c r="AE376" s="168">
        <v>1.0120100000000001</v>
      </c>
      <c r="AF376" s="168">
        <v>1.0120100000000001</v>
      </c>
      <c r="AG376" s="168">
        <v>1.0120100000000001</v>
      </c>
      <c r="AH376" s="168">
        <v>1.0120100000000001</v>
      </c>
      <c r="AI376" s="168">
        <v>1.0120100000000001</v>
      </c>
      <c r="AJ376" s="168">
        <v>1.0120100000000001</v>
      </c>
      <c r="AK376" s="168">
        <v>1.0120100000000001</v>
      </c>
      <c r="AL376" s="168">
        <v>1.0120100000000001</v>
      </c>
      <c r="AM376" s="168">
        <v>1.0120100000000001</v>
      </c>
      <c r="AN376" s="168">
        <v>1.0120100000000001</v>
      </c>
      <c r="AO376" s="168">
        <v>1.0120100000000001</v>
      </c>
    </row>
    <row r="377" spans="1:41" x14ac:dyDescent="0.35">
      <c r="A377" s="146" t="str">
        <f t="shared" si="271"/>
        <v>WACC_1201</v>
      </c>
      <c r="B377" s="132" t="s">
        <v>11</v>
      </c>
      <c r="C377" s="135" t="s">
        <v>96</v>
      </c>
      <c r="D377" s="133" t="s">
        <v>81</v>
      </c>
      <c r="E377" s="60">
        <v>1.0124</v>
      </c>
      <c r="F377" s="168">
        <v>1.0120100000000001</v>
      </c>
      <c r="G377" s="168">
        <v>1.0120100000000001</v>
      </c>
      <c r="H377" s="168">
        <v>1.0120100000000001</v>
      </c>
      <c r="I377" s="168">
        <v>1.0120100000000001</v>
      </c>
      <c r="J377" s="168">
        <v>1.0120100000000001</v>
      </c>
      <c r="K377" s="168">
        <v>1.0120100000000001</v>
      </c>
      <c r="L377" s="168">
        <v>1.0120100000000001</v>
      </c>
      <c r="M377" s="168">
        <v>1.0120100000000001</v>
      </c>
      <c r="N377" s="168">
        <v>1.0120100000000001</v>
      </c>
      <c r="O377" s="168">
        <v>1.0120100000000001</v>
      </c>
      <c r="P377" s="168">
        <v>1.0120100000000001</v>
      </c>
      <c r="Q377" s="168">
        <v>1.0120100000000001</v>
      </c>
      <c r="R377" s="168">
        <v>1.0120100000000001</v>
      </c>
      <c r="S377" s="168">
        <v>1.0120100000000001</v>
      </c>
      <c r="T377" s="168">
        <v>1.0120100000000001</v>
      </c>
      <c r="U377" s="168">
        <v>1.0120100000000001</v>
      </c>
      <c r="V377" s="168">
        <v>1.0120100000000001</v>
      </c>
      <c r="W377" s="168">
        <v>1.0120100000000001</v>
      </c>
      <c r="X377" s="168">
        <v>1.0120100000000001</v>
      </c>
      <c r="Y377" s="168">
        <v>1.0120100000000001</v>
      </c>
      <c r="Z377" s="168">
        <v>1.0120100000000001</v>
      </c>
      <c r="AA377" s="168">
        <v>1.0120100000000001</v>
      </c>
      <c r="AB377" s="168">
        <v>1.0120100000000001</v>
      </c>
      <c r="AC377" s="168">
        <v>1.0120100000000001</v>
      </c>
      <c r="AD377" s="168">
        <v>1.0120100000000001</v>
      </c>
      <c r="AE377" s="168">
        <v>1.0120100000000001</v>
      </c>
      <c r="AF377" s="168">
        <v>1.0120100000000001</v>
      </c>
      <c r="AG377" s="168">
        <v>1.0120100000000001</v>
      </c>
      <c r="AH377" s="168">
        <v>1.0120100000000001</v>
      </c>
      <c r="AI377" s="168">
        <v>1.0120100000000001</v>
      </c>
      <c r="AJ377" s="168">
        <v>1.0120100000000001</v>
      </c>
      <c r="AK377" s="168">
        <v>1.0120100000000001</v>
      </c>
      <c r="AL377" s="168">
        <v>1.0120100000000001</v>
      </c>
      <c r="AM377" s="168">
        <v>1.0120100000000001</v>
      </c>
      <c r="AN377" s="168">
        <v>1.0120100000000001</v>
      </c>
      <c r="AO377" s="168">
        <v>1.0120100000000001</v>
      </c>
    </row>
    <row r="378" spans="1:41" x14ac:dyDescent="0.35">
      <c r="A378" s="146" t="str">
        <f t="shared" si="271"/>
        <v>WACC_1201</v>
      </c>
      <c r="B378" s="134" t="s">
        <v>8</v>
      </c>
      <c r="C378" s="135" t="s">
        <v>96</v>
      </c>
      <c r="D378" s="135" t="s">
        <v>81</v>
      </c>
      <c r="E378" s="59">
        <v>1.0124</v>
      </c>
      <c r="F378" s="168">
        <v>1.0120100000000001</v>
      </c>
      <c r="G378" s="168">
        <v>1.0120100000000001</v>
      </c>
      <c r="H378" s="168">
        <v>1.0120100000000001</v>
      </c>
      <c r="I378" s="168">
        <v>1.0120100000000001</v>
      </c>
      <c r="J378" s="168">
        <v>1.0120100000000001</v>
      </c>
      <c r="K378" s="168">
        <v>1.0120100000000001</v>
      </c>
      <c r="L378" s="168">
        <v>1.0120100000000001</v>
      </c>
      <c r="M378" s="168">
        <v>1.0120100000000001</v>
      </c>
      <c r="N378" s="168">
        <v>1.0120100000000001</v>
      </c>
      <c r="O378" s="168">
        <v>1.0120100000000001</v>
      </c>
      <c r="P378" s="168">
        <v>1.0120100000000001</v>
      </c>
      <c r="Q378" s="168">
        <v>1.0120100000000001</v>
      </c>
      <c r="R378" s="168">
        <v>1.0120100000000001</v>
      </c>
      <c r="S378" s="168">
        <v>1.0120100000000001</v>
      </c>
      <c r="T378" s="168">
        <v>1.0120100000000001</v>
      </c>
      <c r="U378" s="168">
        <v>1.0120100000000001</v>
      </c>
      <c r="V378" s="168">
        <v>1.0120100000000001</v>
      </c>
      <c r="W378" s="168">
        <v>1.0120100000000001</v>
      </c>
      <c r="X378" s="168">
        <v>1.0120100000000001</v>
      </c>
      <c r="Y378" s="168">
        <v>1.0120100000000001</v>
      </c>
      <c r="Z378" s="168">
        <v>1.0120100000000001</v>
      </c>
      <c r="AA378" s="168">
        <v>1.0120100000000001</v>
      </c>
      <c r="AB378" s="168">
        <v>1.0120100000000001</v>
      </c>
      <c r="AC378" s="168">
        <v>1.0120100000000001</v>
      </c>
      <c r="AD378" s="168">
        <v>1.0120100000000001</v>
      </c>
      <c r="AE378" s="168">
        <v>1.0120100000000001</v>
      </c>
      <c r="AF378" s="168">
        <v>1.0120100000000001</v>
      </c>
      <c r="AG378" s="168">
        <v>1.0120100000000001</v>
      </c>
      <c r="AH378" s="168">
        <v>1.0120100000000001</v>
      </c>
      <c r="AI378" s="168">
        <v>1.0120100000000001</v>
      </c>
      <c r="AJ378" s="168">
        <v>1.0120100000000001</v>
      </c>
      <c r="AK378" s="168">
        <v>1.0120100000000001</v>
      </c>
      <c r="AL378" s="168">
        <v>1.0120100000000001</v>
      </c>
      <c r="AM378" s="168">
        <v>1.0120100000000001</v>
      </c>
      <c r="AN378" s="168">
        <v>1.0120100000000001</v>
      </c>
      <c r="AO378" s="168">
        <v>1.0120100000000001</v>
      </c>
    </row>
    <row r="379" spans="1:41" x14ac:dyDescent="0.35">
      <c r="A379" s="146" t="str">
        <f t="shared" si="271"/>
        <v>WACC_1201</v>
      </c>
      <c r="B379" s="132" t="s">
        <v>28</v>
      </c>
      <c r="C379" s="135" t="s">
        <v>96</v>
      </c>
      <c r="D379" s="133" t="s">
        <v>81</v>
      </c>
      <c r="E379" s="60">
        <v>1.3957316376601017</v>
      </c>
      <c r="F379" s="168">
        <v>1.3812268815330802</v>
      </c>
      <c r="G379" s="168">
        <v>1.3812268815330802</v>
      </c>
      <c r="H379" s="168">
        <v>1.3812268815330802</v>
      </c>
      <c r="I379" s="168">
        <v>1.3812268815330802</v>
      </c>
      <c r="J379" s="168">
        <v>1.3812268815330802</v>
      </c>
      <c r="K379" s="168">
        <v>1.3812268815330802</v>
      </c>
      <c r="L379" s="168">
        <v>1.3812268815330802</v>
      </c>
      <c r="M379" s="168">
        <v>1.3812268815330802</v>
      </c>
      <c r="N379" s="168">
        <v>1.3812268815330802</v>
      </c>
      <c r="O379" s="168">
        <v>1.3812268815330802</v>
      </c>
      <c r="P379" s="168">
        <v>1.3812268815330802</v>
      </c>
      <c r="Q379" s="168">
        <v>1.3812268815330802</v>
      </c>
      <c r="R379" s="168">
        <v>1.3812268815330802</v>
      </c>
      <c r="S379" s="168">
        <v>1.3812268815330802</v>
      </c>
      <c r="T379" s="168">
        <v>1.3812268815330802</v>
      </c>
      <c r="U379" s="168">
        <v>1.3812268815330802</v>
      </c>
      <c r="V379" s="168">
        <v>1.3812268815330802</v>
      </c>
      <c r="W379" s="168">
        <v>1.3812268815330802</v>
      </c>
      <c r="X379" s="168">
        <v>1.3812268815330802</v>
      </c>
      <c r="Y379" s="168">
        <v>1.3812268815330802</v>
      </c>
      <c r="Z379" s="168">
        <v>1.3812268815330802</v>
      </c>
      <c r="AA379" s="168">
        <v>1.3812268815330802</v>
      </c>
      <c r="AB379" s="168">
        <v>1.3812268815330802</v>
      </c>
      <c r="AC379" s="168">
        <v>1.3812268815330802</v>
      </c>
      <c r="AD379" s="168">
        <v>1.3812268815330802</v>
      </c>
      <c r="AE379" s="168">
        <v>1.3812268815330802</v>
      </c>
      <c r="AF379" s="168">
        <v>1.3812268815330802</v>
      </c>
      <c r="AG379" s="168">
        <v>1.3812268815330802</v>
      </c>
      <c r="AH379" s="168">
        <v>1.3812268815330802</v>
      </c>
      <c r="AI379" s="168">
        <v>1.3812268815330802</v>
      </c>
      <c r="AJ379" s="168">
        <v>1.3812268815330802</v>
      </c>
      <c r="AK379" s="168">
        <v>1.3812268815330802</v>
      </c>
      <c r="AL379" s="168">
        <v>1.3812268815330802</v>
      </c>
      <c r="AM379" s="168">
        <v>1.3812268815330802</v>
      </c>
      <c r="AN379" s="168">
        <v>1.3812268815330802</v>
      </c>
      <c r="AO379" s="168">
        <v>1.3812268815330802</v>
      </c>
    </row>
    <row r="380" spans="1:41" x14ac:dyDescent="0.35">
      <c r="A380" s="147" t="s">
        <v>133</v>
      </c>
      <c r="B380" s="139" t="s">
        <v>15</v>
      </c>
      <c r="C380" s="140" t="s">
        <v>96</v>
      </c>
      <c r="D380" s="140" t="s">
        <v>81</v>
      </c>
      <c r="E380" s="61">
        <v>1.1271100000000001</v>
      </c>
      <c r="F380" s="169">
        <v>1.1233977160000002</v>
      </c>
      <c r="G380" s="169">
        <v>1.1233977160000002</v>
      </c>
      <c r="H380" s="169">
        <v>1.1233977160000002</v>
      </c>
      <c r="I380" s="169">
        <v>1.1233977160000002</v>
      </c>
      <c r="J380" s="169">
        <v>1.1233977160000002</v>
      </c>
      <c r="K380" s="169">
        <v>1.1233977160000002</v>
      </c>
      <c r="L380" s="169">
        <v>1.1233977160000002</v>
      </c>
      <c r="M380" s="169">
        <v>1.1233977160000002</v>
      </c>
      <c r="N380" s="169">
        <v>1.1233977160000002</v>
      </c>
      <c r="O380" s="169">
        <v>1.1233977160000002</v>
      </c>
      <c r="P380" s="169">
        <v>1.1233977160000002</v>
      </c>
      <c r="Q380" s="169">
        <v>1.1233977160000002</v>
      </c>
      <c r="R380" s="169">
        <v>1.1233977160000002</v>
      </c>
      <c r="S380" s="169">
        <v>1.1233977160000002</v>
      </c>
      <c r="T380" s="169">
        <v>1.1233977160000002</v>
      </c>
      <c r="U380" s="169">
        <v>1.1233977160000002</v>
      </c>
      <c r="V380" s="169">
        <v>1.1233977160000002</v>
      </c>
      <c r="W380" s="169">
        <v>1.1233977160000002</v>
      </c>
      <c r="X380" s="169">
        <v>1.1233977160000002</v>
      </c>
      <c r="Y380" s="169">
        <v>1.1233977160000002</v>
      </c>
      <c r="Z380" s="169">
        <v>1.1233977160000002</v>
      </c>
      <c r="AA380" s="169">
        <v>1.1233977160000002</v>
      </c>
      <c r="AB380" s="169">
        <v>1.1233977160000002</v>
      </c>
      <c r="AC380" s="169">
        <v>1.1233977160000002</v>
      </c>
      <c r="AD380" s="169">
        <v>1.1233977160000002</v>
      </c>
      <c r="AE380" s="169">
        <v>1.1233977160000002</v>
      </c>
      <c r="AF380" s="169">
        <v>1.1233977160000002</v>
      </c>
      <c r="AG380" s="169">
        <v>1.1233977160000002</v>
      </c>
      <c r="AH380" s="169">
        <v>1.1233977160000002</v>
      </c>
      <c r="AI380" s="169">
        <v>1.1233977160000002</v>
      </c>
      <c r="AJ380" s="169">
        <v>1.1233977160000002</v>
      </c>
      <c r="AK380" s="169">
        <v>1.1233977160000002</v>
      </c>
      <c r="AL380" s="169">
        <v>1.1233977160000002</v>
      </c>
      <c r="AM380" s="169">
        <v>1.1233977160000002</v>
      </c>
      <c r="AN380" s="169">
        <v>1.1233977160000002</v>
      </c>
      <c r="AO380" s="169">
        <v>1.1233977160000002</v>
      </c>
    </row>
    <row r="381" spans="1:41" x14ac:dyDescent="0.35">
      <c r="A381" s="147" t="str">
        <f t="shared" ref="A381:A398" si="272">A380</f>
        <v>WACC_0923</v>
      </c>
      <c r="B381" s="137" t="s">
        <v>25</v>
      </c>
      <c r="C381" s="140" t="s">
        <v>96</v>
      </c>
      <c r="D381" s="138" t="s">
        <v>81</v>
      </c>
      <c r="E381" s="62">
        <v>1.1645796468292708</v>
      </c>
      <c r="F381" s="169">
        <v>1.1232414244589264</v>
      </c>
      <c r="G381" s="169">
        <v>1.1232414244589264</v>
      </c>
      <c r="H381" s="169">
        <v>1.1232414244589264</v>
      </c>
      <c r="I381" s="169">
        <v>1.1232414244589264</v>
      </c>
      <c r="J381" s="169">
        <v>1.1232414244589264</v>
      </c>
      <c r="K381" s="169">
        <v>1.1232414244589264</v>
      </c>
      <c r="L381" s="169">
        <v>1.1232414244589264</v>
      </c>
      <c r="M381" s="169">
        <v>1.1232414244589264</v>
      </c>
      <c r="N381" s="169">
        <v>1.1232414244589264</v>
      </c>
      <c r="O381" s="169">
        <v>1.1232414244589264</v>
      </c>
      <c r="P381" s="169">
        <v>1.1232414244589264</v>
      </c>
      <c r="Q381" s="169">
        <v>1.1232414244589264</v>
      </c>
      <c r="R381" s="169">
        <v>1.1232414244589264</v>
      </c>
      <c r="S381" s="169">
        <v>1.1232414244589264</v>
      </c>
      <c r="T381" s="169">
        <v>1.1232414244589264</v>
      </c>
      <c r="U381" s="169">
        <v>1.1232414244589264</v>
      </c>
      <c r="V381" s="169">
        <v>1.1232414244589264</v>
      </c>
      <c r="W381" s="169">
        <v>1.1232414244589264</v>
      </c>
      <c r="X381" s="169">
        <v>1.1232414244589264</v>
      </c>
      <c r="Y381" s="169">
        <v>1.1232414244589264</v>
      </c>
      <c r="Z381" s="169">
        <v>1.1232414244589264</v>
      </c>
      <c r="AA381" s="169">
        <v>1.1232414244589264</v>
      </c>
      <c r="AB381" s="169">
        <v>1.1232414244589264</v>
      </c>
      <c r="AC381" s="169">
        <v>1.1232414244589264</v>
      </c>
      <c r="AD381" s="169">
        <v>1.1232414244589264</v>
      </c>
      <c r="AE381" s="169">
        <v>1.1232414244589264</v>
      </c>
      <c r="AF381" s="169">
        <v>1.1232414244589264</v>
      </c>
      <c r="AG381" s="169">
        <v>1.1232414244589264</v>
      </c>
      <c r="AH381" s="169">
        <v>1.1232414244589264</v>
      </c>
      <c r="AI381" s="169">
        <v>1.1232414244589264</v>
      </c>
      <c r="AJ381" s="169">
        <v>1.1232414244589264</v>
      </c>
      <c r="AK381" s="169">
        <v>1.1232414244589264</v>
      </c>
      <c r="AL381" s="169">
        <v>1.1232414244589264</v>
      </c>
      <c r="AM381" s="169">
        <v>1.1232414244589264</v>
      </c>
      <c r="AN381" s="169">
        <v>1.1232414244589264</v>
      </c>
      <c r="AO381" s="169">
        <v>1.1232414244589264</v>
      </c>
    </row>
    <row r="382" spans="1:41" x14ac:dyDescent="0.35">
      <c r="A382" s="147" t="str">
        <f t="shared" si="272"/>
        <v>WACC_0923</v>
      </c>
      <c r="B382" s="139" t="s">
        <v>26</v>
      </c>
      <c r="C382" s="140" t="s">
        <v>96</v>
      </c>
      <c r="D382" s="140" t="s">
        <v>81</v>
      </c>
      <c r="E382" s="61">
        <v>1.2892742974839062</v>
      </c>
      <c r="F382" s="169">
        <v>1.2800897879159365</v>
      </c>
      <c r="G382" s="169">
        <v>1.2800897879159365</v>
      </c>
      <c r="H382" s="169">
        <v>1.2800897879159365</v>
      </c>
      <c r="I382" s="169">
        <v>1.2800897879159365</v>
      </c>
      <c r="J382" s="169">
        <v>1.2800897879159365</v>
      </c>
      <c r="K382" s="169">
        <v>1.2800897879159365</v>
      </c>
      <c r="L382" s="169">
        <v>1.2800897879159365</v>
      </c>
      <c r="M382" s="169">
        <v>1.2800897879159365</v>
      </c>
      <c r="N382" s="169">
        <v>1.2800897879159365</v>
      </c>
      <c r="O382" s="169">
        <v>1.2800897879159365</v>
      </c>
      <c r="P382" s="169">
        <v>1.2800897879159365</v>
      </c>
      <c r="Q382" s="169">
        <v>1.2800897879159365</v>
      </c>
      <c r="R382" s="169">
        <v>1.2800897879159365</v>
      </c>
      <c r="S382" s="169">
        <v>1.2800897879159365</v>
      </c>
      <c r="T382" s="169">
        <v>1.2800897879159365</v>
      </c>
      <c r="U382" s="169">
        <v>1.2800897879159365</v>
      </c>
      <c r="V382" s="169">
        <v>1.2800897879159365</v>
      </c>
      <c r="W382" s="169">
        <v>1.2800897879159365</v>
      </c>
      <c r="X382" s="169">
        <v>1.2800897879159365</v>
      </c>
      <c r="Y382" s="169">
        <v>1.2800897879159365</v>
      </c>
      <c r="Z382" s="169">
        <v>1.2800897879159365</v>
      </c>
      <c r="AA382" s="169">
        <v>1.2800897879159365</v>
      </c>
      <c r="AB382" s="169">
        <v>1.2800897879159365</v>
      </c>
      <c r="AC382" s="169">
        <v>1.2800897879159365</v>
      </c>
      <c r="AD382" s="169">
        <v>1.2800897879159365</v>
      </c>
      <c r="AE382" s="169">
        <v>1.2800897879159365</v>
      </c>
      <c r="AF382" s="169">
        <v>1.2800897879159365</v>
      </c>
      <c r="AG382" s="169">
        <v>1.2800897879159365</v>
      </c>
      <c r="AH382" s="169">
        <v>1.2800897879159365</v>
      </c>
      <c r="AI382" s="169">
        <v>1.2800897879159365</v>
      </c>
      <c r="AJ382" s="169">
        <v>1.2800897879159365</v>
      </c>
      <c r="AK382" s="169">
        <v>1.2800897879159365</v>
      </c>
      <c r="AL382" s="169">
        <v>1.2800897879159365</v>
      </c>
      <c r="AM382" s="169">
        <v>1.2800897879159365</v>
      </c>
      <c r="AN382" s="169">
        <v>1.2800897879159365</v>
      </c>
      <c r="AO382" s="169">
        <v>1.2800897879159365</v>
      </c>
    </row>
    <row r="383" spans="1:41" x14ac:dyDescent="0.35">
      <c r="A383" s="147" t="str">
        <f t="shared" si="272"/>
        <v>WACC_0923</v>
      </c>
      <c r="B383" s="137" t="s">
        <v>23</v>
      </c>
      <c r="C383" s="140" t="s">
        <v>96</v>
      </c>
      <c r="D383" s="138" t="s">
        <v>81</v>
      </c>
      <c r="E383" s="62">
        <v>1.0855000000000001</v>
      </c>
      <c r="F383" s="169">
        <v>1.0830700000000002</v>
      </c>
      <c r="G383" s="169">
        <v>1.0830700000000002</v>
      </c>
      <c r="H383" s="169">
        <v>1.0830700000000002</v>
      </c>
      <c r="I383" s="169">
        <v>1.0830700000000002</v>
      </c>
      <c r="J383" s="169">
        <v>1.0830700000000002</v>
      </c>
      <c r="K383" s="169">
        <v>1.0830700000000002</v>
      </c>
      <c r="L383" s="169">
        <v>1.0830700000000002</v>
      </c>
      <c r="M383" s="169">
        <v>1.0830700000000002</v>
      </c>
      <c r="N383" s="169">
        <v>1.0830700000000002</v>
      </c>
      <c r="O383" s="169">
        <v>1.0830700000000002</v>
      </c>
      <c r="P383" s="169">
        <v>1.0830700000000002</v>
      </c>
      <c r="Q383" s="169">
        <v>1.0830700000000002</v>
      </c>
      <c r="R383" s="169">
        <v>1.0830700000000002</v>
      </c>
      <c r="S383" s="169">
        <v>1.0830700000000002</v>
      </c>
      <c r="T383" s="169">
        <v>1.0830700000000002</v>
      </c>
      <c r="U383" s="169">
        <v>1.0830700000000002</v>
      </c>
      <c r="V383" s="169">
        <v>1.0830700000000002</v>
      </c>
      <c r="W383" s="169">
        <v>1.0830700000000002</v>
      </c>
      <c r="X383" s="169">
        <v>1.0830700000000002</v>
      </c>
      <c r="Y383" s="169">
        <v>1.0830700000000002</v>
      </c>
      <c r="Z383" s="169">
        <v>1.0830700000000002</v>
      </c>
      <c r="AA383" s="169">
        <v>1.0830700000000002</v>
      </c>
      <c r="AB383" s="169">
        <v>1.0830700000000002</v>
      </c>
      <c r="AC383" s="169">
        <v>1.0830700000000002</v>
      </c>
      <c r="AD383" s="169">
        <v>1.0830700000000002</v>
      </c>
      <c r="AE383" s="169">
        <v>1.0830700000000002</v>
      </c>
      <c r="AF383" s="169">
        <v>1.0830700000000002</v>
      </c>
      <c r="AG383" s="169">
        <v>1.0830700000000002</v>
      </c>
      <c r="AH383" s="169">
        <v>1.0830700000000002</v>
      </c>
      <c r="AI383" s="169">
        <v>1.0830700000000002</v>
      </c>
      <c r="AJ383" s="169">
        <v>1.0830700000000002</v>
      </c>
      <c r="AK383" s="169">
        <v>1.0830700000000002</v>
      </c>
      <c r="AL383" s="169">
        <v>1.0830700000000002</v>
      </c>
      <c r="AM383" s="169">
        <v>1.0830700000000002</v>
      </c>
      <c r="AN383" s="169">
        <v>1.0830700000000002</v>
      </c>
      <c r="AO383" s="169">
        <v>1.0830700000000002</v>
      </c>
    </row>
    <row r="384" spans="1:41" x14ac:dyDescent="0.35">
      <c r="A384" s="147" t="str">
        <f t="shared" si="272"/>
        <v>WACC_0923</v>
      </c>
      <c r="B384" s="139" t="s">
        <v>24</v>
      </c>
      <c r="C384" s="140" t="s">
        <v>96</v>
      </c>
      <c r="D384" s="140" t="s">
        <v>81</v>
      </c>
      <c r="E384" s="61">
        <v>1.0855000000000001</v>
      </c>
      <c r="F384" s="169">
        <v>1.0830700000000002</v>
      </c>
      <c r="G384" s="169">
        <v>1.0830700000000002</v>
      </c>
      <c r="H384" s="169">
        <v>1.0830700000000002</v>
      </c>
      <c r="I384" s="169">
        <v>1.0830700000000002</v>
      </c>
      <c r="J384" s="169">
        <v>1.0830700000000002</v>
      </c>
      <c r="K384" s="169">
        <v>1.0830700000000002</v>
      </c>
      <c r="L384" s="169">
        <v>1.0830700000000002</v>
      </c>
      <c r="M384" s="169">
        <v>1.0830700000000002</v>
      </c>
      <c r="N384" s="169">
        <v>1.0830700000000002</v>
      </c>
      <c r="O384" s="169">
        <v>1.0830700000000002</v>
      </c>
      <c r="P384" s="169">
        <v>1.0830700000000002</v>
      </c>
      <c r="Q384" s="169">
        <v>1.0830700000000002</v>
      </c>
      <c r="R384" s="169">
        <v>1.0830700000000002</v>
      </c>
      <c r="S384" s="169">
        <v>1.0830700000000002</v>
      </c>
      <c r="T384" s="169">
        <v>1.0830700000000002</v>
      </c>
      <c r="U384" s="169">
        <v>1.0830700000000002</v>
      </c>
      <c r="V384" s="169">
        <v>1.0830700000000002</v>
      </c>
      <c r="W384" s="169">
        <v>1.0830700000000002</v>
      </c>
      <c r="X384" s="169">
        <v>1.0830700000000002</v>
      </c>
      <c r="Y384" s="169">
        <v>1.0830700000000002</v>
      </c>
      <c r="Z384" s="169">
        <v>1.0830700000000002</v>
      </c>
      <c r="AA384" s="169">
        <v>1.0830700000000002</v>
      </c>
      <c r="AB384" s="169">
        <v>1.0830700000000002</v>
      </c>
      <c r="AC384" s="169">
        <v>1.0830700000000002</v>
      </c>
      <c r="AD384" s="169">
        <v>1.0830700000000002</v>
      </c>
      <c r="AE384" s="169">
        <v>1.0830700000000002</v>
      </c>
      <c r="AF384" s="169">
        <v>1.0830700000000002</v>
      </c>
      <c r="AG384" s="169">
        <v>1.0830700000000002</v>
      </c>
      <c r="AH384" s="169">
        <v>1.0830700000000002</v>
      </c>
      <c r="AI384" s="169">
        <v>1.0830700000000002</v>
      </c>
      <c r="AJ384" s="169">
        <v>1.0830700000000002</v>
      </c>
      <c r="AK384" s="169">
        <v>1.0830700000000002</v>
      </c>
      <c r="AL384" s="169">
        <v>1.0830700000000002</v>
      </c>
      <c r="AM384" s="169">
        <v>1.0830700000000002</v>
      </c>
      <c r="AN384" s="169">
        <v>1.0830700000000002</v>
      </c>
      <c r="AO384" s="169">
        <v>1.0830700000000002</v>
      </c>
    </row>
    <row r="385" spans="1:41" x14ac:dyDescent="0.35">
      <c r="A385" s="147" t="str">
        <f t="shared" si="272"/>
        <v>WACC_0923</v>
      </c>
      <c r="B385" s="137" t="s">
        <v>17</v>
      </c>
      <c r="C385" s="140" t="s">
        <v>96</v>
      </c>
      <c r="D385" s="138" t="s">
        <v>81</v>
      </c>
      <c r="E385" s="61">
        <v>1.0855000000000001</v>
      </c>
      <c r="F385" s="169">
        <v>1.0830700000000002</v>
      </c>
      <c r="G385" s="169">
        <v>1.0830700000000002</v>
      </c>
      <c r="H385" s="169">
        <v>1.0830700000000002</v>
      </c>
      <c r="I385" s="169">
        <v>1.0830700000000002</v>
      </c>
      <c r="J385" s="169">
        <v>1.0830700000000002</v>
      </c>
      <c r="K385" s="169">
        <v>1.0830700000000002</v>
      </c>
      <c r="L385" s="169">
        <v>1.0830700000000002</v>
      </c>
      <c r="M385" s="169">
        <v>1.0830700000000002</v>
      </c>
      <c r="N385" s="169">
        <v>1.0830700000000002</v>
      </c>
      <c r="O385" s="169">
        <v>1.0830700000000002</v>
      </c>
      <c r="P385" s="169">
        <v>1.0830700000000002</v>
      </c>
      <c r="Q385" s="169">
        <v>1.0830700000000002</v>
      </c>
      <c r="R385" s="169">
        <v>1.0830700000000002</v>
      </c>
      <c r="S385" s="169">
        <v>1.0830700000000002</v>
      </c>
      <c r="T385" s="169">
        <v>1.0830700000000002</v>
      </c>
      <c r="U385" s="169">
        <v>1.0830700000000002</v>
      </c>
      <c r="V385" s="169">
        <v>1.0830700000000002</v>
      </c>
      <c r="W385" s="169">
        <v>1.0830700000000002</v>
      </c>
      <c r="X385" s="169">
        <v>1.0830700000000002</v>
      </c>
      <c r="Y385" s="169">
        <v>1.0830700000000002</v>
      </c>
      <c r="Z385" s="169">
        <v>1.0830700000000002</v>
      </c>
      <c r="AA385" s="169">
        <v>1.0830700000000002</v>
      </c>
      <c r="AB385" s="169">
        <v>1.0830700000000002</v>
      </c>
      <c r="AC385" s="169">
        <v>1.0830700000000002</v>
      </c>
      <c r="AD385" s="169">
        <v>1.0830700000000002</v>
      </c>
      <c r="AE385" s="169">
        <v>1.0830700000000002</v>
      </c>
      <c r="AF385" s="169">
        <v>1.0830700000000002</v>
      </c>
      <c r="AG385" s="169">
        <v>1.0830700000000002</v>
      </c>
      <c r="AH385" s="169">
        <v>1.0830700000000002</v>
      </c>
      <c r="AI385" s="169">
        <v>1.0830700000000002</v>
      </c>
      <c r="AJ385" s="169">
        <v>1.0830700000000002</v>
      </c>
      <c r="AK385" s="169">
        <v>1.0830700000000002</v>
      </c>
      <c r="AL385" s="169">
        <v>1.0830700000000002</v>
      </c>
      <c r="AM385" s="169">
        <v>1.0830700000000002</v>
      </c>
      <c r="AN385" s="169">
        <v>1.0830700000000002</v>
      </c>
      <c r="AO385" s="169">
        <v>1.0830700000000002</v>
      </c>
    </row>
    <row r="386" spans="1:41" x14ac:dyDescent="0.35">
      <c r="A386" s="147" t="str">
        <f t="shared" si="272"/>
        <v>WACC_0923</v>
      </c>
      <c r="B386" s="139" t="s">
        <v>18</v>
      </c>
      <c r="C386" s="140" t="s">
        <v>96</v>
      </c>
      <c r="D386" s="140" t="s">
        <v>81</v>
      </c>
      <c r="E386" s="61">
        <v>1.0855000000000001</v>
      </c>
      <c r="F386" s="169">
        <v>1.0830700000000002</v>
      </c>
      <c r="G386" s="169">
        <v>1.0830700000000002</v>
      </c>
      <c r="H386" s="169">
        <v>1.0830700000000002</v>
      </c>
      <c r="I386" s="169">
        <v>1.0830700000000002</v>
      </c>
      <c r="J386" s="169">
        <v>1.0830700000000002</v>
      </c>
      <c r="K386" s="169">
        <v>1.0830700000000002</v>
      </c>
      <c r="L386" s="169">
        <v>1.0830700000000002</v>
      </c>
      <c r="M386" s="169">
        <v>1.0830700000000002</v>
      </c>
      <c r="N386" s="169">
        <v>1.0830700000000002</v>
      </c>
      <c r="O386" s="169">
        <v>1.0830700000000002</v>
      </c>
      <c r="P386" s="169">
        <v>1.0830700000000002</v>
      </c>
      <c r="Q386" s="169">
        <v>1.0830700000000002</v>
      </c>
      <c r="R386" s="169">
        <v>1.0830700000000002</v>
      </c>
      <c r="S386" s="169">
        <v>1.0830700000000002</v>
      </c>
      <c r="T386" s="169">
        <v>1.0830700000000002</v>
      </c>
      <c r="U386" s="169">
        <v>1.0830700000000002</v>
      </c>
      <c r="V386" s="169">
        <v>1.0830700000000002</v>
      </c>
      <c r="W386" s="169">
        <v>1.0830700000000002</v>
      </c>
      <c r="X386" s="169">
        <v>1.0830700000000002</v>
      </c>
      <c r="Y386" s="169">
        <v>1.0830700000000002</v>
      </c>
      <c r="Z386" s="169">
        <v>1.0830700000000002</v>
      </c>
      <c r="AA386" s="169">
        <v>1.0830700000000002</v>
      </c>
      <c r="AB386" s="169">
        <v>1.0830700000000002</v>
      </c>
      <c r="AC386" s="169">
        <v>1.0830700000000002</v>
      </c>
      <c r="AD386" s="169">
        <v>1.0830700000000002</v>
      </c>
      <c r="AE386" s="169">
        <v>1.0830700000000002</v>
      </c>
      <c r="AF386" s="169">
        <v>1.0830700000000002</v>
      </c>
      <c r="AG386" s="169">
        <v>1.0830700000000002</v>
      </c>
      <c r="AH386" s="169">
        <v>1.0830700000000002</v>
      </c>
      <c r="AI386" s="169">
        <v>1.0830700000000002</v>
      </c>
      <c r="AJ386" s="169">
        <v>1.0830700000000002</v>
      </c>
      <c r="AK386" s="169">
        <v>1.0830700000000002</v>
      </c>
      <c r="AL386" s="169">
        <v>1.0830700000000002</v>
      </c>
      <c r="AM386" s="169">
        <v>1.0830700000000002</v>
      </c>
      <c r="AN386" s="169">
        <v>1.0830700000000002</v>
      </c>
      <c r="AO386" s="169">
        <v>1.0830700000000002</v>
      </c>
    </row>
    <row r="387" spans="1:41" x14ac:dyDescent="0.35">
      <c r="A387" s="147" t="str">
        <f t="shared" si="272"/>
        <v>WACC_0923</v>
      </c>
      <c r="B387" s="137" t="s">
        <v>19</v>
      </c>
      <c r="C387" s="140" t="s">
        <v>96</v>
      </c>
      <c r="D387" s="138" t="s">
        <v>81</v>
      </c>
      <c r="E387" s="61">
        <v>1.0855000000000001</v>
      </c>
      <c r="F387" s="169">
        <v>1.0830700000000002</v>
      </c>
      <c r="G387" s="169">
        <v>1.0830700000000002</v>
      </c>
      <c r="H387" s="169">
        <v>1.0830700000000002</v>
      </c>
      <c r="I387" s="169">
        <v>1.0830700000000002</v>
      </c>
      <c r="J387" s="169">
        <v>1.0830700000000002</v>
      </c>
      <c r="K387" s="169">
        <v>1.0830700000000002</v>
      </c>
      <c r="L387" s="169">
        <v>1.0830700000000002</v>
      </c>
      <c r="M387" s="169">
        <v>1.0830700000000002</v>
      </c>
      <c r="N387" s="169">
        <v>1.0830700000000002</v>
      </c>
      <c r="O387" s="169">
        <v>1.0830700000000002</v>
      </c>
      <c r="P387" s="169">
        <v>1.0830700000000002</v>
      </c>
      <c r="Q387" s="169">
        <v>1.0830700000000002</v>
      </c>
      <c r="R387" s="169">
        <v>1.0830700000000002</v>
      </c>
      <c r="S387" s="169">
        <v>1.0830700000000002</v>
      </c>
      <c r="T387" s="169">
        <v>1.0830700000000002</v>
      </c>
      <c r="U387" s="169">
        <v>1.0830700000000002</v>
      </c>
      <c r="V387" s="169">
        <v>1.0830700000000002</v>
      </c>
      <c r="W387" s="169">
        <v>1.0830700000000002</v>
      </c>
      <c r="X387" s="169">
        <v>1.0830700000000002</v>
      </c>
      <c r="Y387" s="169">
        <v>1.0830700000000002</v>
      </c>
      <c r="Z387" s="169">
        <v>1.0830700000000002</v>
      </c>
      <c r="AA387" s="169">
        <v>1.0830700000000002</v>
      </c>
      <c r="AB387" s="169">
        <v>1.0830700000000002</v>
      </c>
      <c r="AC387" s="169">
        <v>1.0830700000000002</v>
      </c>
      <c r="AD387" s="169">
        <v>1.0830700000000002</v>
      </c>
      <c r="AE387" s="169">
        <v>1.0830700000000002</v>
      </c>
      <c r="AF387" s="169">
        <v>1.0830700000000002</v>
      </c>
      <c r="AG387" s="169">
        <v>1.0830700000000002</v>
      </c>
      <c r="AH387" s="169">
        <v>1.0830700000000002</v>
      </c>
      <c r="AI387" s="169">
        <v>1.0830700000000002</v>
      </c>
      <c r="AJ387" s="169">
        <v>1.0830700000000002</v>
      </c>
      <c r="AK387" s="169">
        <v>1.0830700000000002</v>
      </c>
      <c r="AL387" s="169">
        <v>1.0830700000000002</v>
      </c>
      <c r="AM387" s="169">
        <v>1.0830700000000002</v>
      </c>
      <c r="AN387" s="169">
        <v>1.0830700000000002</v>
      </c>
      <c r="AO387" s="169">
        <v>1.0830700000000002</v>
      </c>
    </row>
    <row r="388" spans="1:41" x14ac:dyDescent="0.35">
      <c r="A388" s="147" t="str">
        <f t="shared" si="272"/>
        <v>WACC_0923</v>
      </c>
      <c r="B388" s="139" t="s">
        <v>20</v>
      </c>
      <c r="C388" s="140" t="s">
        <v>96</v>
      </c>
      <c r="D388" s="140" t="s">
        <v>81</v>
      </c>
      <c r="E388" s="61">
        <v>1.0855000000000001</v>
      </c>
      <c r="F388" s="169">
        <v>1.0830700000000002</v>
      </c>
      <c r="G388" s="169">
        <v>1.0830700000000002</v>
      </c>
      <c r="H388" s="169">
        <v>1.0830700000000002</v>
      </c>
      <c r="I388" s="169">
        <v>1.0830700000000002</v>
      </c>
      <c r="J388" s="169">
        <v>1.0830700000000002</v>
      </c>
      <c r="K388" s="169">
        <v>1.0830700000000002</v>
      </c>
      <c r="L388" s="169">
        <v>1.0830700000000002</v>
      </c>
      <c r="M388" s="169">
        <v>1.0830700000000002</v>
      </c>
      <c r="N388" s="169">
        <v>1.0830700000000002</v>
      </c>
      <c r="O388" s="169">
        <v>1.0830700000000002</v>
      </c>
      <c r="P388" s="169">
        <v>1.0830700000000002</v>
      </c>
      <c r="Q388" s="169">
        <v>1.0830700000000002</v>
      </c>
      <c r="R388" s="169">
        <v>1.0830700000000002</v>
      </c>
      <c r="S388" s="169">
        <v>1.0830700000000002</v>
      </c>
      <c r="T388" s="169">
        <v>1.0830700000000002</v>
      </c>
      <c r="U388" s="169">
        <v>1.0830700000000002</v>
      </c>
      <c r="V388" s="169">
        <v>1.0830700000000002</v>
      </c>
      <c r="W388" s="169">
        <v>1.0830700000000002</v>
      </c>
      <c r="X388" s="169">
        <v>1.0830700000000002</v>
      </c>
      <c r="Y388" s="169">
        <v>1.0830700000000002</v>
      </c>
      <c r="Z388" s="169">
        <v>1.0830700000000002</v>
      </c>
      <c r="AA388" s="169">
        <v>1.0830700000000002</v>
      </c>
      <c r="AB388" s="169">
        <v>1.0830700000000002</v>
      </c>
      <c r="AC388" s="169">
        <v>1.0830700000000002</v>
      </c>
      <c r="AD388" s="169">
        <v>1.0830700000000002</v>
      </c>
      <c r="AE388" s="169">
        <v>1.0830700000000002</v>
      </c>
      <c r="AF388" s="169">
        <v>1.0830700000000002</v>
      </c>
      <c r="AG388" s="169">
        <v>1.0830700000000002</v>
      </c>
      <c r="AH388" s="169">
        <v>1.0830700000000002</v>
      </c>
      <c r="AI388" s="169">
        <v>1.0830700000000002</v>
      </c>
      <c r="AJ388" s="169">
        <v>1.0830700000000002</v>
      </c>
      <c r="AK388" s="169">
        <v>1.0830700000000002</v>
      </c>
      <c r="AL388" s="169">
        <v>1.0830700000000002</v>
      </c>
      <c r="AM388" s="169">
        <v>1.0830700000000002</v>
      </c>
      <c r="AN388" s="169">
        <v>1.0830700000000002</v>
      </c>
      <c r="AO388" s="169">
        <v>1.0830700000000002</v>
      </c>
    </row>
    <row r="389" spans="1:41" x14ac:dyDescent="0.35">
      <c r="A389" s="147" t="str">
        <f t="shared" si="272"/>
        <v>WACC_0923</v>
      </c>
      <c r="B389" s="137" t="s">
        <v>21</v>
      </c>
      <c r="C389" s="140" t="s">
        <v>96</v>
      </c>
      <c r="D389" s="138" t="s">
        <v>81</v>
      </c>
      <c r="E389" s="61">
        <v>1.0855000000000001</v>
      </c>
      <c r="F389" s="169">
        <v>1.0830700000000002</v>
      </c>
      <c r="G389" s="169">
        <v>1.0830700000000002</v>
      </c>
      <c r="H389" s="169">
        <v>1.0830700000000002</v>
      </c>
      <c r="I389" s="169">
        <v>1.0830700000000002</v>
      </c>
      <c r="J389" s="169">
        <v>1.0830700000000002</v>
      </c>
      <c r="K389" s="169">
        <v>1.0830700000000002</v>
      </c>
      <c r="L389" s="169">
        <v>1.0830700000000002</v>
      </c>
      <c r="M389" s="169">
        <v>1.0830700000000002</v>
      </c>
      <c r="N389" s="169">
        <v>1.0830700000000002</v>
      </c>
      <c r="O389" s="169">
        <v>1.0830700000000002</v>
      </c>
      <c r="P389" s="169">
        <v>1.0830700000000002</v>
      </c>
      <c r="Q389" s="169">
        <v>1.0830700000000002</v>
      </c>
      <c r="R389" s="169">
        <v>1.0830700000000002</v>
      </c>
      <c r="S389" s="169">
        <v>1.0830700000000002</v>
      </c>
      <c r="T389" s="169">
        <v>1.0830700000000002</v>
      </c>
      <c r="U389" s="169">
        <v>1.0830700000000002</v>
      </c>
      <c r="V389" s="169">
        <v>1.0830700000000002</v>
      </c>
      <c r="W389" s="169">
        <v>1.0830700000000002</v>
      </c>
      <c r="X389" s="169">
        <v>1.0830700000000002</v>
      </c>
      <c r="Y389" s="169">
        <v>1.0830700000000002</v>
      </c>
      <c r="Z389" s="169">
        <v>1.0830700000000002</v>
      </c>
      <c r="AA389" s="169">
        <v>1.0830700000000002</v>
      </c>
      <c r="AB389" s="169">
        <v>1.0830700000000002</v>
      </c>
      <c r="AC389" s="169">
        <v>1.0830700000000002</v>
      </c>
      <c r="AD389" s="169">
        <v>1.0830700000000002</v>
      </c>
      <c r="AE389" s="169">
        <v>1.0830700000000002</v>
      </c>
      <c r="AF389" s="169">
        <v>1.0830700000000002</v>
      </c>
      <c r="AG389" s="169">
        <v>1.0830700000000002</v>
      </c>
      <c r="AH389" s="169">
        <v>1.0830700000000002</v>
      </c>
      <c r="AI389" s="169">
        <v>1.0830700000000002</v>
      </c>
      <c r="AJ389" s="169">
        <v>1.0830700000000002</v>
      </c>
      <c r="AK389" s="169">
        <v>1.0830700000000002</v>
      </c>
      <c r="AL389" s="169">
        <v>1.0830700000000002</v>
      </c>
      <c r="AM389" s="169">
        <v>1.0830700000000002</v>
      </c>
      <c r="AN389" s="169">
        <v>1.0830700000000002</v>
      </c>
      <c r="AO389" s="169">
        <v>1.0830700000000002</v>
      </c>
    </row>
    <row r="390" spans="1:41" x14ac:dyDescent="0.35">
      <c r="A390" s="147" t="str">
        <f t="shared" si="272"/>
        <v>WACC_0923</v>
      </c>
      <c r="B390" s="139" t="s">
        <v>22</v>
      </c>
      <c r="C390" s="140" t="s">
        <v>96</v>
      </c>
      <c r="D390" s="140" t="s">
        <v>81</v>
      </c>
      <c r="E390" s="61">
        <v>1.0855000000000001</v>
      </c>
      <c r="F390" s="169">
        <v>1.0830700000000002</v>
      </c>
      <c r="G390" s="169">
        <v>1.0830700000000002</v>
      </c>
      <c r="H390" s="169">
        <v>1.0830700000000002</v>
      </c>
      <c r="I390" s="169">
        <v>1.0830700000000002</v>
      </c>
      <c r="J390" s="169">
        <v>1.0830700000000002</v>
      </c>
      <c r="K390" s="169">
        <v>1.0830700000000002</v>
      </c>
      <c r="L390" s="169">
        <v>1.0830700000000002</v>
      </c>
      <c r="M390" s="169">
        <v>1.0830700000000002</v>
      </c>
      <c r="N390" s="169">
        <v>1.0830700000000002</v>
      </c>
      <c r="O390" s="169">
        <v>1.0830700000000002</v>
      </c>
      <c r="P390" s="169">
        <v>1.0830700000000002</v>
      </c>
      <c r="Q390" s="169">
        <v>1.0830700000000002</v>
      </c>
      <c r="R390" s="169">
        <v>1.0830700000000002</v>
      </c>
      <c r="S390" s="169">
        <v>1.0830700000000002</v>
      </c>
      <c r="T390" s="169">
        <v>1.0830700000000002</v>
      </c>
      <c r="U390" s="169">
        <v>1.0830700000000002</v>
      </c>
      <c r="V390" s="169">
        <v>1.0830700000000002</v>
      </c>
      <c r="W390" s="169">
        <v>1.0830700000000002</v>
      </c>
      <c r="X390" s="169">
        <v>1.0830700000000002</v>
      </c>
      <c r="Y390" s="169">
        <v>1.0830700000000002</v>
      </c>
      <c r="Z390" s="169">
        <v>1.0830700000000002</v>
      </c>
      <c r="AA390" s="169">
        <v>1.0830700000000002</v>
      </c>
      <c r="AB390" s="169">
        <v>1.0830700000000002</v>
      </c>
      <c r="AC390" s="169">
        <v>1.0830700000000002</v>
      </c>
      <c r="AD390" s="169">
        <v>1.0830700000000002</v>
      </c>
      <c r="AE390" s="169">
        <v>1.0830700000000002</v>
      </c>
      <c r="AF390" s="169">
        <v>1.0830700000000002</v>
      </c>
      <c r="AG390" s="169">
        <v>1.0830700000000002</v>
      </c>
      <c r="AH390" s="169">
        <v>1.0830700000000002</v>
      </c>
      <c r="AI390" s="169">
        <v>1.0830700000000002</v>
      </c>
      <c r="AJ390" s="169">
        <v>1.0830700000000002</v>
      </c>
      <c r="AK390" s="169">
        <v>1.0830700000000002</v>
      </c>
      <c r="AL390" s="169">
        <v>1.0830700000000002</v>
      </c>
      <c r="AM390" s="169">
        <v>1.0830700000000002</v>
      </c>
      <c r="AN390" s="169">
        <v>1.0830700000000002</v>
      </c>
      <c r="AO390" s="169">
        <v>1.0830700000000002</v>
      </c>
    </row>
    <row r="391" spans="1:41" x14ac:dyDescent="0.35">
      <c r="A391" s="147" t="str">
        <f t="shared" si="272"/>
        <v>WACC_0923</v>
      </c>
      <c r="B391" s="139" t="s">
        <v>117</v>
      </c>
      <c r="C391" s="140" t="s">
        <v>96</v>
      </c>
      <c r="D391" s="140" t="s">
        <v>81</v>
      </c>
      <c r="E391" s="61">
        <v>1.0855000000000001</v>
      </c>
      <c r="F391" s="169">
        <v>1.0830700000000002</v>
      </c>
      <c r="G391" s="169">
        <v>1.0830700000000002</v>
      </c>
      <c r="H391" s="169">
        <v>1.0830700000000002</v>
      </c>
      <c r="I391" s="169">
        <v>1.0830700000000002</v>
      </c>
      <c r="J391" s="169">
        <v>1.0830700000000002</v>
      </c>
      <c r="K391" s="169">
        <v>1.0830700000000002</v>
      </c>
      <c r="L391" s="169">
        <v>1.0830700000000002</v>
      </c>
      <c r="M391" s="169">
        <v>1.0830700000000002</v>
      </c>
      <c r="N391" s="169">
        <v>1.0830700000000002</v>
      </c>
      <c r="O391" s="169">
        <v>1.0830700000000002</v>
      </c>
      <c r="P391" s="169">
        <v>1.0830700000000002</v>
      </c>
      <c r="Q391" s="169">
        <v>1.0830700000000002</v>
      </c>
      <c r="R391" s="169">
        <v>1.0830700000000002</v>
      </c>
      <c r="S391" s="169">
        <v>1.0830700000000002</v>
      </c>
      <c r="T391" s="169">
        <v>1.0830700000000002</v>
      </c>
      <c r="U391" s="169">
        <v>1.0830700000000002</v>
      </c>
      <c r="V391" s="169">
        <v>1.0830700000000002</v>
      </c>
      <c r="W391" s="169">
        <v>1.0830700000000002</v>
      </c>
      <c r="X391" s="169">
        <v>1.0830700000000002</v>
      </c>
      <c r="Y391" s="169">
        <v>1.0830700000000002</v>
      </c>
      <c r="Z391" s="169">
        <v>1.0830700000000002</v>
      </c>
      <c r="AA391" s="169">
        <v>1.0830700000000002</v>
      </c>
      <c r="AB391" s="169">
        <v>1.0830700000000002</v>
      </c>
      <c r="AC391" s="169">
        <v>1.0830700000000002</v>
      </c>
      <c r="AD391" s="169">
        <v>1.0830700000000002</v>
      </c>
      <c r="AE391" s="169">
        <v>1.0830700000000002</v>
      </c>
      <c r="AF391" s="169">
        <v>1.0830700000000002</v>
      </c>
      <c r="AG391" s="169">
        <v>1.0830700000000002</v>
      </c>
      <c r="AH391" s="169">
        <v>1.0830700000000002</v>
      </c>
      <c r="AI391" s="169">
        <v>1.0830700000000002</v>
      </c>
      <c r="AJ391" s="169">
        <v>1.0830700000000002</v>
      </c>
      <c r="AK391" s="169">
        <v>1.0830700000000002</v>
      </c>
      <c r="AL391" s="169">
        <v>1.0830700000000002</v>
      </c>
      <c r="AM391" s="169">
        <v>1.0830700000000002</v>
      </c>
      <c r="AN391" s="169">
        <v>1.0830700000000002</v>
      </c>
      <c r="AO391" s="169">
        <v>1.0830700000000002</v>
      </c>
    </row>
    <row r="392" spans="1:41" x14ac:dyDescent="0.35">
      <c r="A392" s="147" t="str">
        <f>A390</f>
        <v>WACC_0923</v>
      </c>
      <c r="B392" s="137" t="s">
        <v>12</v>
      </c>
      <c r="C392" s="140" t="s">
        <v>96</v>
      </c>
      <c r="D392" s="138" t="s">
        <v>81</v>
      </c>
      <c r="E392" s="62">
        <v>1.0350978687500001</v>
      </c>
      <c r="F392" s="169">
        <v>1.0340481745233501</v>
      </c>
      <c r="G392" s="169">
        <v>1.0340481745233501</v>
      </c>
      <c r="H392" s="169">
        <v>1.0340481745233501</v>
      </c>
      <c r="I392" s="169">
        <v>1.0340481745233501</v>
      </c>
      <c r="J392" s="169">
        <v>1.0340481745233501</v>
      </c>
      <c r="K392" s="169">
        <v>1.0340481745233501</v>
      </c>
      <c r="L392" s="169">
        <v>1.0340481745233501</v>
      </c>
      <c r="M392" s="169">
        <v>1.0340481745233501</v>
      </c>
      <c r="N392" s="169">
        <v>1.0340481745233501</v>
      </c>
      <c r="O392" s="169">
        <v>1.0340481745233501</v>
      </c>
      <c r="P392" s="169">
        <v>1.0340481745233501</v>
      </c>
      <c r="Q392" s="169">
        <v>1.0340481745233501</v>
      </c>
      <c r="R392" s="169">
        <v>1.0340481745233501</v>
      </c>
      <c r="S392" s="169">
        <v>1.0340481745233501</v>
      </c>
      <c r="T392" s="169">
        <v>1.0340481745233501</v>
      </c>
      <c r="U392" s="169">
        <v>1.0340481745233501</v>
      </c>
      <c r="V392" s="169">
        <v>1.0340481745233501</v>
      </c>
      <c r="W392" s="169">
        <v>1.0340481745233501</v>
      </c>
      <c r="X392" s="169">
        <v>1.0340481745233501</v>
      </c>
      <c r="Y392" s="169">
        <v>1.0340481745233501</v>
      </c>
      <c r="Z392" s="169">
        <v>1.0340481745233501</v>
      </c>
      <c r="AA392" s="169">
        <v>1.0340481745233501</v>
      </c>
      <c r="AB392" s="169">
        <v>1.0340481745233501</v>
      </c>
      <c r="AC392" s="169">
        <v>1.0340481745233501</v>
      </c>
      <c r="AD392" s="169">
        <v>1.0340481745233501</v>
      </c>
      <c r="AE392" s="169">
        <v>1.0340481745233501</v>
      </c>
      <c r="AF392" s="169">
        <v>1.0340481745233501</v>
      </c>
      <c r="AG392" s="169">
        <v>1.0340481745233501</v>
      </c>
      <c r="AH392" s="169">
        <v>1.0340481745233501</v>
      </c>
      <c r="AI392" s="169">
        <v>1.0340481745233501</v>
      </c>
      <c r="AJ392" s="169">
        <v>1.0340481745233501</v>
      </c>
      <c r="AK392" s="169">
        <v>1.0340481745233501</v>
      </c>
      <c r="AL392" s="169">
        <v>1.0340481745233501</v>
      </c>
      <c r="AM392" s="169">
        <v>1.0340481745233501</v>
      </c>
      <c r="AN392" s="169">
        <v>1.0340481745233501</v>
      </c>
      <c r="AO392" s="169">
        <v>1.0340481745233501</v>
      </c>
    </row>
    <row r="393" spans="1:41" x14ac:dyDescent="0.35">
      <c r="A393" s="147" t="str">
        <f t="shared" si="272"/>
        <v>WACC_0923</v>
      </c>
      <c r="B393" s="139" t="s">
        <v>13</v>
      </c>
      <c r="C393" s="140" t="s">
        <v>96</v>
      </c>
      <c r="D393" s="140" t="s">
        <v>81</v>
      </c>
      <c r="E393" s="61">
        <v>1.0350978687500001</v>
      </c>
      <c r="F393" s="169">
        <v>1.0340481745233501</v>
      </c>
      <c r="G393" s="169">
        <v>1.0340481745233501</v>
      </c>
      <c r="H393" s="169">
        <v>1.0340481745233501</v>
      </c>
      <c r="I393" s="169">
        <v>1.0340481745233501</v>
      </c>
      <c r="J393" s="169">
        <v>1.0340481745233501</v>
      </c>
      <c r="K393" s="169">
        <v>1.0340481745233501</v>
      </c>
      <c r="L393" s="169">
        <v>1.0340481745233501</v>
      </c>
      <c r="M393" s="169">
        <v>1.0340481745233501</v>
      </c>
      <c r="N393" s="169">
        <v>1.0340481745233501</v>
      </c>
      <c r="O393" s="169">
        <v>1.0340481745233501</v>
      </c>
      <c r="P393" s="169">
        <v>1.0340481745233501</v>
      </c>
      <c r="Q393" s="169">
        <v>1.0340481745233501</v>
      </c>
      <c r="R393" s="169">
        <v>1.0340481745233501</v>
      </c>
      <c r="S393" s="169">
        <v>1.0340481745233501</v>
      </c>
      <c r="T393" s="169">
        <v>1.0340481745233501</v>
      </c>
      <c r="U393" s="169">
        <v>1.0340481745233501</v>
      </c>
      <c r="V393" s="169">
        <v>1.0340481745233501</v>
      </c>
      <c r="W393" s="169">
        <v>1.0340481745233501</v>
      </c>
      <c r="X393" s="169">
        <v>1.0340481745233501</v>
      </c>
      <c r="Y393" s="169">
        <v>1.0340481745233501</v>
      </c>
      <c r="Z393" s="169">
        <v>1.0340481745233501</v>
      </c>
      <c r="AA393" s="169">
        <v>1.0340481745233501</v>
      </c>
      <c r="AB393" s="169">
        <v>1.0340481745233501</v>
      </c>
      <c r="AC393" s="169">
        <v>1.0340481745233501</v>
      </c>
      <c r="AD393" s="169">
        <v>1.0340481745233501</v>
      </c>
      <c r="AE393" s="169">
        <v>1.0340481745233501</v>
      </c>
      <c r="AF393" s="169">
        <v>1.0340481745233501</v>
      </c>
      <c r="AG393" s="169">
        <v>1.0340481745233501</v>
      </c>
      <c r="AH393" s="169">
        <v>1.0340481745233501</v>
      </c>
      <c r="AI393" s="169">
        <v>1.0340481745233501</v>
      </c>
      <c r="AJ393" s="169">
        <v>1.0340481745233501</v>
      </c>
      <c r="AK393" s="169">
        <v>1.0340481745233501</v>
      </c>
      <c r="AL393" s="169">
        <v>1.0340481745233501</v>
      </c>
      <c r="AM393" s="169">
        <v>1.0340481745233501</v>
      </c>
      <c r="AN393" s="169">
        <v>1.0340481745233501</v>
      </c>
      <c r="AO393" s="169">
        <v>1.0340481745233501</v>
      </c>
    </row>
    <row r="394" spans="1:41" x14ac:dyDescent="0.35">
      <c r="A394" s="147" t="str">
        <f t="shared" si="272"/>
        <v>WACC_0923</v>
      </c>
      <c r="B394" s="137" t="s">
        <v>14</v>
      </c>
      <c r="C394" s="140" t="s">
        <v>96</v>
      </c>
      <c r="D394" s="138" t="s">
        <v>81</v>
      </c>
      <c r="E394" s="62">
        <v>1.0350978687500001</v>
      </c>
      <c r="F394" s="169">
        <v>1.0340481745233501</v>
      </c>
      <c r="G394" s="169">
        <v>1.0340481745233501</v>
      </c>
      <c r="H394" s="169">
        <v>1.0340481745233501</v>
      </c>
      <c r="I394" s="169">
        <v>1.0340481745233501</v>
      </c>
      <c r="J394" s="169">
        <v>1.0340481745233501</v>
      </c>
      <c r="K394" s="169">
        <v>1.0340481745233501</v>
      </c>
      <c r="L394" s="169">
        <v>1.0340481745233501</v>
      </c>
      <c r="M394" s="169">
        <v>1.0340481745233501</v>
      </c>
      <c r="N394" s="169">
        <v>1.0340481745233501</v>
      </c>
      <c r="O394" s="169">
        <v>1.0340481745233501</v>
      </c>
      <c r="P394" s="169">
        <v>1.0340481745233501</v>
      </c>
      <c r="Q394" s="169">
        <v>1.0340481745233501</v>
      </c>
      <c r="R394" s="169">
        <v>1.0340481745233501</v>
      </c>
      <c r="S394" s="169">
        <v>1.0340481745233501</v>
      </c>
      <c r="T394" s="169">
        <v>1.0340481745233501</v>
      </c>
      <c r="U394" s="169">
        <v>1.0340481745233501</v>
      </c>
      <c r="V394" s="169">
        <v>1.0340481745233501</v>
      </c>
      <c r="W394" s="169">
        <v>1.0340481745233501</v>
      </c>
      <c r="X394" s="169">
        <v>1.0340481745233501</v>
      </c>
      <c r="Y394" s="169">
        <v>1.0340481745233501</v>
      </c>
      <c r="Z394" s="169">
        <v>1.0340481745233501</v>
      </c>
      <c r="AA394" s="169">
        <v>1.0340481745233501</v>
      </c>
      <c r="AB394" s="169">
        <v>1.0340481745233501</v>
      </c>
      <c r="AC394" s="169">
        <v>1.0340481745233501</v>
      </c>
      <c r="AD394" s="169">
        <v>1.0340481745233501</v>
      </c>
      <c r="AE394" s="169">
        <v>1.0340481745233501</v>
      </c>
      <c r="AF394" s="169">
        <v>1.0340481745233501</v>
      </c>
      <c r="AG394" s="169">
        <v>1.0340481745233501</v>
      </c>
      <c r="AH394" s="169">
        <v>1.0340481745233501</v>
      </c>
      <c r="AI394" s="169">
        <v>1.0340481745233501</v>
      </c>
      <c r="AJ394" s="169">
        <v>1.0340481745233501</v>
      </c>
      <c r="AK394" s="169">
        <v>1.0340481745233501</v>
      </c>
      <c r="AL394" s="169">
        <v>1.0340481745233501</v>
      </c>
      <c r="AM394" s="169">
        <v>1.0340481745233501</v>
      </c>
      <c r="AN394" s="169">
        <v>1.0340481745233501</v>
      </c>
      <c r="AO394" s="169">
        <v>1.0340481745233501</v>
      </c>
    </row>
    <row r="395" spans="1:41" x14ac:dyDescent="0.35">
      <c r="A395" s="147" t="str">
        <f t="shared" si="272"/>
        <v>WACC_0923</v>
      </c>
      <c r="B395" s="139" t="s">
        <v>10</v>
      </c>
      <c r="C395" s="140" t="s">
        <v>96</v>
      </c>
      <c r="D395" s="140" t="s">
        <v>81</v>
      </c>
      <c r="E395" s="61">
        <v>1.0095000000000001</v>
      </c>
      <c r="F395" s="169">
        <v>1.0092300000000001</v>
      </c>
      <c r="G395" s="169">
        <v>1.0092300000000001</v>
      </c>
      <c r="H395" s="169">
        <v>1.0092300000000001</v>
      </c>
      <c r="I395" s="169">
        <v>1.0092300000000001</v>
      </c>
      <c r="J395" s="169">
        <v>1.0092300000000001</v>
      </c>
      <c r="K395" s="169">
        <v>1.0092300000000001</v>
      </c>
      <c r="L395" s="169">
        <v>1.0092300000000001</v>
      </c>
      <c r="M395" s="169">
        <v>1.0092300000000001</v>
      </c>
      <c r="N395" s="169">
        <v>1.0092300000000001</v>
      </c>
      <c r="O395" s="169">
        <v>1.0092300000000001</v>
      </c>
      <c r="P395" s="169">
        <v>1.0092300000000001</v>
      </c>
      <c r="Q395" s="169">
        <v>1.0092300000000001</v>
      </c>
      <c r="R395" s="169">
        <v>1.0092300000000001</v>
      </c>
      <c r="S395" s="169">
        <v>1.0092300000000001</v>
      </c>
      <c r="T395" s="169">
        <v>1.0092300000000001</v>
      </c>
      <c r="U395" s="169">
        <v>1.0092300000000001</v>
      </c>
      <c r="V395" s="169">
        <v>1.0092300000000001</v>
      </c>
      <c r="W395" s="169">
        <v>1.0092300000000001</v>
      </c>
      <c r="X395" s="169">
        <v>1.0092300000000001</v>
      </c>
      <c r="Y395" s="169">
        <v>1.0092300000000001</v>
      </c>
      <c r="Z395" s="169">
        <v>1.0092300000000001</v>
      </c>
      <c r="AA395" s="169">
        <v>1.0092300000000001</v>
      </c>
      <c r="AB395" s="169">
        <v>1.0092300000000001</v>
      </c>
      <c r="AC395" s="169">
        <v>1.0092300000000001</v>
      </c>
      <c r="AD395" s="169">
        <v>1.0092300000000001</v>
      </c>
      <c r="AE395" s="169">
        <v>1.0092300000000001</v>
      </c>
      <c r="AF395" s="169">
        <v>1.0092300000000001</v>
      </c>
      <c r="AG395" s="169">
        <v>1.0092300000000001</v>
      </c>
      <c r="AH395" s="169">
        <v>1.0092300000000001</v>
      </c>
      <c r="AI395" s="169">
        <v>1.0092300000000001</v>
      </c>
      <c r="AJ395" s="169">
        <v>1.0092300000000001</v>
      </c>
      <c r="AK395" s="169">
        <v>1.0092300000000001</v>
      </c>
      <c r="AL395" s="169">
        <v>1.0092300000000001</v>
      </c>
      <c r="AM395" s="169">
        <v>1.0092300000000001</v>
      </c>
      <c r="AN395" s="169">
        <v>1.0092300000000001</v>
      </c>
      <c r="AO395" s="169">
        <v>1.0092300000000001</v>
      </c>
    </row>
    <row r="396" spans="1:41" x14ac:dyDescent="0.35">
      <c r="A396" s="147" t="str">
        <f t="shared" si="272"/>
        <v>WACC_0923</v>
      </c>
      <c r="B396" s="137" t="s">
        <v>11</v>
      </c>
      <c r="C396" s="140" t="s">
        <v>96</v>
      </c>
      <c r="D396" s="138" t="s">
        <v>81</v>
      </c>
      <c r="E396" s="62">
        <v>1.0095000000000001</v>
      </c>
      <c r="F396" s="169">
        <v>1.0092300000000001</v>
      </c>
      <c r="G396" s="169">
        <v>1.0092300000000001</v>
      </c>
      <c r="H396" s="169">
        <v>1.0092300000000001</v>
      </c>
      <c r="I396" s="169">
        <v>1.0092300000000001</v>
      </c>
      <c r="J396" s="169">
        <v>1.0092300000000001</v>
      </c>
      <c r="K396" s="169">
        <v>1.0092300000000001</v>
      </c>
      <c r="L396" s="169">
        <v>1.0092300000000001</v>
      </c>
      <c r="M396" s="169">
        <v>1.0092300000000001</v>
      </c>
      <c r="N396" s="169">
        <v>1.0092300000000001</v>
      </c>
      <c r="O396" s="169">
        <v>1.0092300000000001</v>
      </c>
      <c r="P396" s="169">
        <v>1.0092300000000001</v>
      </c>
      <c r="Q396" s="169">
        <v>1.0092300000000001</v>
      </c>
      <c r="R396" s="169">
        <v>1.0092300000000001</v>
      </c>
      <c r="S396" s="169">
        <v>1.0092300000000001</v>
      </c>
      <c r="T396" s="169">
        <v>1.0092300000000001</v>
      </c>
      <c r="U396" s="169">
        <v>1.0092300000000001</v>
      </c>
      <c r="V396" s="169">
        <v>1.0092300000000001</v>
      </c>
      <c r="W396" s="169">
        <v>1.0092300000000001</v>
      </c>
      <c r="X396" s="169">
        <v>1.0092300000000001</v>
      </c>
      <c r="Y396" s="169">
        <v>1.0092300000000001</v>
      </c>
      <c r="Z396" s="169">
        <v>1.0092300000000001</v>
      </c>
      <c r="AA396" s="169">
        <v>1.0092300000000001</v>
      </c>
      <c r="AB396" s="169">
        <v>1.0092300000000001</v>
      </c>
      <c r="AC396" s="169">
        <v>1.0092300000000001</v>
      </c>
      <c r="AD396" s="169">
        <v>1.0092300000000001</v>
      </c>
      <c r="AE396" s="169">
        <v>1.0092300000000001</v>
      </c>
      <c r="AF396" s="169">
        <v>1.0092300000000001</v>
      </c>
      <c r="AG396" s="169">
        <v>1.0092300000000001</v>
      </c>
      <c r="AH396" s="169">
        <v>1.0092300000000001</v>
      </c>
      <c r="AI396" s="169">
        <v>1.0092300000000001</v>
      </c>
      <c r="AJ396" s="169">
        <v>1.0092300000000001</v>
      </c>
      <c r="AK396" s="169">
        <v>1.0092300000000001</v>
      </c>
      <c r="AL396" s="169">
        <v>1.0092300000000001</v>
      </c>
      <c r="AM396" s="169">
        <v>1.0092300000000001</v>
      </c>
      <c r="AN396" s="169">
        <v>1.0092300000000001</v>
      </c>
      <c r="AO396" s="169">
        <v>1.0092300000000001</v>
      </c>
    </row>
    <row r="397" spans="1:41" x14ac:dyDescent="0.35">
      <c r="A397" s="147" t="str">
        <f t="shared" si="272"/>
        <v>WACC_0923</v>
      </c>
      <c r="B397" s="139" t="s">
        <v>8</v>
      </c>
      <c r="C397" s="140" t="s">
        <v>96</v>
      </c>
      <c r="D397" s="140" t="s">
        <v>81</v>
      </c>
      <c r="E397" s="61">
        <v>1.0095000000000001</v>
      </c>
      <c r="F397" s="169">
        <v>1.0092300000000001</v>
      </c>
      <c r="G397" s="169">
        <v>1.0092300000000001</v>
      </c>
      <c r="H397" s="169">
        <v>1.0092300000000001</v>
      </c>
      <c r="I397" s="169">
        <v>1.0092300000000001</v>
      </c>
      <c r="J397" s="169">
        <v>1.0092300000000001</v>
      </c>
      <c r="K397" s="169">
        <v>1.0092300000000001</v>
      </c>
      <c r="L397" s="169">
        <v>1.0092300000000001</v>
      </c>
      <c r="M397" s="169">
        <v>1.0092300000000001</v>
      </c>
      <c r="N397" s="169">
        <v>1.0092300000000001</v>
      </c>
      <c r="O397" s="169">
        <v>1.0092300000000001</v>
      </c>
      <c r="P397" s="169">
        <v>1.0092300000000001</v>
      </c>
      <c r="Q397" s="169">
        <v>1.0092300000000001</v>
      </c>
      <c r="R397" s="169">
        <v>1.0092300000000001</v>
      </c>
      <c r="S397" s="169">
        <v>1.0092300000000001</v>
      </c>
      <c r="T397" s="169">
        <v>1.0092300000000001</v>
      </c>
      <c r="U397" s="169">
        <v>1.0092300000000001</v>
      </c>
      <c r="V397" s="169">
        <v>1.0092300000000001</v>
      </c>
      <c r="W397" s="169">
        <v>1.0092300000000001</v>
      </c>
      <c r="X397" s="169">
        <v>1.0092300000000001</v>
      </c>
      <c r="Y397" s="169">
        <v>1.0092300000000001</v>
      </c>
      <c r="Z397" s="169">
        <v>1.0092300000000001</v>
      </c>
      <c r="AA397" s="169">
        <v>1.0092300000000001</v>
      </c>
      <c r="AB397" s="169">
        <v>1.0092300000000001</v>
      </c>
      <c r="AC397" s="169">
        <v>1.0092300000000001</v>
      </c>
      <c r="AD397" s="169">
        <v>1.0092300000000001</v>
      </c>
      <c r="AE397" s="169">
        <v>1.0092300000000001</v>
      </c>
      <c r="AF397" s="169">
        <v>1.0092300000000001</v>
      </c>
      <c r="AG397" s="169">
        <v>1.0092300000000001</v>
      </c>
      <c r="AH397" s="169">
        <v>1.0092300000000001</v>
      </c>
      <c r="AI397" s="169">
        <v>1.0092300000000001</v>
      </c>
      <c r="AJ397" s="169">
        <v>1.0092300000000001</v>
      </c>
      <c r="AK397" s="169">
        <v>1.0092300000000001</v>
      </c>
      <c r="AL397" s="169">
        <v>1.0092300000000001</v>
      </c>
      <c r="AM397" s="169">
        <v>1.0092300000000001</v>
      </c>
      <c r="AN397" s="169">
        <v>1.0092300000000001</v>
      </c>
      <c r="AO397" s="169">
        <v>1.0092300000000001</v>
      </c>
    </row>
    <row r="398" spans="1:41" x14ac:dyDescent="0.35">
      <c r="A398" s="147" t="str">
        <f t="shared" si="272"/>
        <v>WACC_0923</v>
      </c>
      <c r="B398" s="137" t="s">
        <v>28</v>
      </c>
      <c r="C398" s="140" t="s">
        <v>96</v>
      </c>
      <c r="D398" s="138" t="s">
        <v>81</v>
      </c>
      <c r="E398" s="62">
        <v>1.2913383958635649</v>
      </c>
      <c r="F398" s="169">
        <v>1.2820165664693497</v>
      </c>
      <c r="G398" s="169">
        <v>1.2820165664693497</v>
      </c>
      <c r="H398" s="169">
        <v>1.2820165664693497</v>
      </c>
      <c r="I398" s="169">
        <v>1.2820165664693497</v>
      </c>
      <c r="J398" s="169">
        <v>1.2820165664693497</v>
      </c>
      <c r="K398" s="169">
        <v>1.2820165664693497</v>
      </c>
      <c r="L398" s="169">
        <v>1.2820165664693497</v>
      </c>
      <c r="M398" s="169">
        <v>1.2820165664693497</v>
      </c>
      <c r="N398" s="169">
        <v>1.2820165664693497</v>
      </c>
      <c r="O398" s="169">
        <v>1.2820165664693497</v>
      </c>
      <c r="P398" s="169">
        <v>1.2820165664693497</v>
      </c>
      <c r="Q398" s="169">
        <v>1.2820165664693497</v>
      </c>
      <c r="R398" s="169">
        <v>1.2820165664693497</v>
      </c>
      <c r="S398" s="169">
        <v>1.2820165664693497</v>
      </c>
      <c r="T398" s="169">
        <v>1.2820165664693497</v>
      </c>
      <c r="U398" s="169">
        <v>1.2820165664693497</v>
      </c>
      <c r="V398" s="169">
        <v>1.2820165664693497</v>
      </c>
      <c r="W398" s="169">
        <v>1.2820165664693497</v>
      </c>
      <c r="X398" s="169">
        <v>1.2820165664693497</v>
      </c>
      <c r="Y398" s="169">
        <v>1.2820165664693497</v>
      </c>
      <c r="Z398" s="169">
        <v>1.2820165664693497</v>
      </c>
      <c r="AA398" s="169">
        <v>1.2820165664693497</v>
      </c>
      <c r="AB398" s="169">
        <v>1.2820165664693497</v>
      </c>
      <c r="AC398" s="169">
        <v>1.2820165664693497</v>
      </c>
      <c r="AD398" s="169">
        <v>1.2820165664693497</v>
      </c>
      <c r="AE398" s="169">
        <v>1.2820165664693497</v>
      </c>
      <c r="AF398" s="169">
        <v>1.2820165664693497</v>
      </c>
      <c r="AG398" s="169">
        <v>1.2820165664693497</v>
      </c>
      <c r="AH398" s="169">
        <v>1.2820165664693497</v>
      </c>
      <c r="AI398" s="169">
        <v>1.2820165664693497</v>
      </c>
      <c r="AJ398" s="169">
        <v>1.2820165664693497</v>
      </c>
      <c r="AK398" s="169">
        <v>1.2820165664693497</v>
      </c>
      <c r="AL398" s="169">
        <v>1.2820165664693497</v>
      </c>
      <c r="AM398" s="169">
        <v>1.2820165664693497</v>
      </c>
      <c r="AN398" s="169">
        <v>1.2820165664693497</v>
      </c>
      <c r="AO398" s="169">
        <v>1.2820165664693497</v>
      </c>
    </row>
    <row r="399" spans="1:41" x14ac:dyDescent="0.35">
      <c r="A399" s="148" t="s">
        <v>134</v>
      </c>
      <c r="B399" s="149" t="s">
        <v>15</v>
      </c>
      <c r="C399" s="150" t="s">
        <v>96</v>
      </c>
      <c r="D399" s="150" t="s">
        <v>81</v>
      </c>
      <c r="E399" s="63">
        <v>1.1100000000000001</v>
      </c>
      <c r="F399" s="192">
        <v>1.0956736000000002</v>
      </c>
      <c r="G399" s="192">
        <v>1.0956736000000002</v>
      </c>
      <c r="H399" s="192">
        <v>1.0956736000000002</v>
      </c>
      <c r="I399" s="192">
        <v>1.0956736000000002</v>
      </c>
      <c r="J399" s="192">
        <v>1.0956736000000002</v>
      </c>
      <c r="K399" s="192">
        <v>1.0956736000000002</v>
      </c>
      <c r="L399" s="192">
        <v>1.0956736000000002</v>
      </c>
      <c r="M399" s="192">
        <v>1.0956736000000002</v>
      </c>
      <c r="N399" s="192">
        <v>1.0956736000000002</v>
      </c>
      <c r="O399" s="192">
        <v>1.0956736000000002</v>
      </c>
      <c r="P399" s="192">
        <v>1.0956736000000002</v>
      </c>
      <c r="Q399" s="192">
        <v>1.0956736000000002</v>
      </c>
      <c r="R399" s="192">
        <v>1.0956736000000002</v>
      </c>
      <c r="S399" s="192">
        <v>1.0956736000000002</v>
      </c>
      <c r="T399" s="192">
        <v>1.0956736000000002</v>
      </c>
      <c r="U399" s="192">
        <v>1.0956736000000002</v>
      </c>
      <c r="V399" s="192">
        <v>1.0956736000000002</v>
      </c>
      <c r="W399" s="192">
        <v>1.0956736000000002</v>
      </c>
      <c r="X399" s="192">
        <v>1.0956736000000002</v>
      </c>
      <c r="Y399" s="192">
        <v>1.0956736000000002</v>
      </c>
      <c r="Z399" s="192">
        <v>1.0956736000000002</v>
      </c>
      <c r="AA399" s="192">
        <v>1.0956736000000002</v>
      </c>
      <c r="AB399" s="192">
        <v>1.0956736000000002</v>
      </c>
      <c r="AC399" s="192">
        <v>1.0956736000000002</v>
      </c>
      <c r="AD399" s="192">
        <v>1.0956736000000002</v>
      </c>
      <c r="AE399" s="192">
        <v>1.0956736000000002</v>
      </c>
      <c r="AF399" s="192">
        <v>1.0956736000000002</v>
      </c>
      <c r="AG399" s="192">
        <v>1.0956736000000002</v>
      </c>
      <c r="AH399" s="192">
        <v>1.0956736000000002</v>
      </c>
      <c r="AI399" s="192">
        <v>1.0956736000000002</v>
      </c>
      <c r="AJ399" s="192">
        <v>1.0956736000000002</v>
      </c>
      <c r="AK399" s="192">
        <v>1.0956736000000002</v>
      </c>
      <c r="AL399" s="192">
        <v>1.0956736000000002</v>
      </c>
      <c r="AM399" s="192">
        <v>1.0956736000000002</v>
      </c>
      <c r="AN399" s="192">
        <v>1.0956736000000002</v>
      </c>
      <c r="AO399" s="192">
        <v>1.0956736000000002</v>
      </c>
    </row>
    <row r="400" spans="1:41" x14ac:dyDescent="0.35">
      <c r="A400" s="148" t="str">
        <f t="shared" ref="A400:A417" si="273">A399</f>
        <v>WACC_072</v>
      </c>
      <c r="B400" s="151" t="s">
        <v>25</v>
      </c>
      <c r="C400" s="150" t="s">
        <v>96</v>
      </c>
      <c r="D400" s="152" t="s">
        <v>81</v>
      </c>
      <c r="E400" s="64">
        <v>1.1100000000000001</v>
      </c>
      <c r="F400" s="192">
        <v>1.0952484984564297</v>
      </c>
      <c r="G400" s="192">
        <v>1.0952484984564297</v>
      </c>
      <c r="H400" s="192">
        <v>1.0952484984564297</v>
      </c>
      <c r="I400" s="192">
        <v>1.0952484984564297</v>
      </c>
      <c r="J400" s="192">
        <v>1.0952484984564297</v>
      </c>
      <c r="K400" s="192">
        <v>1.0952484984564297</v>
      </c>
      <c r="L400" s="192">
        <v>1.0952484984564297</v>
      </c>
      <c r="M400" s="192">
        <v>1.0952484984564297</v>
      </c>
      <c r="N400" s="192">
        <v>1.0952484984564297</v>
      </c>
      <c r="O400" s="192">
        <v>1.0952484984564297</v>
      </c>
      <c r="P400" s="192">
        <v>1.0952484984564297</v>
      </c>
      <c r="Q400" s="192">
        <v>1.0952484984564297</v>
      </c>
      <c r="R400" s="192">
        <v>1.0952484984564297</v>
      </c>
      <c r="S400" s="192">
        <v>1.0952484984564297</v>
      </c>
      <c r="T400" s="192">
        <v>1.0952484984564297</v>
      </c>
      <c r="U400" s="192">
        <v>1.0952484984564297</v>
      </c>
      <c r="V400" s="192">
        <v>1.0952484984564297</v>
      </c>
      <c r="W400" s="192">
        <v>1.0952484984564297</v>
      </c>
      <c r="X400" s="192">
        <v>1.0952484984564297</v>
      </c>
      <c r="Y400" s="192">
        <v>1.0952484984564297</v>
      </c>
      <c r="Z400" s="192">
        <v>1.0952484984564297</v>
      </c>
      <c r="AA400" s="192">
        <v>1.0952484984564297</v>
      </c>
      <c r="AB400" s="192">
        <v>1.0952484984564297</v>
      </c>
      <c r="AC400" s="192">
        <v>1.0952484984564297</v>
      </c>
      <c r="AD400" s="192">
        <v>1.0952484984564297</v>
      </c>
      <c r="AE400" s="192">
        <v>1.0952484984564297</v>
      </c>
      <c r="AF400" s="192">
        <v>1.0952484984564297</v>
      </c>
      <c r="AG400" s="192">
        <v>1.0952484984564297</v>
      </c>
      <c r="AH400" s="192">
        <v>1.0952484984564297</v>
      </c>
      <c r="AI400" s="192">
        <v>1.0952484984564297</v>
      </c>
      <c r="AJ400" s="192">
        <v>1.0952484984564297</v>
      </c>
      <c r="AK400" s="192">
        <v>1.0952484984564297</v>
      </c>
      <c r="AL400" s="192">
        <v>1.0952484984564297</v>
      </c>
      <c r="AM400" s="192">
        <v>1.0952484984564297</v>
      </c>
      <c r="AN400" s="192">
        <v>1.0952484984564297</v>
      </c>
      <c r="AO400" s="192">
        <v>1.0952484984564297</v>
      </c>
    </row>
    <row r="401" spans="1:41" x14ac:dyDescent="0.35">
      <c r="A401" s="148" t="str">
        <f t="shared" si="273"/>
        <v>WACC_072</v>
      </c>
      <c r="B401" s="149" t="s">
        <v>26</v>
      </c>
      <c r="C401" s="150" t="s">
        <v>96</v>
      </c>
      <c r="D401" s="150" t="s">
        <v>81</v>
      </c>
      <c r="E401" s="63">
        <v>1.25</v>
      </c>
      <c r="F401" s="192">
        <v>1.212927209508045</v>
      </c>
      <c r="G401" s="192">
        <v>1.212927209508045</v>
      </c>
      <c r="H401" s="192">
        <v>1.212927209508045</v>
      </c>
      <c r="I401" s="192">
        <v>1.212927209508045</v>
      </c>
      <c r="J401" s="192">
        <v>1.212927209508045</v>
      </c>
      <c r="K401" s="192">
        <v>1.212927209508045</v>
      </c>
      <c r="L401" s="192">
        <v>1.212927209508045</v>
      </c>
      <c r="M401" s="192">
        <v>1.212927209508045</v>
      </c>
      <c r="N401" s="192">
        <v>1.212927209508045</v>
      </c>
      <c r="O401" s="192">
        <v>1.212927209508045</v>
      </c>
      <c r="P401" s="192">
        <v>1.212927209508045</v>
      </c>
      <c r="Q401" s="192">
        <v>1.212927209508045</v>
      </c>
      <c r="R401" s="192">
        <v>1.212927209508045</v>
      </c>
      <c r="S401" s="192">
        <v>1.212927209508045</v>
      </c>
      <c r="T401" s="192">
        <v>1.212927209508045</v>
      </c>
      <c r="U401" s="192">
        <v>1.212927209508045</v>
      </c>
      <c r="V401" s="192">
        <v>1.212927209508045</v>
      </c>
      <c r="W401" s="192">
        <v>1.212927209508045</v>
      </c>
      <c r="X401" s="192">
        <v>1.212927209508045</v>
      </c>
      <c r="Y401" s="192">
        <v>1.212927209508045</v>
      </c>
      <c r="Z401" s="192">
        <v>1.212927209508045</v>
      </c>
      <c r="AA401" s="192">
        <v>1.212927209508045</v>
      </c>
      <c r="AB401" s="192">
        <v>1.212927209508045</v>
      </c>
      <c r="AC401" s="192">
        <v>1.212927209508045</v>
      </c>
      <c r="AD401" s="192">
        <v>1.212927209508045</v>
      </c>
      <c r="AE401" s="192">
        <v>1.212927209508045</v>
      </c>
      <c r="AF401" s="192">
        <v>1.212927209508045</v>
      </c>
      <c r="AG401" s="192">
        <v>1.212927209508045</v>
      </c>
      <c r="AH401" s="192">
        <v>1.212927209508045</v>
      </c>
      <c r="AI401" s="192">
        <v>1.212927209508045</v>
      </c>
      <c r="AJ401" s="192">
        <v>1.212927209508045</v>
      </c>
      <c r="AK401" s="192">
        <v>1.212927209508045</v>
      </c>
      <c r="AL401" s="192">
        <v>1.212927209508045</v>
      </c>
      <c r="AM401" s="192">
        <v>1.212927209508045</v>
      </c>
      <c r="AN401" s="192">
        <v>1.212927209508045</v>
      </c>
      <c r="AO401" s="192">
        <v>1.212927209508045</v>
      </c>
    </row>
    <row r="402" spans="1:41" x14ac:dyDescent="0.35">
      <c r="A402" s="148" t="str">
        <f t="shared" si="273"/>
        <v>WACC_072</v>
      </c>
      <c r="B402" s="151" t="s">
        <v>23</v>
      </c>
      <c r="C402" s="150" t="s">
        <v>96</v>
      </c>
      <c r="D402" s="152" t="s">
        <v>81</v>
      </c>
      <c r="E402" s="64">
        <v>1.07</v>
      </c>
      <c r="F402" s="192">
        <v>1.0648000000000002</v>
      </c>
      <c r="G402" s="192">
        <v>1.0648000000000002</v>
      </c>
      <c r="H402" s="192">
        <v>1.0648000000000002</v>
      </c>
      <c r="I402" s="192">
        <v>1.0648000000000002</v>
      </c>
      <c r="J402" s="192">
        <v>1.0648000000000002</v>
      </c>
      <c r="K402" s="192">
        <v>1.0648000000000002</v>
      </c>
      <c r="L402" s="192">
        <v>1.0648000000000002</v>
      </c>
      <c r="M402" s="192">
        <v>1.0648000000000002</v>
      </c>
      <c r="N402" s="192">
        <v>1.0648000000000002</v>
      </c>
      <c r="O402" s="192">
        <v>1.0648000000000002</v>
      </c>
      <c r="P402" s="192">
        <v>1.0648000000000002</v>
      </c>
      <c r="Q402" s="192">
        <v>1.0648000000000002</v>
      </c>
      <c r="R402" s="192">
        <v>1.0648000000000002</v>
      </c>
      <c r="S402" s="192">
        <v>1.0648000000000002</v>
      </c>
      <c r="T402" s="192">
        <v>1.0648000000000002</v>
      </c>
      <c r="U402" s="192">
        <v>1.0648000000000002</v>
      </c>
      <c r="V402" s="192">
        <v>1.0648000000000002</v>
      </c>
      <c r="W402" s="192">
        <v>1.0648000000000002</v>
      </c>
      <c r="X402" s="192">
        <v>1.0648000000000002</v>
      </c>
      <c r="Y402" s="192">
        <v>1.0648000000000002</v>
      </c>
      <c r="Z402" s="192">
        <v>1.0648000000000002</v>
      </c>
      <c r="AA402" s="192">
        <v>1.0648000000000002</v>
      </c>
      <c r="AB402" s="192">
        <v>1.0648000000000002</v>
      </c>
      <c r="AC402" s="192">
        <v>1.0648000000000002</v>
      </c>
      <c r="AD402" s="192">
        <v>1.0648000000000002</v>
      </c>
      <c r="AE402" s="192">
        <v>1.0648000000000002</v>
      </c>
      <c r="AF402" s="192">
        <v>1.0648000000000002</v>
      </c>
      <c r="AG402" s="192">
        <v>1.0648000000000002</v>
      </c>
      <c r="AH402" s="192">
        <v>1.0648000000000002</v>
      </c>
      <c r="AI402" s="192">
        <v>1.0648000000000002</v>
      </c>
      <c r="AJ402" s="192">
        <v>1.0648000000000002</v>
      </c>
      <c r="AK402" s="192">
        <v>1.0648000000000002</v>
      </c>
      <c r="AL402" s="192">
        <v>1.0648000000000002</v>
      </c>
      <c r="AM402" s="192">
        <v>1.0648000000000002</v>
      </c>
      <c r="AN402" s="192">
        <v>1.0648000000000002</v>
      </c>
      <c r="AO402" s="192">
        <v>1.0648000000000002</v>
      </c>
    </row>
    <row r="403" spans="1:41" x14ac:dyDescent="0.35">
      <c r="A403" s="148" t="str">
        <f t="shared" si="273"/>
        <v>WACC_072</v>
      </c>
      <c r="B403" s="149" t="s">
        <v>24</v>
      </c>
      <c r="C403" s="150" t="s">
        <v>96</v>
      </c>
      <c r="D403" s="150" t="s">
        <v>81</v>
      </c>
      <c r="E403" s="63">
        <f>E402</f>
        <v>1.07</v>
      </c>
      <c r="F403" s="192">
        <v>1.0648000000000002</v>
      </c>
      <c r="G403" s="192">
        <v>1.0648000000000002</v>
      </c>
      <c r="H403" s="192">
        <v>1.0648000000000002</v>
      </c>
      <c r="I403" s="192">
        <v>1.0648000000000002</v>
      </c>
      <c r="J403" s="192">
        <v>1.0648000000000002</v>
      </c>
      <c r="K403" s="192">
        <v>1.0648000000000002</v>
      </c>
      <c r="L403" s="192">
        <v>1.0648000000000002</v>
      </c>
      <c r="M403" s="192">
        <v>1.0648000000000002</v>
      </c>
      <c r="N403" s="192">
        <v>1.0648000000000002</v>
      </c>
      <c r="O403" s="192">
        <v>1.0648000000000002</v>
      </c>
      <c r="P403" s="192">
        <v>1.0648000000000002</v>
      </c>
      <c r="Q403" s="192">
        <v>1.0648000000000002</v>
      </c>
      <c r="R403" s="192">
        <v>1.0648000000000002</v>
      </c>
      <c r="S403" s="192">
        <v>1.0648000000000002</v>
      </c>
      <c r="T403" s="192">
        <v>1.0648000000000002</v>
      </c>
      <c r="U403" s="192">
        <v>1.0648000000000002</v>
      </c>
      <c r="V403" s="192">
        <v>1.0648000000000002</v>
      </c>
      <c r="W403" s="192">
        <v>1.0648000000000002</v>
      </c>
      <c r="X403" s="192">
        <v>1.0648000000000002</v>
      </c>
      <c r="Y403" s="192">
        <v>1.0648000000000002</v>
      </c>
      <c r="Z403" s="192">
        <v>1.0648000000000002</v>
      </c>
      <c r="AA403" s="192">
        <v>1.0648000000000002</v>
      </c>
      <c r="AB403" s="192">
        <v>1.0648000000000002</v>
      </c>
      <c r="AC403" s="192">
        <v>1.0648000000000002</v>
      </c>
      <c r="AD403" s="192">
        <v>1.0648000000000002</v>
      </c>
      <c r="AE403" s="192">
        <v>1.0648000000000002</v>
      </c>
      <c r="AF403" s="192">
        <v>1.0648000000000002</v>
      </c>
      <c r="AG403" s="192">
        <v>1.0648000000000002</v>
      </c>
      <c r="AH403" s="192">
        <v>1.0648000000000002</v>
      </c>
      <c r="AI403" s="192">
        <v>1.0648000000000002</v>
      </c>
      <c r="AJ403" s="192">
        <v>1.0648000000000002</v>
      </c>
      <c r="AK403" s="192">
        <v>1.0648000000000002</v>
      </c>
      <c r="AL403" s="192">
        <v>1.0648000000000002</v>
      </c>
      <c r="AM403" s="192">
        <v>1.0648000000000002</v>
      </c>
      <c r="AN403" s="192">
        <v>1.0648000000000002</v>
      </c>
      <c r="AO403" s="192">
        <v>1.0648000000000002</v>
      </c>
    </row>
    <row r="404" spans="1:41" x14ac:dyDescent="0.35">
      <c r="A404" s="148" t="str">
        <f t="shared" si="273"/>
        <v>WACC_072</v>
      </c>
      <c r="B404" s="151" t="s">
        <v>17</v>
      </c>
      <c r="C404" s="150" t="s">
        <v>96</v>
      </c>
      <c r="D404" s="152" t="s">
        <v>81</v>
      </c>
      <c r="E404" s="63">
        <f t="shared" ref="E404" si="274">E403</f>
        <v>1.07</v>
      </c>
      <c r="F404" s="192">
        <v>1.0648000000000002</v>
      </c>
      <c r="G404" s="192">
        <v>1.0648000000000002</v>
      </c>
      <c r="H404" s="192">
        <v>1.0648000000000002</v>
      </c>
      <c r="I404" s="192">
        <v>1.0648000000000002</v>
      </c>
      <c r="J404" s="192">
        <v>1.0648000000000002</v>
      </c>
      <c r="K404" s="192">
        <v>1.0648000000000002</v>
      </c>
      <c r="L404" s="192">
        <v>1.0648000000000002</v>
      </c>
      <c r="M404" s="192">
        <v>1.0648000000000002</v>
      </c>
      <c r="N404" s="192">
        <v>1.0648000000000002</v>
      </c>
      <c r="O404" s="192">
        <v>1.0648000000000002</v>
      </c>
      <c r="P404" s="192">
        <v>1.0648000000000002</v>
      </c>
      <c r="Q404" s="192">
        <v>1.0648000000000002</v>
      </c>
      <c r="R404" s="192">
        <v>1.0648000000000002</v>
      </c>
      <c r="S404" s="192">
        <v>1.0648000000000002</v>
      </c>
      <c r="T404" s="192">
        <v>1.0648000000000002</v>
      </c>
      <c r="U404" s="192">
        <v>1.0648000000000002</v>
      </c>
      <c r="V404" s="192">
        <v>1.0648000000000002</v>
      </c>
      <c r="W404" s="192">
        <v>1.0648000000000002</v>
      </c>
      <c r="X404" s="192">
        <v>1.0648000000000002</v>
      </c>
      <c r="Y404" s="192">
        <v>1.0648000000000002</v>
      </c>
      <c r="Z404" s="192">
        <v>1.0648000000000002</v>
      </c>
      <c r="AA404" s="192">
        <v>1.0648000000000002</v>
      </c>
      <c r="AB404" s="192">
        <v>1.0648000000000002</v>
      </c>
      <c r="AC404" s="192">
        <v>1.0648000000000002</v>
      </c>
      <c r="AD404" s="192">
        <v>1.0648000000000002</v>
      </c>
      <c r="AE404" s="192">
        <v>1.0648000000000002</v>
      </c>
      <c r="AF404" s="192">
        <v>1.0648000000000002</v>
      </c>
      <c r="AG404" s="192">
        <v>1.0648000000000002</v>
      </c>
      <c r="AH404" s="192">
        <v>1.0648000000000002</v>
      </c>
      <c r="AI404" s="192">
        <v>1.0648000000000002</v>
      </c>
      <c r="AJ404" s="192">
        <v>1.0648000000000002</v>
      </c>
      <c r="AK404" s="192">
        <v>1.0648000000000002</v>
      </c>
      <c r="AL404" s="192">
        <v>1.0648000000000002</v>
      </c>
      <c r="AM404" s="192">
        <v>1.0648000000000002</v>
      </c>
      <c r="AN404" s="192">
        <v>1.0648000000000002</v>
      </c>
      <c r="AO404" s="192">
        <v>1.0648000000000002</v>
      </c>
    </row>
    <row r="405" spans="1:41" x14ac:dyDescent="0.35">
      <c r="A405" s="148" t="str">
        <f t="shared" si="273"/>
        <v>WACC_072</v>
      </c>
      <c r="B405" s="149" t="s">
        <v>18</v>
      </c>
      <c r="C405" s="150" t="s">
        <v>96</v>
      </c>
      <c r="D405" s="150" t="s">
        <v>81</v>
      </c>
      <c r="E405" s="63">
        <f t="shared" ref="E405" si="275">E404</f>
        <v>1.07</v>
      </c>
      <c r="F405" s="192">
        <v>1.0648000000000002</v>
      </c>
      <c r="G405" s="192">
        <v>1.0648000000000002</v>
      </c>
      <c r="H405" s="192">
        <v>1.0648000000000002</v>
      </c>
      <c r="I405" s="192">
        <v>1.0648000000000002</v>
      </c>
      <c r="J405" s="192">
        <v>1.0648000000000002</v>
      </c>
      <c r="K405" s="192">
        <v>1.0648000000000002</v>
      </c>
      <c r="L405" s="192">
        <v>1.0648000000000002</v>
      </c>
      <c r="M405" s="192">
        <v>1.0648000000000002</v>
      </c>
      <c r="N405" s="192">
        <v>1.0648000000000002</v>
      </c>
      <c r="O405" s="192">
        <v>1.0648000000000002</v>
      </c>
      <c r="P405" s="192">
        <v>1.0648000000000002</v>
      </c>
      <c r="Q405" s="192">
        <v>1.0648000000000002</v>
      </c>
      <c r="R405" s="192">
        <v>1.0648000000000002</v>
      </c>
      <c r="S405" s="192">
        <v>1.0648000000000002</v>
      </c>
      <c r="T405" s="192">
        <v>1.0648000000000002</v>
      </c>
      <c r="U405" s="192">
        <v>1.0648000000000002</v>
      </c>
      <c r="V405" s="192">
        <v>1.0648000000000002</v>
      </c>
      <c r="W405" s="192">
        <v>1.0648000000000002</v>
      </c>
      <c r="X405" s="192">
        <v>1.0648000000000002</v>
      </c>
      <c r="Y405" s="192">
        <v>1.0648000000000002</v>
      </c>
      <c r="Z405" s="192">
        <v>1.0648000000000002</v>
      </c>
      <c r="AA405" s="192">
        <v>1.0648000000000002</v>
      </c>
      <c r="AB405" s="192">
        <v>1.0648000000000002</v>
      </c>
      <c r="AC405" s="192">
        <v>1.0648000000000002</v>
      </c>
      <c r="AD405" s="192">
        <v>1.0648000000000002</v>
      </c>
      <c r="AE405" s="192">
        <v>1.0648000000000002</v>
      </c>
      <c r="AF405" s="192">
        <v>1.0648000000000002</v>
      </c>
      <c r="AG405" s="192">
        <v>1.0648000000000002</v>
      </c>
      <c r="AH405" s="192">
        <v>1.0648000000000002</v>
      </c>
      <c r="AI405" s="192">
        <v>1.0648000000000002</v>
      </c>
      <c r="AJ405" s="192">
        <v>1.0648000000000002</v>
      </c>
      <c r="AK405" s="192">
        <v>1.0648000000000002</v>
      </c>
      <c r="AL405" s="192">
        <v>1.0648000000000002</v>
      </c>
      <c r="AM405" s="192">
        <v>1.0648000000000002</v>
      </c>
      <c r="AN405" s="192">
        <v>1.0648000000000002</v>
      </c>
      <c r="AO405" s="192">
        <v>1.0648000000000002</v>
      </c>
    </row>
    <row r="406" spans="1:41" x14ac:dyDescent="0.35">
      <c r="A406" s="148" t="str">
        <f t="shared" si="273"/>
        <v>WACC_072</v>
      </c>
      <c r="B406" s="151" t="s">
        <v>19</v>
      </c>
      <c r="C406" s="150" t="s">
        <v>96</v>
      </c>
      <c r="D406" s="152" t="s">
        <v>81</v>
      </c>
      <c r="E406" s="63">
        <f t="shared" ref="E406" si="276">E405</f>
        <v>1.07</v>
      </c>
      <c r="F406" s="192">
        <v>1.0648000000000002</v>
      </c>
      <c r="G406" s="192">
        <v>1.0648000000000002</v>
      </c>
      <c r="H406" s="192">
        <v>1.0648000000000002</v>
      </c>
      <c r="I406" s="192">
        <v>1.0648000000000002</v>
      </c>
      <c r="J406" s="192">
        <v>1.0648000000000002</v>
      </c>
      <c r="K406" s="192">
        <v>1.0648000000000002</v>
      </c>
      <c r="L406" s="192">
        <v>1.0648000000000002</v>
      </c>
      <c r="M406" s="192">
        <v>1.0648000000000002</v>
      </c>
      <c r="N406" s="192">
        <v>1.0648000000000002</v>
      </c>
      <c r="O406" s="192">
        <v>1.0648000000000002</v>
      </c>
      <c r="P406" s="192">
        <v>1.0648000000000002</v>
      </c>
      <c r="Q406" s="192">
        <v>1.0648000000000002</v>
      </c>
      <c r="R406" s="192">
        <v>1.0648000000000002</v>
      </c>
      <c r="S406" s="192">
        <v>1.0648000000000002</v>
      </c>
      <c r="T406" s="192">
        <v>1.0648000000000002</v>
      </c>
      <c r="U406" s="192">
        <v>1.0648000000000002</v>
      </c>
      <c r="V406" s="192">
        <v>1.0648000000000002</v>
      </c>
      <c r="W406" s="192">
        <v>1.0648000000000002</v>
      </c>
      <c r="X406" s="192">
        <v>1.0648000000000002</v>
      </c>
      <c r="Y406" s="192">
        <v>1.0648000000000002</v>
      </c>
      <c r="Z406" s="192">
        <v>1.0648000000000002</v>
      </c>
      <c r="AA406" s="192">
        <v>1.0648000000000002</v>
      </c>
      <c r="AB406" s="192">
        <v>1.0648000000000002</v>
      </c>
      <c r="AC406" s="192">
        <v>1.0648000000000002</v>
      </c>
      <c r="AD406" s="192">
        <v>1.0648000000000002</v>
      </c>
      <c r="AE406" s="192">
        <v>1.0648000000000002</v>
      </c>
      <c r="AF406" s="192">
        <v>1.0648000000000002</v>
      </c>
      <c r="AG406" s="192">
        <v>1.0648000000000002</v>
      </c>
      <c r="AH406" s="192">
        <v>1.0648000000000002</v>
      </c>
      <c r="AI406" s="192">
        <v>1.0648000000000002</v>
      </c>
      <c r="AJ406" s="192">
        <v>1.0648000000000002</v>
      </c>
      <c r="AK406" s="192">
        <v>1.0648000000000002</v>
      </c>
      <c r="AL406" s="192">
        <v>1.0648000000000002</v>
      </c>
      <c r="AM406" s="192">
        <v>1.0648000000000002</v>
      </c>
      <c r="AN406" s="192">
        <v>1.0648000000000002</v>
      </c>
      <c r="AO406" s="192">
        <v>1.0648000000000002</v>
      </c>
    </row>
    <row r="407" spans="1:41" x14ac:dyDescent="0.35">
      <c r="A407" s="148" t="str">
        <f t="shared" si="273"/>
        <v>WACC_072</v>
      </c>
      <c r="B407" s="149" t="s">
        <v>20</v>
      </c>
      <c r="C407" s="150" t="s">
        <v>96</v>
      </c>
      <c r="D407" s="150" t="s">
        <v>81</v>
      </c>
      <c r="E407" s="63">
        <f t="shared" ref="E407" si="277">E406</f>
        <v>1.07</v>
      </c>
      <c r="F407" s="192">
        <v>1.0648000000000002</v>
      </c>
      <c r="G407" s="192">
        <v>1.0648000000000002</v>
      </c>
      <c r="H407" s="192">
        <v>1.0648000000000002</v>
      </c>
      <c r="I407" s="192">
        <v>1.0648000000000002</v>
      </c>
      <c r="J407" s="192">
        <v>1.0648000000000002</v>
      </c>
      <c r="K407" s="192">
        <v>1.0648000000000002</v>
      </c>
      <c r="L407" s="192">
        <v>1.0648000000000002</v>
      </c>
      <c r="M407" s="192">
        <v>1.0648000000000002</v>
      </c>
      <c r="N407" s="192">
        <v>1.0648000000000002</v>
      </c>
      <c r="O407" s="192">
        <v>1.0648000000000002</v>
      </c>
      <c r="P407" s="192">
        <v>1.0648000000000002</v>
      </c>
      <c r="Q407" s="192">
        <v>1.0648000000000002</v>
      </c>
      <c r="R407" s="192">
        <v>1.0648000000000002</v>
      </c>
      <c r="S407" s="192">
        <v>1.0648000000000002</v>
      </c>
      <c r="T407" s="192">
        <v>1.0648000000000002</v>
      </c>
      <c r="U407" s="192">
        <v>1.0648000000000002</v>
      </c>
      <c r="V407" s="192">
        <v>1.0648000000000002</v>
      </c>
      <c r="W407" s="192">
        <v>1.0648000000000002</v>
      </c>
      <c r="X407" s="192">
        <v>1.0648000000000002</v>
      </c>
      <c r="Y407" s="192">
        <v>1.0648000000000002</v>
      </c>
      <c r="Z407" s="192">
        <v>1.0648000000000002</v>
      </c>
      <c r="AA407" s="192">
        <v>1.0648000000000002</v>
      </c>
      <c r="AB407" s="192">
        <v>1.0648000000000002</v>
      </c>
      <c r="AC407" s="192">
        <v>1.0648000000000002</v>
      </c>
      <c r="AD407" s="192">
        <v>1.0648000000000002</v>
      </c>
      <c r="AE407" s="192">
        <v>1.0648000000000002</v>
      </c>
      <c r="AF407" s="192">
        <v>1.0648000000000002</v>
      </c>
      <c r="AG407" s="192">
        <v>1.0648000000000002</v>
      </c>
      <c r="AH407" s="192">
        <v>1.0648000000000002</v>
      </c>
      <c r="AI407" s="192">
        <v>1.0648000000000002</v>
      </c>
      <c r="AJ407" s="192">
        <v>1.0648000000000002</v>
      </c>
      <c r="AK407" s="192">
        <v>1.0648000000000002</v>
      </c>
      <c r="AL407" s="192">
        <v>1.0648000000000002</v>
      </c>
      <c r="AM407" s="192">
        <v>1.0648000000000002</v>
      </c>
      <c r="AN407" s="192">
        <v>1.0648000000000002</v>
      </c>
      <c r="AO407" s="192">
        <v>1.0648000000000002</v>
      </c>
    </row>
    <row r="408" spans="1:41" x14ac:dyDescent="0.35">
      <c r="A408" s="148" t="str">
        <f t="shared" si="273"/>
        <v>WACC_072</v>
      </c>
      <c r="B408" s="151" t="s">
        <v>21</v>
      </c>
      <c r="C408" s="150" t="s">
        <v>96</v>
      </c>
      <c r="D408" s="152" t="s">
        <v>81</v>
      </c>
      <c r="E408" s="63">
        <f t="shared" ref="E408" si="278">E407</f>
        <v>1.07</v>
      </c>
      <c r="F408" s="192">
        <v>1.0648000000000002</v>
      </c>
      <c r="G408" s="192">
        <v>1.0648000000000002</v>
      </c>
      <c r="H408" s="192">
        <v>1.0648000000000002</v>
      </c>
      <c r="I408" s="192">
        <v>1.0648000000000002</v>
      </c>
      <c r="J408" s="192">
        <v>1.0648000000000002</v>
      </c>
      <c r="K408" s="192">
        <v>1.0648000000000002</v>
      </c>
      <c r="L408" s="192">
        <v>1.0648000000000002</v>
      </c>
      <c r="M408" s="192">
        <v>1.0648000000000002</v>
      </c>
      <c r="N408" s="192">
        <v>1.0648000000000002</v>
      </c>
      <c r="O408" s="192">
        <v>1.0648000000000002</v>
      </c>
      <c r="P408" s="192">
        <v>1.0648000000000002</v>
      </c>
      <c r="Q408" s="192">
        <v>1.0648000000000002</v>
      </c>
      <c r="R408" s="192">
        <v>1.0648000000000002</v>
      </c>
      <c r="S408" s="192">
        <v>1.0648000000000002</v>
      </c>
      <c r="T408" s="192">
        <v>1.0648000000000002</v>
      </c>
      <c r="U408" s="192">
        <v>1.0648000000000002</v>
      </c>
      <c r="V408" s="192">
        <v>1.0648000000000002</v>
      </c>
      <c r="W408" s="192">
        <v>1.0648000000000002</v>
      </c>
      <c r="X408" s="192">
        <v>1.0648000000000002</v>
      </c>
      <c r="Y408" s="192">
        <v>1.0648000000000002</v>
      </c>
      <c r="Z408" s="192">
        <v>1.0648000000000002</v>
      </c>
      <c r="AA408" s="192">
        <v>1.0648000000000002</v>
      </c>
      <c r="AB408" s="192">
        <v>1.0648000000000002</v>
      </c>
      <c r="AC408" s="192">
        <v>1.0648000000000002</v>
      </c>
      <c r="AD408" s="192">
        <v>1.0648000000000002</v>
      </c>
      <c r="AE408" s="192">
        <v>1.0648000000000002</v>
      </c>
      <c r="AF408" s="192">
        <v>1.0648000000000002</v>
      </c>
      <c r="AG408" s="192">
        <v>1.0648000000000002</v>
      </c>
      <c r="AH408" s="192">
        <v>1.0648000000000002</v>
      </c>
      <c r="AI408" s="192">
        <v>1.0648000000000002</v>
      </c>
      <c r="AJ408" s="192">
        <v>1.0648000000000002</v>
      </c>
      <c r="AK408" s="192">
        <v>1.0648000000000002</v>
      </c>
      <c r="AL408" s="192">
        <v>1.0648000000000002</v>
      </c>
      <c r="AM408" s="192">
        <v>1.0648000000000002</v>
      </c>
      <c r="AN408" s="192">
        <v>1.0648000000000002</v>
      </c>
      <c r="AO408" s="192">
        <v>1.0648000000000002</v>
      </c>
    </row>
    <row r="409" spans="1:41" x14ac:dyDescent="0.35">
      <c r="A409" s="148" t="str">
        <f t="shared" si="273"/>
        <v>WACC_072</v>
      </c>
      <c r="B409" s="149" t="s">
        <v>22</v>
      </c>
      <c r="C409" s="150" t="s">
        <v>96</v>
      </c>
      <c r="D409" s="150" t="s">
        <v>81</v>
      </c>
      <c r="E409" s="63">
        <f>E402</f>
        <v>1.07</v>
      </c>
      <c r="F409" s="192">
        <v>1.0648000000000002</v>
      </c>
      <c r="G409" s="192">
        <v>1.0648000000000002</v>
      </c>
      <c r="H409" s="192">
        <v>1.0648000000000002</v>
      </c>
      <c r="I409" s="192">
        <v>1.0648000000000002</v>
      </c>
      <c r="J409" s="192">
        <v>1.0648000000000002</v>
      </c>
      <c r="K409" s="192">
        <v>1.0648000000000002</v>
      </c>
      <c r="L409" s="192">
        <v>1.0648000000000002</v>
      </c>
      <c r="M409" s="192">
        <v>1.0648000000000002</v>
      </c>
      <c r="N409" s="192">
        <v>1.0648000000000002</v>
      </c>
      <c r="O409" s="192">
        <v>1.0648000000000002</v>
      </c>
      <c r="P409" s="192">
        <v>1.0648000000000002</v>
      </c>
      <c r="Q409" s="192">
        <v>1.0648000000000002</v>
      </c>
      <c r="R409" s="192">
        <v>1.0648000000000002</v>
      </c>
      <c r="S409" s="192">
        <v>1.0648000000000002</v>
      </c>
      <c r="T409" s="192">
        <v>1.0648000000000002</v>
      </c>
      <c r="U409" s="192">
        <v>1.0648000000000002</v>
      </c>
      <c r="V409" s="192">
        <v>1.0648000000000002</v>
      </c>
      <c r="W409" s="192">
        <v>1.0648000000000002</v>
      </c>
      <c r="X409" s="192">
        <v>1.0648000000000002</v>
      </c>
      <c r="Y409" s="192">
        <v>1.0648000000000002</v>
      </c>
      <c r="Z409" s="192">
        <v>1.0648000000000002</v>
      </c>
      <c r="AA409" s="192">
        <v>1.0648000000000002</v>
      </c>
      <c r="AB409" s="192">
        <v>1.0648000000000002</v>
      </c>
      <c r="AC409" s="192">
        <v>1.0648000000000002</v>
      </c>
      <c r="AD409" s="192">
        <v>1.0648000000000002</v>
      </c>
      <c r="AE409" s="192">
        <v>1.0648000000000002</v>
      </c>
      <c r="AF409" s="192">
        <v>1.0648000000000002</v>
      </c>
      <c r="AG409" s="192">
        <v>1.0648000000000002</v>
      </c>
      <c r="AH409" s="192">
        <v>1.0648000000000002</v>
      </c>
      <c r="AI409" s="192">
        <v>1.0648000000000002</v>
      </c>
      <c r="AJ409" s="192">
        <v>1.0648000000000002</v>
      </c>
      <c r="AK409" s="192">
        <v>1.0648000000000002</v>
      </c>
      <c r="AL409" s="192">
        <v>1.0648000000000002</v>
      </c>
      <c r="AM409" s="192">
        <v>1.0648000000000002</v>
      </c>
      <c r="AN409" s="192">
        <v>1.0648000000000002</v>
      </c>
      <c r="AO409" s="192">
        <v>1.0648000000000002</v>
      </c>
    </row>
    <row r="410" spans="1:41" x14ac:dyDescent="0.35">
      <c r="A410" s="148" t="str">
        <f t="shared" si="273"/>
        <v>WACC_072</v>
      </c>
      <c r="B410" s="149" t="s">
        <v>117</v>
      </c>
      <c r="C410" s="150" t="s">
        <v>96</v>
      </c>
      <c r="D410" s="150" t="s">
        <v>81</v>
      </c>
      <c r="E410" s="63">
        <f>E403</f>
        <v>1.07</v>
      </c>
      <c r="F410" s="192">
        <v>1.0648000000000002</v>
      </c>
      <c r="G410" s="192">
        <v>1.0648000000000002</v>
      </c>
      <c r="H410" s="192">
        <v>1.0648000000000002</v>
      </c>
      <c r="I410" s="192">
        <v>1.0648000000000002</v>
      </c>
      <c r="J410" s="192">
        <v>1.0648000000000002</v>
      </c>
      <c r="K410" s="192">
        <v>1.0648000000000002</v>
      </c>
      <c r="L410" s="192">
        <v>1.0648000000000002</v>
      </c>
      <c r="M410" s="192">
        <v>1.0648000000000002</v>
      </c>
      <c r="N410" s="192">
        <v>1.0648000000000002</v>
      </c>
      <c r="O410" s="192">
        <v>1.0648000000000002</v>
      </c>
      <c r="P410" s="192">
        <v>1.0648000000000002</v>
      </c>
      <c r="Q410" s="192">
        <v>1.0648000000000002</v>
      </c>
      <c r="R410" s="192">
        <v>1.0648000000000002</v>
      </c>
      <c r="S410" s="192">
        <v>1.0648000000000002</v>
      </c>
      <c r="T410" s="192">
        <v>1.0648000000000002</v>
      </c>
      <c r="U410" s="192">
        <v>1.0648000000000002</v>
      </c>
      <c r="V410" s="192">
        <v>1.0648000000000002</v>
      </c>
      <c r="W410" s="192">
        <v>1.0648000000000002</v>
      </c>
      <c r="X410" s="192">
        <v>1.0648000000000002</v>
      </c>
      <c r="Y410" s="192">
        <v>1.0648000000000002</v>
      </c>
      <c r="Z410" s="192">
        <v>1.0648000000000002</v>
      </c>
      <c r="AA410" s="192">
        <v>1.0648000000000002</v>
      </c>
      <c r="AB410" s="192">
        <v>1.0648000000000002</v>
      </c>
      <c r="AC410" s="192">
        <v>1.0648000000000002</v>
      </c>
      <c r="AD410" s="192">
        <v>1.0648000000000002</v>
      </c>
      <c r="AE410" s="192">
        <v>1.0648000000000002</v>
      </c>
      <c r="AF410" s="192">
        <v>1.0648000000000002</v>
      </c>
      <c r="AG410" s="192">
        <v>1.0648000000000002</v>
      </c>
      <c r="AH410" s="192">
        <v>1.0648000000000002</v>
      </c>
      <c r="AI410" s="192">
        <v>1.0648000000000002</v>
      </c>
      <c r="AJ410" s="192">
        <v>1.0648000000000002</v>
      </c>
      <c r="AK410" s="192">
        <v>1.0648000000000002</v>
      </c>
      <c r="AL410" s="192">
        <v>1.0648000000000002</v>
      </c>
      <c r="AM410" s="192">
        <v>1.0648000000000002</v>
      </c>
      <c r="AN410" s="192">
        <v>1.0648000000000002</v>
      </c>
      <c r="AO410" s="192">
        <v>1.0648000000000002</v>
      </c>
    </row>
    <row r="411" spans="1:41" x14ac:dyDescent="0.35">
      <c r="A411" s="148" t="str">
        <f>A409</f>
        <v>WACC_072</v>
      </c>
      <c r="B411" s="151" t="s">
        <v>12</v>
      </c>
      <c r="C411" s="150" t="s">
        <v>96</v>
      </c>
      <c r="D411" s="152" t="s">
        <v>81</v>
      </c>
      <c r="E411" s="64">
        <v>1.03</v>
      </c>
      <c r="F411" s="192">
        <v>1.0262554624</v>
      </c>
      <c r="G411" s="192">
        <v>1.0262554624</v>
      </c>
      <c r="H411" s="192">
        <v>1.0262554624</v>
      </c>
      <c r="I411" s="192">
        <v>1.0262554624</v>
      </c>
      <c r="J411" s="192">
        <v>1.0262554624</v>
      </c>
      <c r="K411" s="192">
        <v>1.0262554624</v>
      </c>
      <c r="L411" s="192">
        <v>1.0262554624</v>
      </c>
      <c r="M411" s="192">
        <v>1.0262554624</v>
      </c>
      <c r="N411" s="192">
        <v>1.0262554624</v>
      </c>
      <c r="O411" s="192">
        <v>1.0262554624</v>
      </c>
      <c r="P411" s="192">
        <v>1.0262554624</v>
      </c>
      <c r="Q411" s="192">
        <v>1.0262554624</v>
      </c>
      <c r="R411" s="192">
        <v>1.0262554624</v>
      </c>
      <c r="S411" s="192">
        <v>1.0262554624</v>
      </c>
      <c r="T411" s="192">
        <v>1.0262554624</v>
      </c>
      <c r="U411" s="192">
        <v>1.0262554624</v>
      </c>
      <c r="V411" s="192">
        <v>1.0262554624</v>
      </c>
      <c r="W411" s="192">
        <v>1.0262554624</v>
      </c>
      <c r="X411" s="192">
        <v>1.0262554624</v>
      </c>
      <c r="Y411" s="192">
        <v>1.0262554624</v>
      </c>
      <c r="Z411" s="192">
        <v>1.0262554624</v>
      </c>
      <c r="AA411" s="192">
        <v>1.0262554624</v>
      </c>
      <c r="AB411" s="192">
        <v>1.0262554624</v>
      </c>
      <c r="AC411" s="192">
        <v>1.0262554624</v>
      </c>
      <c r="AD411" s="192">
        <v>1.0262554624</v>
      </c>
      <c r="AE411" s="192">
        <v>1.0262554624</v>
      </c>
      <c r="AF411" s="192">
        <v>1.0262554624</v>
      </c>
      <c r="AG411" s="192">
        <v>1.0262554624</v>
      </c>
      <c r="AH411" s="192">
        <v>1.0262554624</v>
      </c>
      <c r="AI411" s="192">
        <v>1.0262554624</v>
      </c>
      <c r="AJ411" s="192">
        <v>1.0262554624</v>
      </c>
      <c r="AK411" s="192">
        <v>1.0262554624</v>
      </c>
      <c r="AL411" s="192">
        <v>1.0262554624</v>
      </c>
      <c r="AM411" s="192">
        <v>1.0262554624</v>
      </c>
      <c r="AN411" s="192">
        <v>1.0262554624</v>
      </c>
      <c r="AO411" s="192">
        <v>1.0262554624</v>
      </c>
    </row>
    <row r="412" spans="1:41" x14ac:dyDescent="0.35">
      <c r="A412" s="148" t="str">
        <f t="shared" si="273"/>
        <v>WACC_072</v>
      </c>
      <c r="B412" s="149" t="s">
        <v>13</v>
      </c>
      <c r="C412" s="150" t="s">
        <v>96</v>
      </c>
      <c r="D412" s="150" t="s">
        <v>81</v>
      </c>
      <c r="E412" s="63">
        <v>1.03</v>
      </c>
      <c r="F412" s="192">
        <v>1.0262554624</v>
      </c>
      <c r="G412" s="192">
        <v>1.0262554624</v>
      </c>
      <c r="H412" s="192">
        <v>1.0262554624</v>
      </c>
      <c r="I412" s="192">
        <v>1.0262554624</v>
      </c>
      <c r="J412" s="192">
        <v>1.0262554624</v>
      </c>
      <c r="K412" s="192">
        <v>1.0262554624</v>
      </c>
      <c r="L412" s="192">
        <v>1.0262554624</v>
      </c>
      <c r="M412" s="192">
        <v>1.0262554624</v>
      </c>
      <c r="N412" s="192">
        <v>1.0262554624</v>
      </c>
      <c r="O412" s="192">
        <v>1.0262554624</v>
      </c>
      <c r="P412" s="192">
        <v>1.0262554624</v>
      </c>
      <c r="Q412" s="192">
        <v>1.0262554624</v>
      </c>
      <c r="R412" s="192">
        <v>1.0262554624</v>
      </c>
      <c r="S412" s="192">
        <v>1.0262554624</v>
      </c>
      <c r="T412" s="192">
        <v>1.0262554624</v>
      </c>
      <c r="U412" s="192">
        <v>1.0262554624</v>
      </c>
      <c r="V412" s="192">
        <v>1.0262554624</v>
      </c>
      <c r="W412" s="192">
        <v>1.0262554624</v>
      </c>
      <c r="X412" s="192">
        <v>1.0262554624</v>
      </c>
      <c r="Y412" s="192">
        <v>1.0262554624</v>
      </c>
      <c r="Z412" s="192">
        <v>1.0262554624</v>
      </c>
      <c r="AA412" s="192">
        <v>1.0262554624</v>
      </c>
      <c r="AB412" s="192">
        <v>1.0262554624</v>
      </c>
      <c r="AC412" s="192">
        <v>1.0262554624</v>
      </c>
      <c r="AD412" s="192">
        <v>1.0262554624</v>
      </c>
      <c r="AE412" s="192">
        <v>1.0262554624</v>
      </c>
      <c r="AF412" s="192">
        <v>1.0262554624</v>
      </c>
      <c r="AG412" s="192">
        <v>1.0262554624</v>
      </c>
      <c r="AH412" s="192">
        <v>1.0262554624</v>
      </c>
      <c r="AI412" s="192">
        <v>1.0262554624</v>
      </c>
      <c r="AJ412" s="192">
        <v>1.0262554624</v>
      </c>
      <c r="AK412" s="192">
        <v>1.0262554624</v>
      </c>
      <c r="AL412" s="192">
        <v>1.0262554624</v>
      </c>
      <c r="AM412" s="192">
        <v>1.0262554624</v>
      </c>
      <c r="AN412" s="192">
        <v>1.0262554624</v>
      </c>
      <c r="AO412" s="192">
        <v>1.0262554624</v>
      </c>
    </row>
    <row r="413" spans="1:41" x14ac:dyDescent="0.35">
      <c r="A413" s="148" t="str">
        <f t="shared" si="273"/>
        <v>WACC_072</v>
      </c>
      <c r="B413" s="151" t="s">
        <v>14</v>
      </c>
      <c r="C413" s="150" t="s">
        <v>96</v>
      </c>
      <c r="D413" s="152" t="s">
        <v>81</v>
      </c>
      <c r="E413" s="64">
        <v>1.03</v>
      </c>
      <c r="F413" s="192">
        <v>1.0262554624</v>
      </c>
      <c r="G413" s="192">
        <v>1.0262554624</v>
      </c>
      <c r="H413" s="192">
        <v>1.0262554624</v>
      </c>
      <c r="I413" s="192">
        <v>1.0262554624</v>
      </c>
      <c r="J413" s="192">
        <v>1.0262554624</v>
      </c>
      <c r="K413" s="192">
        <v>1.0262554624</v>
      </c>
      <c r="L413" s="192">
        <v>1.0262554624</v>
      </c>
      <c r="M413" s="192">
        <v>1.0262554624</v>
      </c>
      <c r="N413" s="192">
        <v>1.0262554624</v>
      </c>
      <c r="O413" s="192">
        <v>1.0262554624</v>
      </c>
      <c r="P413" s="192">
        <v>1.0262554624</v>
      </c>
      <c r="Q413" s="192">
        <v>1.0262554624</v>
      </c>
      <c r="R413" s="192">
        <v>1.0262554624</v>
      </c>
      <c r="S413" s="192">
        <v>1.0262554624</v>
      </c>
      <c r="T413" s="192">
        <v>1.0262554624</v>
      </c>
      <c r="U413" s="192">
        <v>1.0262554624</v>
      </c>
      <c r="V413" s="192">
        <v>1.0262554624</v>
      </c>
      <c r="W413" s="192">
        <v>1.0262554624</v>
      </c>
      <c r="X413" s="192">
        <v>1.0262554624</v>
      </c>
      <c r="Y413" s="192">
        <v>1.0262554624</v>
      </c>
      <c r="Z413" s="192">
        <v>1.0262554624</v>
      </c>
      <c r="AA413" s="192">
        <v>1.0262554624</v>
      </c>
      <c r="AB413" s="192">
        <v>1.0262554624</v>
      </c>
      <c r="AC413" s="192">
        <v>1.0262554624</v>
      </c>
      <c r="AD413" s="192">
        <v>1.0262554624</v>
      </c>
      <c r="AE413" s="192">
        <v>1.0262554624</v>
      </c>
      <c r="AF413" s="192">
        <v>1.0262554624</v>
      </c>
      <c r="AG413" s="192">
        <v>1.0262554624</v>
      </c>
      <c r="AH413" s="192">
        <v>1.0262554624</v>
      </c>
      <c r="AI413" s="192">
        <v>1.0262554624</v>
      </c>
      <c r="AJ413" s="192">
        <v>1.0262554624</v>
      </c>
      <c r="AK413" s="192">
        <v>1.0262554624</v>
      </c>
      <c r="AL413" s="192">
        <v>1.0262554624</v>
      </c>
      <c r="AM413" s="192">
        <v>1.0262554624</v>
      </c>
      <c r="AN413" s="192">
        <v>1.0262554624</v>
      </c>
      <c r="AO413" s="192">
        <v>1.0262554624</v>
      </c>
    </row>
    <row r="414" spans="1:41" x14ac:dyDescent="0.35">
      <c r="A414" s="148" t="str">
        <f t="shared" si="273"/>
        <v>WACC_072</v>
      </c>
      <c r="B414" s="149" t="s">
        <v>10</v>
      </c>
      <c r="C414" s="150" t="s">
        <v>96</v>
      </c>
      <c r="D414" s="150" t="s">
        <v>81</v>
      </c>
      <c r="E414" s="63">
        <v>1.01</v>
      </c>
      <c r="F414" s="192">
        <v>1.0072000000000001</v>
      </c>
      <c r="G414" s="192">
        <v>1.0072000000000001</v>
      </c>
      <c r="H414" s="192">
        <v>1.0072000000000001</v>
      </c>
      <c r="I414" s="192">
        <v>1.0072000000000001</v>
      </c>
      <c r="J414" s="192">
        <v>1.0072000000000001</v>
      </c>
      <c r="K414" s="192">
        <v>1.0072000000000001</v>
      </c>
      <c r="L414" s="192">
        <v>1.0072000000000001</v>
      </c>
      <c r="M414" s="192">
        <v>1.0072000000000001</v>
      </c>
      <c r="N414" s="192">
        <v>1.0072000000000001</v>
      </c>
      <c r="O414" s="192">
        <v>1.0072000000000001</v>
      </c>
      <c r="P414" s="192">
        <v>1.0072000000000001</v>
      </c>
      <c r="Q414" s="192">
        <v>1.0072000000000001</v>
      </c>
      <c r="R414" s="192">
        <v>1.0072000000000001</v>
      </c>
      <c r="S414" s="192">
        <v>1.0072000000000001</v>
      </c>
      <c r="T414" s="192">
        <v>1.0072000000000001</v>
      </c>
      <c r="U414" s="192">
        <v>1.0072000000000001</v>
      </c>
      <c r="V414" s="192">
        <v>1.0072000000000001</v>
      </c>
      <c r="W414" s="192">
        <v>1.0072000000000001</v>
      </c>
      <c r="X414" s="192">
        <v>1.0072000000000001</v>
      </c>
      <c r="Y414" s="192">
        <v>1.0072000000000001</v>
      </c>
      <c r="Z414" s="192">
        <v>1.0072000000000001</v>
      </c>
      <c r="AA414" s="192">
        <v>1.0072000000000001</v>
      </c>
      <c r="AB414" s="192">
        <v>1.0072000000000001</v>
      </c>
      <c r="AC414" s="192">
        <v>1.0072000000000001</v>
      </c>
      <c r="AD414" s="192">
        <v>1.0072000000000001</v>
      </c>
      <c r="AE414" s="192">
        <v>1.0072000000000001</v>
      </c>
      <c r="AF414" s="192">
        <v>1.0072000000000001</v>
      </c>
      <c r="AG414" s="192">
        <v>1.0072000000000001</v>
      </c>
      <c r="AH414" s="192">
        <v>1.0072000000000001</v>
      </c>
      <c r="AI414" s="192">
        <v>1.0072000000000001</v>
      </c>
      <c r="AJ414" s="192">
        <v>1.0072000000000001</v>
      </c>
      <c r="AK414" s="192">
        <v>1.0072000000000001</v>
      </c>
      <c r="AL414" s="192">
        <v>1.0072000000000001</v>
      </c>
      <c r="AM414" s="192">
        <v>1.0072000000000001</v>
      </c>
      <c r="AN414" s="192">
        <v>1.0072000000000001</v>
      </c>
      <c r="AO414" s="192">
        <v>1.0072000000000001</v>
      </c>
    </row>
    <row r="415" spans="1:41" x14ac:dyDescent="0.35">
      <c r="A415" s="148" t="str">
        <f t="shared" si="273"/>
        <v>WACC_072</v>
      </c>
      <c r="B415" s="151" t="s">
        <v>11</v>
      </c>
      <c r="C415" s="150" t="s">
        <v>96</v>
      </c>
      <c r="D415" s="152" t="s">
        <v>81</v>
      </c>
      <c r="E415" s="64">
        <v>1.01</v>
      </c>
      <c r="F415" s="192">
        <v>1.0072000000000001</v>
      </c>
      <c r="G415" s="192">
        <v>1.0072000000000001</v>
      </c>
      <c r="H415" s="192">
        <v>1.0072000000000001</v>
      </c>
      <c r="I415" s="192">
        <v>1.0072000000000001</v>
      </c>
      <c r="J415" s="192">
        <v>1.0072000000000001</v>
      </c>
      <c r="K415" s="192">
        <v>1.0072000000000001</v>
      </c>
      <c r="L415" s="192">
        <v>1.0072000000000001</v>
      </c>
      <c r="M415" s="192">
        <v>1.0072000000000001</v>
      </c>
      <c r="N415" s="192">
        <v>1.0072000000000001</v>
      </c>
      <c r="O415" s="192">
        <v>1.0072000000000001</v>
      </c>
      <c r="P415" s="192">
        <v>1.0072000000000001</v>
      </c>
      <c r="Q415" s="192">
        <v>1.0072000000000001</v>
      </c>
      <c r="R415" s="192">
        <v>1.0072000000000001</v>
      </c>
      <c r="S415" s="192">
        <v>1.0072000000000001</v>
      </c>
      <c r="T415" s="192">
        <v>1.0072000000000001</v>
      </c>
      <c r="U415" s="192">
        <v>1.0072000000000001</v>
      </c>
      <c r="V415" s="192">
        <v>1.0072000000000001</v>
      </c>
      <c r="W415" s="192">
        <v>1.0072000000000001</v>
      </c>
      <c r="X415" s="192">
        <v>1.0072000000000001</v>
      </c>
      <c r="Y415" s="192">
        <v>1.0072000000000001</v>
      </c>
      <c r="Z415" s="192">
        <v>1.0072000000000001</v>
      </c>
      <c r="AA415" s="192">
        <v>1.0072000000000001</v>
      </c>
      <c r="AB415" s="192">
        <v>1.0072000000000001</v>
      </c>
      <c r="AC415" s="192">
        <v>1.0072000000000001</v>
      </c>
      <c r="AD415" s="192">
        <v>1.0072000000000001</v>
      </c>
      <c r="AE415" s="192">
        <v>1.0072000000000001</v>
      </c>
      <c r="AF415" s="192">
        <v>1.0072000000000001</v>
      </c>
      <c r="AG415" s="192">
        <v>1.0072000000000001</v>
      </c>
      <c r="AH415" s="192">
        <v>1.0072000000000001</v>
      </c>
      <c r="AI415" s="192">
        <v>1.0072000000000001</v>
      </c>
      <c r="AJ415" s="192">
        <v>1.0072000000000001</v>
      </c>
      <c r="AK415" s="192">
        <v>1.0072000000000001</v>
      </c>
      <c r="AL415" s="192">
        <v>1.0072000000000001</v>
      </c>
      <c r="AM415" s="192">
        <v>1.0072000000000001</v>
      </c>
      <c r="AN415" s="192">
        <v>1.0072000000000001</v>
      </c>
      <c r="AO415" s="192">
        <v>1.0072000000000001</v>
      </c>
    </row>
    <row r="416" spans="1:41" x14ac:dyDescent="0.35">
      <c r="A416" s="148" t="str">
        <f t="shared" si="273"/>
        <v>WACC_072</v>
      </c>
      <c r="B416" s="149" t="s">
        <v>8</v>
      </c>
      <c r="C416" s="150" t="s">
        <v>96</v>
      </c>
      <c r="D416" s="150" t="s">
        <v>81</v>
      </c>
      <c r="E416" s="63">
        <v>1.01</v>
      </c>
      <c r="F416" s="192">
        <v>1.0072000000000001</v>
      </c>
      <c r="G416" s="192">
        <v>1.0072000000000001</v>
      </c>
      <c r="H416" s="192">
        <v>1.0072000000000001</v>
      </c>
      <c r="I416" s="192">
        <v>1.0072000000000001</v>
      </c>
      <c r="J416" s="192">
        <v>1.0072000000000001</v>
      </c>
      <c r="K416" s="192">
        <v>1.0072000000000001</v>
      </c>
      <c r="L416" s="192">
        <v>1.0072000000000001</v>
      </c>
      <c r="M416" s="192">
        <v>1.0072000000000001</v>
      </c>
      <c r="N416" s="192">
        <v>1.0072000000000001</v>
      </c>
      <c r="O416" s="192">
        <v>1.0072000000000001</v>
      </c>
      <c r="P416" s="192">
        <v>1.0072000000000001</v>
      </c>
      <c r="Q416" s="192">
        <v>1.0072000000000001</v>
      </c>
      <c r="R416" s="192">
        <v>1.0072000000000001</v>
      </c>
      <c r="S416" s="192">
        <v>1.0072000000000001</v>
      </c>
      <c r="T416" s="192">
        <v>1.0072000000000001</v>
      </c>
      <c r="U416" s="192">
        <v>1.0072000000000001</v>
      </c>
      <c r="V416" s="192">
        <v>1.0072000000000001</v>
      </c>
      <c r="W416" s="192">
        <v>1.0072000000000001</v>
      </c>
      <c r="X416" s="192">
        <v>1.0072000000000001</v>
      </c>
      <c r="Y416" s="192">
        <v>1.0072000000000001</v>
      </c>
      <c r="Z416" s="192">
        <v>1.0072000000000001</v>
      </c>
      <c r="AA416" s="192">
        <v>1.0072000000000001</v>
      </c>
      <c r="AB416" s="192">
        <v>1.0072000000000001</v>
      </c>
      <c r="AC416" s="192">
        <v>1.0072000000000001</v>
      </c>
      <c r="AD416" s="192">
        <v>1.0072000000000001</v>
      </c>
      <c r="AE416" s="192">
        <v>1.0072000000000001</v>
      </c>
      <c r="AF416" s="192">
        <v>1.0072000000000001</v>
      </c>
      <c r="AG416" s="192">
        <v>1.0072000000000001</v>
      </c>
      <c r="AH416" s="192">
        <v>1.0072000000000001</v>
      </c>
      <c r="AI416" s="192">
        <v>1.0072000000000001</v>
      </c>
      <c r="AJ416" s="192">
        <v>1.0072000000000001</v>
      </c>
      <c r="AK416" s="192">
        <v>1.0072000000000001</v>
      </c>
      <c r="AL416" s="192">
        <v>1.0072000000000001</v>
      </c>
      <c r="AM416" s="192">
        <v>1.0072000000000001</v>
      </c>
      <c r="AN416" s="192">
        <v>1.0072000000000001</v>
      </c>
      <c r="AO416" s="192">
        <v>1.0072000000000001</v>
      </c>
    </row>
    <row r="417" spans="1:41" x14ac:dyDescent="0.35">
      <c r="A417" s="148" t="str">
        <f t="shared" si="273"/>
        <v>WACC_072</v>
      </c>
      <c r="B417" s="151" t="s">
        <v>28</v>
      </c>
      <c r="C417" s="150" t="s">
        <v>96</v>
      </c>
      <c r="D417" s="152" t="s">
        <v>81</v>
      </c>
      <c r="E417" s="64">
        <v>1.25</v>
      </c>
      <c r="F417" s="192">
        <v>1.2140036927932225</v>
      </c>
      <c r="G417" s="192">
        <v>1.2140036927932225</v>
      </c>
      <c r="H417" s="192">
        <v>1.2140036927932225</v>
      </c>
      <c r="I417" s="192">
        <v>1.2140036927932225</v>
      </c>
      <c r="J417" s="192">
        <v>1.2140036927932225</v>
      </c>
      <c r="K417" s="192">
        <v>1.2140036927932225</v>
      </c>
      <c r="L417" s="192">
        <v>1.2140036927932225</v>
      </c>
      <c r="M417" s="192">
        <v>1.2140036927932225</v>
      </c>
      <c r="N417" s="192">
        <v>1.2140036927932225</v>
      </c>
      <c r="O417" s="192">
        <v>1.2140036927932225</v>
      </c>
      <c r="P417" s="192">
        <v>1.2140036927932225</v>
      </c>
      <c r="Q417" s="192">
        <v>1.2140036927932225</v>
      </c>
      <c r="R417" s="192">
        <v>1.2140036927932225</v>
      </c>
      <c r="S417" s="192">
        <v>1.2140036927932225</v>
      </c>
      <c r="T417" s="192">
        <v>1.2140036927932225</v>
      </c>
      <c r="U417" s="192">
        <v>1.2140036927932225</v>
      </c>
      <c r="V417" s="192">
        <v>1.2140036927932225</v>
      </c>
      <c r="W417" s="192">
        <v>1.2140036927932225</v>
      </c>
      <c r="X417" s="192">
        <v>1.2140036927932225</v>
      </c>
      <c r="Y417" s="192">
        <v>1.2140036927932225</v>
      </c>
      <c r="Z417" s="192">
        <v>1.2140036927932225</v>
      </c>
      <c r="AA417" s="192">
        <v>1.2140036927932225</v>
      </c>
      <c r="AB417" s="192">
        <v>1.2140036927932225</v>
      </c>
      <c r="AC417" s="192">
        <v>1.2140036927932225</v>
      </c>
      <c r="AD417" s="192">
        <v>1.2140036927932225</v>
      </c>
      <c r="AE417" s="192">
        <v>1.2140036927932225</v>
      </c>
      <c r="AF417" s="192">
        <v>1.2140036927932225</v>
      </c>
      <c r="AG417" s="192">
        <v>1.2140036927932225</v>
      </c>
      <c r="AH417" s="192">
        <v>1.2140036927932225</v>
      </c>
      <c r="AI417" s="192">
        <v>1.2140036927932225</v>
      </c>
      <c r="AJ417" s="192">
        <v>1.2140036927932225</v>
      </c>
      <c r="AK417" s="192">
        <v>1.2140036927932225</v>
      </c>
      <c r="AL417" s="192">
        <v>1.2140036927932225</v>
      </c>
      <c r="AM417" s="192">
        <v>1.2140036927932225</v>
      </c>
      <c r="AN417" s="192">
        <v>1.2140036927932225</v>
      </c>
      <c r="AO417" s="192">
        <v>1.2140036927932225</v>
      </c>
    </row>
    <row r="418" spans="1:41" x14ac:dyDescent="0.35">
      <c r="A418" s="141" t="s">
        <v>114</v>
      </c>
      <c r="B418" s="144" t="s">
        <v>15</v>
      </c>
      <c r="C418" s="145" t="s">
        <v>96</v>
      </c>
      <c r="D418" s="145" t="s">
        <v>81</v>
      </c>
      <c r="E418" s="65">
        <v>1.0983904000000002</v>
      </c>
      <c r="F418" s="167">
        <v>1.0983904000000002</v>
      </c>
      <c r="G418" s="167">
        <v>1.0983904000000002</v>
      </c>
      <c r="H418" s="167">
        <v>1.0983904000000002</v>
      </c>
      <c r="I418" s="167">
        <v>1.0983904000000002</v>
      </c>
      <c r="J418" s="167">
        <v>1.0983904000000002</v>
      </c>
      <c r="K418" s="167">
        <v>1.0983904000000002</v>
      </c>
      <c r="L418" s="167">
        <v>1.0983904000000002</v>
      </c>
      <c r="M418" s="167">
        <v>1.0983904000000002</v>
      </c>
      <c r="N418" s="167">
        <v>1.0983904000000002</v>
      </c>
      <c r="O418" s="167">
        <v>1.0983904000000002</v>
      </c>
      <c r="P418" s="167">
        <v>1.0983904000000002</v>
      </c>
      <c r="Q418" s="167">
        <v>1.0983904000000002</v>
      </c>
      <c r="R418" s="167">
        <v>1.0983904000000002</v>
      </c>
      <c r="S418" s="167">
        <v>1.0983904000000002</v>
      </c>
      <c r="T418" s="167">
        <v>1.0983904000000002</v>
      </c>
      <c r="U418" s="167">
        <v>1.0983904000000002</v>
      </c>
      <c r="V418" s="167">
        <v>1.0983904000000002</v>
      </c>
      <c r="W418" s="167">
        <v>1.0983904000000002</v>
      </c>
      <c r="X418" s="167">
        <v>1.0983904000000002</v>
      </c>
      <c r="Y418" s="167">
        <v>1.0983904000000002</v>
      </c>
      <c r="Z418" s="167">
        <v>1.0983904000000002</v>
      </c>
      <c r="AA418" s="167">
        <v>1.0983904000000002</v>
      </c>
      <c r="AB418" s="167">
        <v>1.0983904000000002</v>
      </c>
      <c r="AC418" s="167">
        <v>1.0983904000000002</v>
      </c>
      <c r="AD418" s="167">
        <v>1.0983904000000002</v>
      </c>
      <c r="AE418" s="167">
        <v>1.0983904000000002</v>
      </c>
      <c r="AF418" s="167">
        <v>1.0983904000000002</v>
      </c>
      <c r="AG418" s="167">
        <v>1.0983904000000002</v>
      </c>
      <c r="AH418" s="167">
        <v>1.0983904000000002</v>
      </c>
      <c r="AI418" s="167">
        <v>1.0983904000000002</v>
      </c>
      <c r="AJ418" s="167">
        <v>1.0983904000000002</v>
      </c>
      <c r="AK418" s="167">
        <v>1.0983904000000002</v>
      </c>
      <c r="AL418" s="167">
        <v>1.0983904000000002</v>
      </c>
      <c r="AM418" s="167">
        <v>1.0983904000000002</v>
      </c>
      <c r="AN418" s="167">
        <v>1.0983904000000002</v>
      </c>
      <c r="AO418" s="167">
        <v>1.0983904000000002</v>
      </c>
    </row>
    <row r="419" spans="1:41" x14ac:dyDescent="0.35">
      <c r="A419" s="141" t="str">
        <f t="shared" ref="A419:A436" si="279">A418</f>
        <v>WACC_074</v>
      </c>
      <c r="B419" s="142" t="s">
        <v>25</v>
      </c>
      <c r="C419" s="145" t="s">
        <v>96</v>
      </c>
      <c r="D419" s="143" t="s">
        <v>81</v>
      </c>
      <c r="E419" s="66">
        <v>1.076056264792044</v>
      </c>
      <c r="F419" s="167">
        <v>1.076056264792044</v>
      </c>
      <c r="G419" s="167">
        <v>1.076056264792044</v>
      </c>
      <c r="H419" s="167">
        <v>1.076056264792044</v>
      </c>
      <c r="I419" s="167">
        <v>1.076056264792044</v>
      </c>
      <c r="J419" s="167">
        <v>1.076056264792044</v>
      </c>
      <c r="K419" s="167">
        <v>1.076056264792044</v>
      </c>
      <c r="L419" s="167">
        <v>1.076056264792044</v>
      </c>
      <c r="M419" s="167">
        <v>1.076056264792044</v>
      </c>
      <c r="N419" s="167">
        <v>1.076056264792044</v>
      </c>
      <c r="O419" s="167">
        <v>1.076056264792044</v>
      </c>
      <c r="P419" s="167">
        <v>1.076056264792044</v>
      </c>
      <c r="Q419" s="167">
        <v>1.076056264792044</v>
      </c>
      <c r="R419" s="167">
        <v>1.076056264792044</v>
      </c>
      <c r="S419" s="167">
        <v>1.076056264792044</v>
      </c>
      <c r="T419" s="167">
        <v>1.076056264792044</v>
      </c>
      <c r="U419" s="167">
        <v>1.076056264792044</v>
      </c>
      <c r="V419" s="167">
        <v>1.076056264792044</v>
      </c>
      <c r="W419" s="167">
        <v>1.076056264792044</v>
      </c>
      <c r="X419" s="167">
        <v>1.076056264792044</v>
      </c>
      <c r="Y419" s="167">
        <v>1.076056264792044</v>
      </c>
      <c r="Z419" s="167">
        <v>1.076056264792044</v>
      </c>
      <c r="AA419" s="167">
        <v>1.076056264792044</v>
      </c>
      <c r="AB419" s="167">
        <v>1.076056264792044</v>
      </c>
      <c r="AC419" s="167">
        <v>1.076056264792044</v>
      </c>
      <c r="AD419" s="167">
        <v>1.076056264792044</v>
      </c>
      <c r="AE419" s="167">
        <v>1.076056264792044</v>
      </c>
      <c r="AF419" s="167">
        <v>1.076056264792044</v>
      </c>
      <c r="AG419" s="167">
        <v>1.076056264792044</v>
      </c>
      <c r="AH419" s="167">
        <v>1.076056264792044</v>
      </c>
      <c r="AI419" s="167">
        <v>1.076056264792044</v>
      </c>
      <c r="AJ419" s="167">
        <v>1.076056264792044</v>
      </c>
      <c r="AK419" s="167">
        <v>1.076056264792044</v>
      </c>
      <c r="AL419" s="167">
        <v>1.076056264792044</v>
      </c>
      <c r="AM419" s="167">
        <v>1.076056264792044</v>
      </c>
      <c r="AN419" s="167">
        <v>1.076056264792044</v>
      </c>
      <c r="AO419" s="167">
        <v>1.076056264792044</v>
      </c>
    </row>
    <row r="420" spans="1:41" x14ac:dyDescent="0.35">
      <c r="A420" s="141" t="str">
        <f t="shared" si="279"/>
        <v>WACC_074</v>
      </c>
      <c r="B420" s="144" t="s">
        <v>26</v>
      </c>
      <c r="C420" s="145" t="s">
        <v>96</v>
      </c>
      <c r="D420" s="145" t="s">
        <v>81</v>
      </c>
      <c r="E420" s="65">
        <v>1.219397997169394</v>
      </c>
      <c r="F420" s="167">
        <v>1.219397997169394</v>
      </c>
      <c r="G420" s="167">
        <v>1.219397997169394</v>
      </c>
      <c r="H420" s="167">
        <v>1.219397997169394</v>
      </c>
      <c r="I420" s="167">
        <v>1.219397997169394</v>
      </c>
      <c r="J420" s="167">
        <v>1.219397997169394</v>
      </c>
      <c r="K420" s="167">
        <v>1.219397997169394</v>
      </c>
      <c r="L420" s="167">
        <v>1.219397997169394</v>
      </c>
      <c r="M420" s="167">
        <v>1.219397997169394</v>
      </c>
      <c r="N420" s="167">
        <v>1.219397997169394</v>
      </c>
      <c r="O420" s="167">
        <v>1.219397997169394</v>
      </c>
      <c r="P420" s="167">
        <v>1.219397997169394</v>
      </c>
      <c r="Q420" s="167">
        <v>1.219397997169394</v>
      </c>
      <c r="R420" s="167">
        <v>1.219397997169394</v>
      </c>
      <c r="S420" s="167">
        <v>1.219397997169394</v>
      </c>
      <c r="T420" s="167">
        <v>1.219397997169394</v>
      </c>
      <c r="U420" s="167">
        <v>1.219397997169394</v>
      </c>
      <c r="V420" s="167">
        <v>1.219397997169394</v>
      </c>
      <c r="W420" s="167">
        <v>1.219397997169394</v>
      </c>
      <c r="X420" s="167">
        <v>1.219397997169394</v>
      </c>
      <c r="Y420" s="167">
        <v>1.219397997169394</v>
      </c>
      <c r="Z420" s="167">
        <v>1.219397997169394</v>
      </c>
      <c r="AA420" s="167">
        <v>1.219397997169394</v>
      </c>
      <c r="AB420" s="167">
        <v>1.219397997169394</v>
      </c>
      <c r="AC420" s="167">
        <v>1.219397997169394</v>
      </c>
      <c r="AD420" s="167">
        <v>1.219397997169394</v>
      </c>
      <c r="AE420" s="167">
        <v>1.219397997169394</v>
      </c>
      <c r="AF420" s="167">
        <v>1.219397997169394</v>
      </c>
      <c r="AG420" s="167">
        <v>1.219397997169394</v>
      </c>
      <c r="AH420" s="167">
        <v>1.219397997169394</v>
      </c>
      <c r="AI420" s="167">
        <v>1.219397997169394</v>
      </c>
      <c r="AJ420" s="167">
        <v>1.219397997169394</v>
      </c>
      <c r="AK420" s="167">
        <v>1.219397997169394</v>
      </c>
      <c r="AL420" s="167">
        <v>1.219397997169394</v>
      </c>
      <c r="AM420" s="167">
        <v>1.219397997169394</v>
      </c>
      <c r="AN420" s="167">
        <v>1.219397997169394</v>
      </c>
      <c r="AO420" s="167">
        <v>1.219397997169394</v>
      </c>
    </row>
    <row r="421" spans="1:41" x14ac:dyDescent="0.35">
      <c r="A421" s="141" t="str">
        <f t="shared" si="279"/>
        <v>WACC_074</v>
      </c>
      <c r="B421" s="142" t="s">
        <v>23</v>
      </c>
      <c r="C421" s="145" t="s">
        <v>96</v>
      </c>
      <c r="D421" s="143" t="s">
        <v>81</v>
      </c>
      <c r="E421" s="66">
        <v>1.0666000000000002</v>
      </c>
      <c r="F421" s="167">
        <v>1.0666000000000002</v>
      </c>
      <c r="G421" s="167">
        <v>1.0666000000000002</v>
      </c>
      <c r="H421" s="167">
        <v>1.0666000000000002</v>
      </c>
      <c r="I421" s="167">
        <v>1.0666000000000002</v>
      </c>
      <c r="J421" s="167">
        <v>1.0666000000000002</v>
      </c>
      <c r="K421" s="167">
        <v>1.0666000000000002</v>
      </c>
      <c r="L421" s="167">
        <v>1.0666000000000002</v>
      </c>
      <c r="M421" s="167">
        <v>1.0666000000000002</v>
      </c>
      <c r="N421" s="167">
        <v>1.0666000000000002</v>
      </c>
      <c r="O421" s="167">
        <v>1.0666000000000002</v>
      </c>
      <c r="P421" s="167">
        <v>1.0666000000000002</v>
      </c>
      <c r="Q421" s="167">
        <v>1.0666000000000002</v>
      </c>
      <c r="R421" s="167">
        <v>1.0666000000000002</v>
      </c>
      <c r="S421" s="167">
        <v>1.0666000000000002</v>
      </c>
      <c r="T421" s="167">
        <v>1.0666000000000002</v>
      </c>
      <c r="U421" s="167">
        <v>1.0666000000000002</v>
      </c>
      <c r="V421" s="167">
        <v>1.0666000000000002</v>
      </c>
      <c r="W421" s="167">
        <v>1.0666000000000002</v>
      </c>
      <c r="X421" s="167">
        <v>1.0666000000000002</v>
      </c>
      <c r="Y421" s="167">
        <v>1.0666000000000002</v>
      </c>
      <c r="Z421" s="167">
        <v>1.0666000000000002</v>
      </c>
      <c r="AA421" s="167">
        <v>1.0666000000000002</v>
      </c>
      <c r="AB421" s="167">
        <v>1.0666000000000002</v>
      </c>
      <c r="AC421" s="167">
        <v>1.0666000000000002</v>
      </c>
      <c r="AD421" s="167">
        <v>1.0666000000000002</v>
      </c>
      <c r="AE421" s="167">
        <v>1.0666000000000002</v>
      </c>
      <c r="AF421" s="167">
        <v>1.0666000000000002</v>
      </c>
      <c r="AG421" s="167">
        <v>1.0666000000000002</v>
      </c>
      <c r="AH421" s="167">
        <v>1.0666000000000002</v>
      </c>
      <c r="AI421" s="167">
        <v>1.0666000000000002</v>
      </c>
      <c r="AJ421" s="167">
        <v>1.0666000000000002</v>
      </c>
      <c r="AK421" s="167">
        <v>1.0666000000000002</v>
      </c>
      <c r="AL421" s="167">
        <v>1.0666000000000002</v>
      </c>
      <c r="AM421" s="167">
        <v>1.0666000000000002</v>
      </c>
      <c r="AN421" s="167">
        <v>1.0666000000000002</v>
      </c>
      <c r="AO421" s="167">
        <v>1.0666000000000002</v>
      </c>
    </row>
    <row r="422" spans="1:41" x14ac:dyDescent="0.35">
      <c r="A422" s="141" t="str">
        <f t="shared" si="279"/>
        <v>WACC_074</v>
      </c>
      <c r="B422" s="144" t="s">
        <v>24</v>
      </c>
      <c r="C422" s="145" t="s">
        <v>96</v>
      </c>
      <c r="D422" s="145" t="s">
        <v>81</v>
      </c>
      <c r="E422" s="66">
        <v>1.0666000000000002</v>
      </c>
      <c r="F422" s="167">
        <v>1.0666000000000002</v>
      </c>
      <c r="G422" s="167">
        <v>1.0666000000000002</v>
      </c>
      <c r="H422" s="167">
        <v>1.0666000000000002</v>
      </c>
      <c r="I422" s="167">
        <v>1.0666000000000002</v>
      </c>
      <c r="J422" s="167">
        <v>1.0666000000000002</v>
      </c>
      <c r="K422" s="167">
        <v>1.0666000000000002</v>
      </c>
      <c r="L422" s="167">
        <v>1.0666000000000002</v>
      </c>
      <c r="M422" s="167">
        <v>1.0666000000000002</v>
      </c>
      <c r="N422" s="167">
        <v>1.0666000000000002</v>
      </c>
      <c r="O422" s="167">
        <v>1.0666000000000002</v>
      </c>
      <c r="P422" s="167">
        <v>1.0666000000000002</v>
      </c>
      <c r="Q422" s="167">
        <v>1.0666000000000002</v>
      </c>
      <c r="R422" s="167">
        <v>1.0666000000000002</v>
      </c>
      <c r="S422" s="167">
        <v>1.0666000000000002</v>
      </c>
      <c r="T422" s="167">
        <v>1.0666000000000002</v>
      </c>
      <c r="U422" s="167">
        <v>1.0666000000000002</v>
      </c>
      <c r="V422" s="167">
        <v>1.0666000000000002</v>
      </c>
      <c r="W422" s="167">
        <v>1.0666000000000002</v>
      </c>
      <c r="X422" s="167">
        <v>1.0666000000000002</v>
      </c>
      <c r="Y422" s="167">
        <v>1.0666000000000002</v>
      </c>
      <c r="Z422" s="167">
        <v>1.0666000000000002</v>
      </c>
      <c r="AA422" s="167">
        <v>1.0666000000000002</v>
      </c>
      <c r="AB422" s="167">
        <v>1.0666000000000002</v>
      </c>
      <c r="AC422" s="167">
        <v>1.0666000000000002</v>
      </c>
      <c r="AD422" s="167">
        <v>1.0666000000000002</v>
      </c>
      <c r="AE422" s="167">
        <v>1.0666000000000002</v>
      </c>
      <c r="AF422" s="167">
        <v>1.0666000000000002</v>
      </c>
      <c r="AG422" s="167">
        <v>1.0666000000000002</v>
      </c>
      <c r="AH422" s="167">
        <v>1.0666000000000002</v>
      </c>
      <c r="AI422" s="167">
        <v>1.0666000000000002</v>
      </c>
      <c r="AJ422" s="167">
        <v>1.0666000000000002</v>
      </c>
      <c r="AK422" s="167">
        <v>1.0666000000000002</v>
      </c>
      <c r="AL422" s="167">
        <v>1.0666000000000002</v>
      </c>
      <c r="AM422" s="167">
        <v>1.0666000000000002</v>
      </c>
      <c r="AN422" s="167">
        <v>1.0666000000000002</v>
      </c>
      <c r="AO422" s="167">
        <v>1.0666000000000002</v>
      </c>
    </row>
    <row r="423" spans="1:41" x14ac:dyDescent="0.35">
      <c r="A423" s="141" t="str">
        <f t="shared" si="279"/>
        <v>WACC_074</v>
      </c>
      <c r="B423" s="142" t="s">
        <v>17</v>
      </c>
      <c r="C423" s="145" t="s">
        <v>96</v>
      </c>
      <c r="D423" s="143" t="s">
        <v>81</v>
      </c>
      <c r="E423" s="66">
        <v>1.0666000000000002</v>
      </c>
      <c r="F423" s="167">
        <v>1.0666000000000002</v>
      </c>
      <c r="G423" s="167">
        <v>1.0666000000000002</v>
      </c>
      <c r="H423" s="167">
        <v>1.0666000000000002</v>
      </c>
      <c r="I423" s="167">
        <v>1.0666000000000002</v>
      </c>
      <c r="J423" s="167">
        <v>1.0666000000000002</v>
      </c>
      <c r="K423" s="167">
        <v>1.0666000000000002</v>
      </c>
      <c r="L423" s="167">
        <v>1.0666000000000002</v>
      </c>
      <c r="M423" s="167">
        <v>1.0666000000000002</v>
      </c>
      <c r="N423" s="167">
        <v>1.0666000000000002</v>
      </c>
      <c r="O423" s="167">
        <v>1.0666000000000002</v>
      </c>
      <c r="P423" s="167">
        <v>1.0666000000000002</v>
      </c>
      <c r="Q423" s="167">
        <v>1.0666000000000002</v>
      </c>
      <c r="R423" s="167">
        <v>1.0666000000000002</v>
      </c>
      <c r="S423" s="167">
        <v>1.0666000000000002</v>
      </c>
      <c r="T423" s="167">
        <v>1.0666000000000002</v>
      </c>
      <c r="U423" s="167">
        <v>1.0666000000000002</v>
      </c>
      <c r="V423" s="167">
        <v>1.0666000000000002</v>
      </c>
      <c r="W423" s="167">
        <v>1.0666000000000002</v>
      </c>
      <c r="X423" s="167">
        <v>1.0666000000000002</v>
      </c>
      <c r="Y423" s="167">
        <v>1.0666000000000002</v>
      </c>
      <c r="Z423" s="167">
        <v>1.0666000000000002</v>
      </c>
      <c r="AA423" s="167">
        <v>1.0666000000000002</v>
      </c>
      <c r="AB423" s="167">
        <v>1.0666000000000002</v>
      </c>
      <c r="AC423" s="167">
        <v>1.0666000000000002</v>
      </c>
      <c r="AD423" s="167">
        <v>1.0666000000000002</v>
      </c>
      <c r="AE423" s="167">
        <v>1.0666000000000002</v>
      </c>
      <c r="AF423" s="167">
        <v>1.0666000000000002</v>
      </c>
      <c r="AG423" s="167">
        <v>1.0666000000000002</v>
      </c>
      <c r="AH423" s="167">
        <v>1.0666000000000002</v>
      </c>
      <c r="AI423" s="167">
        <v>1.0666000000000002</v>
      </c>
      <c r="AJ423" s="167">
        <v>1.0666000000000002</v>
      </c>
      <c r="AK423" s="167">
        <v>1.0666000000000002</v>
      </c>
      <c r="AL423" s="167">
        <v>1.0666000000000002</v>
      </c>
      <c r="AM423" s="167">
        <v>1.0666000000000002</v>
      </c>
      <c r="AN423" s="167">
        <v>1.0666000000000002</v>
      </c>
      <c r="AO423" s="167">
        <v>1.0666000000000002</v>
      </c>
    </row>
    <row r="424" spans="1:41" x14ac:dyDescent="0.35">
      <c r="A424" s="141" t="str">
        <f t="shared" si="279"/>
        <v>WACC_074</v>
      </c>
      <c r="B424" s="144" t="s">
        <v>18</v>
      </c>
      <c r="C424" s="145" t="s">
        <v>96</v>
      </c>
      <c r="D424" s="145" t="s">
        <v>81</v>
      </c>
      <c r="E424" s="66">
        <v>1.0666000000000002</v>
      </c>
      <c r="F424" s="167">
        <v>1.0666000000000002</v>
      </c>
      <c r="G424" s="167">
        <v>1.0666000000000002</v>
      </c>
      <c r="H424" s="167">
        <v>1.0666000000000002</v>
      </c>
      <c r="I424" s="167">
        <v>1.0666000000000002</v>
      </c>
      <c r="J424" s="167">
        <v>1.0666000000000002</v>
      </c>
      <c r="K424" s="167">
        <v>1.0666000000000002</v>
      </c>
      <c r="L424" s="167">
        <v>1.0666000000000002</v>
      </c>
      <c r="M424" s="167">
        <v>1.0666000000000002</v>
      </c>
      <c r="N424" s="167">
        <v>1.0666000000000002</v>
      </c>
      <c r="O424" s="167">
        <v>1.0666000000000002</v>
      </c>
      <c r="P424" s="167">
        <v>1.0666000000000002</v>
      </c>
      <c r="Q424" s="167">
        <v>1.0666000000000002</v>
      </c>
      <c r="R424" s="167">
        <v>1.0666000000000002</v>
      </c>
      <c r="S424" s="167">
        <v>1.0666000000000002</v>
      </c>
      <c r="T424" s="167">
        <v>1.0666000000000002</v>
      </c>
      <c r="U424" s="167">
        <v>1.0666000000000002</v>
      </c>
      <c r="V424" s="167">
        <v>1.0666000000000002</v>
      </c>
      <c r="W424" s="167">
        <v>1.0666000000000002</v>
      </c>
      <c r="X424" s="167">
        <v>1.0666000000000002</v>
      </c>
      <c r="Y424" s="167">
        <v>1.0666000000000002</v>
      </c>
      <c r="Z424" s="167">
        <v>1.0666000000000002</v>
      </c>
      <c r="AA424" s="167">
        <v>1.0666000000000002</v>
      </c>
      <c r="AB424" s="167">
        <v>1.0666000000000002</v>
      </c>
      <c r="AC424" s="167">
        <v>1.0666000000000002</v>
      </c>
      <c r="AD424" s="167">
        <v>1.0666000000000002</v>
      </c>
      <c r="AE424" s="167">
        <v>1.0666000000000002</v>
      </c>
      <c r="AF424" s="167">
        <v>1.0666000000000002</v>
      </c>
      <c r="AG424" s="167">
        <v>1.0666000000000002</v>
      </c>
      <c r="AH424" s="167">
        <v>1.0666000000000002</v>
      </c>
      <c r="AI424" s="167">
        <v>1.0666000000000002</v>
      </c>
      <c r="AJ424" s="167">
        <v>1.0666000000000002</v>
      </c>
      <c r="AK424" s="167">
        <v>1.0666000000000002</v>
      </c>
      <c r="AL424" s="167">
        <v>1.0666000000000002</v>
      </c>
      <c r="AM424" s="167">
        <v>1.0666000000000002</v>
      </c>
      <c r="AN424" s="167">
        <v>1.0666000000000002</v>
      </c>
      <c r="AO424" s="167">
        <v>1.0666000000000002</v>
      </c>
    </row>
    <row r="425" spans="1:41" x14ac:dyDescent="0.35">
      <c r="A425" s="141" t="str">
        <f t="shared" si="279"/>
        <v>WACC_074</v>
      </c>
      <c r="B425" s="142" t="s">
        <v>19</v>
      </c>
      <c r="C425" s="145" t="s">
        <v>96</v>
      </c>
      <c r="D425" s="143" t="s">
        <v>81</v>
      </c>
      <c r="E425" s="66">
        <v>1.0666000000000002</v>
      </c>
      <c r="F425" s="167">
        <v>1.0666000000000002</v>
      </c>
      <c r="G425" s="167">
        <v>1.0666000000000002</v>
      </c>
      <c r="H425" s="167">
        <v>1.0666000000000002</v>
      </c>
      <c r="I425" s="167">
        <v>1.0666000000000002</v>
      </c>
      <c r="J425" s="167">
        <v>1.0666000000000002</v>
      </c>
      <c r="K425" s="167">
        <v>1.0666000000000002</v>
      </c>
      <c r="L425" s="167">
        <v>1.0666000000000002</v>
      </c>
      <c r="M425" s="167">
        <v>1.0666000000000002</v>
      </c>
      <c r="N425" s="167">
        <v>1.0666000000000002</v>
      </c>
      <c r="O425" s="167">
        <v>1.0666000000000002</v>
      </c>
      <c r="P425" s="167">
        <v>1.0666000000000002</v>
      </c>
      <c r="Q425" s="167">
        <v>1.0666000000000002</v>
      </c>
      <c r="R425" s="167">
        <v>1.0666000000000002</v>
      </c>
      <c r="S425" s="167">
        <v>1.0666000000000002</v>
      </c>
      <c r="T425" s="167">
        <v>1.0666000000000002</v>
      </c>
      <c r="U425" s="167">
        <v>1.0666000000000002</v>
      </c>
      <c r="V425" s="167">
        <v>1.0666000000000002</v>
      </c>
      <c r="W425" s="167">
        <v>1.0666000000000002</v>
      </c>
      <c r="X425" s="167">
        <v>1.0666000000000002</v>
      </c>
      <c r="Y425" s="167">
        <v>1.0666000000000002</v>
      </c>
      <c r="Z425" s="167">
        <v>1.0666000000000002</v>
      </c>
      <c r="AA425" s="167">
        <v>1.0666000000000002</v>
      </c>
      <c r="AB425" s="167">
        <v>1.0666000000000002</v>
      </c>
      <c r="AC425" s="167">
        <v>1.0666000000000002</v>
      </c>
      <c r="AD425" s="167">
        <v>1.0666000000000002</v>
      </c>
      <c r="AE425" s="167">
        <v>1.0666000000000002</v>
      </c>
      <c r="AF425" s="167">
        <v>1.0666000000000002</v>
      </c>
      <c r="AG425" s="167">
        <v>1.0666000000000002</v>
      </c>
      <c r="AH425" s="167">
        <v>1.0666000000000002</v>
      </c>
      <c r="AI425" s="167">
        <v>1.0666000000000002</v>
      </c>
      <c r="AJ425" s="167">
        <v>1.0666000000000002</v>
      </c>
      <c r="AK425" s="167">
        <v>1.0666000000000002</v>
      </c>
      <c r="AL425" s="167">
        <v>1.0666000000000002</v>
      </c>
      <c r="AM425" s="167">
        <v>1.0666000000000002</v>
      </c>
      <c r="AN425" s="167">
        <v>1.0666000000000002</v>
      </c>
      <c r="AO425" s="167">
        <v>1.0666000000000002</v>
      </c>
    </row>
    <row r="426" spans="1:41" x14ac:dyDescent="0.35">
      <c r="A426" s="141" t="str">
        <f t="shared" si="279"/>
        <v>WACC_074</v>
      </c>
      <c r="B426" s="144" t="s">
        <v>20</v>
      </c>
      <c r="C426" s="145" t="s">
        <v>96</v>
      </c>
      <c r="D426" s="145" t="s">
        <v>81</v>
      </c>
      <c r="E426" s="66">
        <v>1.0666000000000002</v>
      </c>
      <c r="F426" s="167">
        <v>1.0666000000000002</v>
      </c>
      <c r="G426" s="167">
        <v>1.0666000000000002</v>
      </c>
      <c r="H426" s="167">
        <v>1.0666000000000002</v>
      </c>
      <c r="I426" s="167">
        <v>1.0666000000000002</v>
      </c>
      <c r="J426" s="167">
        <v>1.0666000000000002</v>
      </c>
      <c r="K426" s="167">
        <v>1.0666000000000002</v>
      </c>
      <c r="L426" s="167">
        <v>1.0666000000000002</v>
      </c>
      <c r="M426" s="167">
        <v>1.0666000000000002</v>
      </c>
      <c r="N426" s="167">
        <v>1.0666000000000002</v>
      </c>
      <c r="O426" s="167">
        <v>1.0666000000000002</v>
      </c>
      <c r="P426" s="167">
        <v>1.0666000000000002</v>
      </c>
      <c r="Q426" s="167">
        <v>1.0666000000000002</v>
      </c>
      <c r="R426" s="167">
        <v>1.0666000000000002</v>
      </c>
      <c r="S426" s="167">
        <v>1.0666000000000002</v>
      </c>
      <c r="T426" s="167">
        <v>1.0666000000000002</v>
      </c>
      <c r="U426" s="167">
        <v>1.0666000000000002</v>
      </c>
      <c r="V426" s="167">
        <v>1.0666000000000002</v>
      </c>
      <c r="W426" s="167">
        <v>1.0666000000000002</v>
      </c>
      <c r="X426" s="167">
        <v>1.0666000000000002</v>
      </c>
      <c r="Y426" s="167">
        <v>1.0666000000000002</v>
      </c>
      <c r="Z426" s="167">
        <v>1.0666000000000002</v>
      </c>
      <c r="AA426" s="167">
        <v>1.0666000000000002</v>
      </c>
      <c r="AB426" s="167">
        <v>1.0666000000000002</v>
      </c>
      <c r="AC426" s="167">
        <v>1.0666000000000002</v>
      </c>
      <c r="AD426" s="167">
        <v>1.0666000000000002</v>
      </c>
      <c r="AE426" s="167">
        <v>1.0666000000000002</v>
      </c>
      <c r="AF426" s="167">
        <v>1.0666000000000002</v>
      </c>
      <c r="AG426" s="167">
        <v>1.0666000000000002</v>
      </c>
      <c r="AH426" s="167">
        <v>1.0666000000000002</v>
      </c>
      <c r="AI426" s="167">
        <v>1.0666000000000002</v>
      </c>
      <c r="AJ426" s="167">
        <v>1.0666000000000002</v>
      </c>
      <c r="AK426" s="167">
        <v>1.0666000000000002</v>
      </c>
      <c r="AL426" s="167">
        <v>1.0666000000000002</v>
      </c>
      <c r="AM426" s="167">
        <v>1.0666000000000002</v>
      </c>
      <c r="AN426" s="167">
        <v>1.0666000000000002</v>
      </c>
      <c r="AO426" s="167">
        <v>1.0666000000000002</v>
      </c>
    </row>
    <row r="427" spans="1:41" x14ac:dyDescent="0.35">
      <c r="A427" s="141" t="str">
        <f t="shared" si="279"/>
        <v>WACC_074</v>
      </c>
      <c r="B427" s="142" t="s">
        <v>21</v>
      </c>
      <c r="C427" s="145" t="s">
        <v>96</v>
      </c>
      <c r="D427" s="143" t="s">
        <v>81</v>
      </c>
      <c r="E427" s="66">
        <v>1.0666000000000002</v>
      </c>
      <c r="F427" s="167">
        <v>1.0666000000000002</v>
      </c>
      <c r="G427" s="167">
        <v>1.0666000000000002</v>
      </c>
      <c r="H427" s="167">
        <v>1.0666000000000002</v>
      </c>
      <c r="I427" s="167">
        <v>1.0666000000000002</v>
      </c>
      <c r="J427" s="167">
        <v>1.0666000000000002</v>
      </c>
      <c r="K427" s="167">
        <v>1.0666000000000002</v>
      </c>
      <c r="L427" s="167">
        <v>1.0666000000000002</v>
      </c>
      <c r="M427" s="167">
        <v>1.0666000000000002</v>
      </c>
      <c r="N427" s="167">
        <v>1.0666000000000002</v>
      </c>
      <c r="O427" s="167">
        <v>1.0666000000000002</v>
      </c>
      <c r="P427" s="167">
        <v>1.0666000000000002</v>
      </c>
      <c r="Q427" s="167">
        <v>1.0666000000000002</v>
      </c>
      <c r="R427" s="167">
        <v>1.0666000000000002</v>
      </c>
      <c r="S427" s="167">
        <v>1.0666000000000002</v>
      </c>
      <c r="T427" s="167">
        <v>1.0666000000000002</v>
      </c>
      <c r="U427" s="167">
        <v>1.0666000000000002</v>
      </c>
      <c r="V427" s="167">
        <v>1.0666000000000002</v>
      </c>
      <c r="W427" s="167">
        <v>1.0666000000000002</v>
      </c>
      <c r="X427" s="167">
        <v>1.0666000000000002</v>
      </c>
      <c r="Y427" s="167">
        <v>1.0666000000000002</v>
      </c>
      <c r="Z427" s="167">
        <v>1.0666000000000002</v>
      </c>
      <c r="AA427" s="167">
        <v>1.0666000000000002</v>
      </c>
      <c r="AB427" s="167">
        <v>1.0666000000000002</v>
      </c>
      <c r="AC427" s="167">
        <v>1.0666000000000002</v>
      </c>
      <c r="AD427" s="167">
        <v>1.0666000000000002</v>
      </c>
      <c r="AE427" s="167">
        <v>1.0666000000000002</v>
      </c>
      <c r="AF427" s="167">
        <v>1.0666000000000002</v>
      </c>
      <c r="AG427" s="167">
        <v>1.0666000000000002</v>
      </c>
      <c r="AH427" s="167">
        <v>1.0666000000000002</v>
      </c>
      <c r="AI427" s="167">
        <v>1.0666000000000002</v>
      </c>
      <c r="AJ427" s="167">
        <v>1.0666000000000002</v>
      </c>
      <c r="AK427" s="167">
        <v>1.0666000000000002</v>
      </c>
      <c r="AL427" s="167">
        <v>1.0666000000000002</v>
      </c>
      <c r="AM427" s="167">
        <v>1.0666000000000002</v>
      </c>
      <c r="AN427" s="167">
        <v>1.0666000000000002</v>
      </c>
      <c r="AO427" s="167">
        <v>1.0666000000000002</v>
      </c>
    </row>
    <row r="428" spans="1:41" x14ac:dyDescent="0.35">
      <c r="A428" s="141" t="str">
        <f t="shared" si="279"/>
        <v>WACC_074</v>
      </c>
      <c r="B428" s="144" t="s">
        <v>22</v>
      </c>
      <c r="C428" s="145" t="s">
        <v>96</v>
      </c>
      <c r="D428" s="145" t="s">
        <v>81</v>
      </c>
      <c r="E428" s="66">
        <v>1.0666000000000002</v>
      </c>
      <c r="F428" s="167">
        <v>1.0666000000000002</v>
      </c>
      <c r="G428" s="167">
        <v>1.0666000000000002</v>
      </c>
      <c r="H428" s="167">
        <v>1.0666000000000002</v>
      </c>
      <c r="I428" s="167">
        <v>1.0666000000000002</v>
      </c>
      <c r="J428" s="167">
        <v>1.0666000000000002</v>
      </c>
      <c r="K428" s="167">
        <v>1.0666000000000002</v>
      </c>
      <c r="L428" s="167">
        <v>1.0666000000000002</v>
      </c>
      <c r="M428" s="167">
        <v>1.0666000000000002</v>
      </c>
      <c r="N428" s="167">
        <v>1.0666000000000002</v>
      </c>
      <c r="O428" s="167">
        <v>1.0666000000000002</v>
      </c>
      <c r="P428" s="167">
        <v>1.0666000000000002</v>
      </c>
      <c r="Q428" s="167">
        <v>1.0666000000000002</v>
      </c>
      <c r="R428" s="167">
        <v>1.0666000000000002</v>
      </c>
      <c r="S428" s="167">
        <v>1.0666000000000002</v>
      </c>
      <c r="T428" s="167">
        <v>1.0666000000000002</v>
      </c>
      <c r="U428" s="167">
        <v>1.0666000000000002</v>
      </c>
      <c r="V428" s="167">
        <v>1.0666000000000002</v>
      </c>
      <c r="W428" s="167">
        <v>1.0666000000000002</v>
      </c>
      <c r="X428" s="167">
        <v>1.0666000000000002</v>
      </c>
      <c r="Y428" s="167">
        <v>1.0666000000000002</v>
      </c>
      <c r="Z428" s="167">
        <v>1.0666000000000002</v>
      </c>
      <c r="AA428" s="167">
        <v>1.0666000000000002</v>
      </c>
      <c r="AB428" s="167">
        <v>1.0666000000000002</v>
      </c>
      <c r="AC428" s="167">
        <v>1.0666000000000002</v>
      </c>
      <c r="AD428" s="167">
        <v>1.0666000000000002</v>
      </c>
      <c r="AE428" s="167">
        <v>1.0666000000000002</v>
      </c>
      <c r="AF428" s="167">
        <v>1.0666000000000002</v>
      </c>
      <c r="AG428" s="167">
        <v>1.0666000000000002</v>
      </c>
      <c r="AH428" s="167">
        <v>1.0666000000000002</v>
      </c>
      <c r="AI428" s="167">
        <v>1.0666000000000002</v>
      </c>
      <c r="AJ428" s="167">
        <v>1.0666000000000002</v>
      </c>
      <c r="AK428" s="167">
        <v>1.0666000000000002</v>
      </c>
      <c r="AL428" s="167">
        <v>1.0666000000000002</v>
      </c>
      <c r="AM428" s="167">
        <v>1.0666000000000002</v>
      </c>
      <c r="AN428" s="167">
        <v>1.0666000000000002</v>
      </c>
      <c r="AO428" s="167">
        <v>1.0666000000000002</v>
      </c>
    </row>
    <row r="429" spans="1:41" x14ac:dyDescent="0.35">
      <c r="A429" s="141" t="str">
        <f t="shared" si="279"/>
        <v>WACC_074</v>
      </c>
      <c r="B429" s="144" t="s">
        <v>117</v>
      </c>
      <c r="C429" s="145" t="s">
        <v>96</v>
      </c>
      <c r="D429" s="145" t="s">
        <v>81</v>
      </c>
      <c r="E429" s="66">
        <v>1.0666000000000002</v>
      </c>
      <c r="F429" s="167">
        <v>1.0666000000000002</v>
      </c>
      <c r="G429" s="167">
        <v>1.0666000000000002</v>
      </c>
      <c r="H429" s="167">
        <v>1.0666000000000002</v>
      </c>
      <c r="I429" s="167">
        <v>1.0666000000000002</v>
      </c>
      <c r="J429" s="167">
        <v>1.0666000000000002</v>
      </c>
      <c r="K429" s="167">
        <v>1.0666000000000002</v>
      </c>
      <c r="L429" s="167">
        <v>1.0666000000000002</v>
      </c>
      <c r="M429" s="167">
        <v>1.0666000000000002</v>
      </c>
      <c r="N429" s="167">
        <v>1.0666000000000002</v>
      </c>
      <c r="O429" s="167">
        <v>1.0666000000000002</v>
      </c>
      <c r="P429" s="167">
        <v>1.0666000000000002</v>
      </c>
      <c r="Q429" s="167">
        <v>1.0666000000000002</v>
      </c>
      <c r="R429" s="167">
        <v>1.0666000000000002</v>
      </c>
      <c r="S429" s="167">
        <v>1.0666000000000002</v>
      </c>
      <c r="T429" s="167">
        <v>1.0666000000000002</v>
      </c>
      <c r="U429" s="167">
        <v>1.0666000000000002</v>
      </c>
      <c r="V429" s="167">
        <v>1.0666000000000002</v>
      </c>
      <c r="W429" s="167">
        <v>1.0666000000000002</v>
      </c>
      <c r="X429" s="167">
        <v>1.0666000000000002</v>
      </c>
      <c r="Y429" s="167">
        <v>1.0666000000000002</v>
      </c>
      <c r="Z429" s="167">
        <v>1.0666000000000002</v>
      </c>
      <c r="AA429" s="167">
        <v>1.0666000000000002</v>
      </c>
      <c r="AB429" s="167">
        <v>1.0666000000000002</v>
      </c>
      <c r="AC429" s="167">
        <v>1.0666000000000002</v>
      </c>
      <c r="AD429" s="167">
        <v>1.0666000000000002</v>
      </c>
      <c r="AE429" s="167">
        <v>1.0666000000000002</v>
      </c>
      <c r="AF429" s="167">
        <v>1.0666000000000002</v>
      </c>
      <c r="AG429" s="167">
        <v>1.0666000000000002</v>
      </c>
      <c r="AH429" s="167">
        <v>1.0666000000000002</v>
      </c>
      <c r="AI429" s="167">
        <v>1.0666000000000002</v>
      </c>
      <c r="AJ429" s="167">
        <v>1.0666000000000002</v>
      </c>
      <c r="AK429" s="167">
        <v>1.0666000000000002</v>
      </c>
      <c r="AL429" s="167">
        <v>1.0666000000000002</v>
      </c>
      <c r="AM429" s="167">
        <v>1.0666000000000002</v>
      </c>
      <c r="AN429" s="167">
        <v>1.0666000000000002</v>
      </c>
      <c r="AO429" s="167">
        <v>1.0666000000000002</v>
      </c>
    </row>
    <row r="430" spans="1:41" x14ac:dyDescent="0.35">
      <c r="A430" s="141" t="str">
        <f>A428</f>
        <v>WACC_074</v>
      </c>
      <c r="B430" s="142" t="s">
        <v>12</v>
      </c>
      <c r="C430" s="145" t="s">
        <v>96</v>
      </c>
      <c r="D430" s="143" t="s">
        <v>81</v>
      </c>
      <c r="E430" s="66">
        <v>1.0270154612</v>
      </c>
      <c r="F430" s="167">
        <v>1.0270154612</v>
      </c>
      <c r="G430" s="167">
        <v>1.0270154612</v>
      </c>
      <c r="H430" s="167">
        <v>1.0270154612</v>
      </c>
      <c r="I430" s="167">
        <v>1.0270154612</v>
      </c>
      <c r="J430" s="167">
        <v>1.0270154612</v>
      </c>
      <c r="K430" s="167">
        <v>1.0270154612</v>
      </c>
      <c r="L430" s="167">
        <v>1.0270154612</v>
      </c>
      <c r="M430" s="167">
        <v>1.0270154612</v>
      </c>
      <c r="N430" s="167">
        <v>1.0270154612</v>
      </c>
      <c r="O430" s="167">
        <v>1.0270154612</v>
      </c>
      <c r="P430" s="167">
        <v>1.0270154612</v>
      </c>
      <c r="Q430" s="167">
        <v>1.0270154612</v>
      </c>
      <c r="R430" s="167">
        <v>1.0270154612</v>
      </c>
      <c r="S430" s="167">
        <v>1.0270154612</v>
      </c>
      <c r="T430" s="167">
        <v>1.0270154612</v>
      </c>
      <c r="U430" s="167">
        <v>1.0270154612</v>
      </c>
      <c r="V430" s="167">
        <v>1.0270154612</v>
      </c>
      <c r="W430" s="167">
        <v>1.0270154612</v>
      </c>
      <c r="X430" s="167">
        <v>1.0270154612</v>
      </c>
      <c r="Y430" s="167">
        <v>1.0270154612</v>
      </c>
      <c r="Z430" s="167">
        <v>1.0270154612</v>
      </c>
      <c r="AA430" s="167">
        <v>1.0270154612</v>
      </c>
      <c r="AB430" s="167">
        <v>1.0270154612</v>
      </c>
      <c r="AC430" s="167">
        <v>1.0270154612</v>
      </c>
      <c r="AD430" s="167">
        <v>1.0270154612</v>
      </c>
      <c r="AE430" s="167">
        <v>1.0270154612</v>
      </c>
      <c r="AF430" s="167">
        <v>1.0270154612</v>
      </c>
      <c r="AG430" s="167">
        <v>1.0270154612</v>
      </c>
      <c r="AH430" s="167">
        <v>1.0270154612</v>
      </c>
      <c r="AI430" s="167">
        <v>1.0270154612</v>
      </c>
      <c r="AJ430" s="167">
        <v>1.0270154612</v>
      </c>
      <c r="AK430" s="167">
        <v>1.0270154612</v>
      </c>
      <c r="AL430" s="167">
        <v>1.0270154612</v>
      </c>
      <c r="AM430" s="167">
        <v>1.0270154612</v>
      </c>
      <c r="AN430" s="167">
        <v>1.0270154612</v>
      </c>
      <c r="AO430" s="167">
        <v>1.0270154612</v>
      </c>
    </row>
    <row r="431" spans="1:41" x14ac:dyDescent="0.35">
      <c r="A431" s="141" t="str">
        <f t="shared" si="279"/>
        <v>WACC_074</v>
      </c>
      <c r="B431" s="144" t="s">
        <v>13</v>
      </c>
      <c r="C431" s="145" t="s">
        <v>96</v>
      </c>
      <c r="D431" s="145" t="s">
        <v>81</v>
      </c>
      <c r="E431" s="65">
        <v>1.0270154612</v>
      </c>
      <c r="F431" s="167">
        <v>1.0270154612</v>
      </c>
      <c r="G431" s="167">
        <v>1.0270154612</v>
      </c>
      <c r="H431" s="167">
        <v>1.0270154612</v>
      </c>
      <c r="I431" s="167">
        <v>1.0270154612</v>
      </c>
      <c r="J431" s="167">
        <v>1.0270154612</v>
      </c>
      <c r="K431" s="167">
        <v>1.0270154612</v>
      </c>
      <c r="L431" s="167">
        <v>1.0270154612</v>
      </c>
      <c r="M431" s="167">
        <v>1.0270154612</v>
      </c>
      <c r="N431" s="167">
        <v>1.0270154612</v>
      </c>
      <c r="O431" s="167">
        <v>1.0270154612</v>
      </c>
      <c r="P431" s="167">
        <v>1.0270154612</v>
      </c>
      <c r="Q431" s="167">
        <v>1.0270154612</v>
      </c>
      <c r="R431" s="167">
        <v>1.0270154612</v>
      </c>
      <c r="S431" s="167">
        <v>1.0270154612</v>
      </c>
      <c r="T431" s="167">
        <v>1.0270154612</v>
      </c>
      <c r="U431" s="167">
        <v>1.0270154612</v>
      </c>
      <c r="V431" s="167">
        <v>1.0270154612</v>
      </c>
      <c r="W431" s="167">
        <v>1.0270154612</v>
      </c>
      <c r="X431" s="167">
        <v>1.0270154612</v>
      </c>
      <c r="Y431" s="167">
        <v>1.0270154612</v>
      </c>
      <c r="Z431" s="167">
        <v>1.0270154612</v>
      </c>
      <c r="AA431" s="167">
        <v>1.0270154612</v>
      </c>
      <c r="AB431" s="167">
        <v>1.0270154612</v>
      </c>
      <c r="AC431" s="167">
        <v>1.0270154612</v>
      </c>
      <c r="AD431" s="167">
        <v>1.0270154612</v>
      </c>
      <c r="AE431" s="167">
        <v>1.0270154612</v>
      </c>
      <c r="AF431" s="167">
        <v>1.0270154612</v>
      </c>
      <c r="AG431" s="167">
        <v>1.0270154612</v>
      </c>
      <c r="AH431" s="167">
        <v>1.0270154612</v>
      </c>
      <c r="AI431" s="167">
        <v>1.0270154612</v>
      </c>
      <c r="AJ431" s="167">
        <v>1.0270154612</v>
      </c>
      <c r="AK431" s="167">
        <v>1.0270154612</v>
      </c>
      <c r="AL431" s="167">
        <v>1.0270154612</v>
      </c>
      <c r="AM431" s="167">
        <v>1.0270154612</v>
      </c>
      <c r="AN431" s="167">
        <v>1.0270154612</v>
      </c>
      <c r="AO431" s="167">
        <v>1.0270154612</v>
      </c>
    </row>
    <row r="432" spans="1:41" x14ac:dyDescent="0.35">
      <c r="A432" s="141" t="str">
        <f t="shared" si="279"/>
        <v>WACC_074</v>
      </c>
      <c r="B432" s="142" t="s">
        <v>14</v>
      </c>
      <c r="C432" s="145" t="s">
        <v>96</v>
      </c>
      <c r="D432" s="143" t="s">
        <v>81</v>
      </c>
      <c r="E432" s="66">
        <v>1.0270154612</v>
      </c>
      <c r="F432" s="167">
        <v>1.0270154612</v>
      </c>
      <c r="G432" s="167">
        <v>1.0270154612</v>
      </c>
      <c r="H432" s="167">
        <v>1.0270154612</v>
      </c>
      <c r="I432" s="167">
        <v>1.0270154612</v>
      </c>
      <c r="J432" s="167">
        <v>1.0270154612</v>
      </c>
      <c r="K432" s="167">
        <v>1.0270154612</v>
      </c>
      <c r="L432" s="167">
        <v>1.0270154612</v>
      </c>
      <c r="M432" s="167">
        <v>1.0270154612</v>
      </c>
      <c r="N432" s="167">
        <v>1.0270154612</v>
      </c>
      <c r="O432" s="167">
        <v>1.0270154612</v>
      </c>
      <c r="P432" s="167">
        <v>1.0270154612</v>
      </c>
      <c r="Q432" s="167">
        <v>1.0270154612</v>
      </c>
      <c r="R432" s="167">
        <v>1.0270154612</v>
      </c>
      <c r="S432" s="167">
        <v>1.0270154612</v>
      </c>
      <c r="T432" s="167">
        <v>1.0270154612</v>
      </c>
      <c r="U432" s="167">
        <v>1.0270154612</v>
      </c>
      <c r="V432" s="167">
        <v>1.0270154612</v>
      </c>
      <c r="W432" s="167">
        <v>1.0270154612</v>
      </c>
      <c r="X432" s="167">
        <v>1.0270154612</v>
      </c>
      <c r="Y432" s="167">
        <v>1.0270154612</v>
      </c>
      <c r="Z432" s="167">
        <v>1.0270154612</v>
      </c>
      <c r="AA432" s="167">
        <v>1.0270154612</v>
      </c>
      <c r="AB432" s="167">
        <v>1.0270154612</v>
      </c>
      <c r="AC432" s="167">
        <v>1.0270154612</v>
      </c>
      <c r="AD432" s="167">
        <v>1.0270154612</v>
      </c>
      <c r="AE432" s="167">
        <v>1.0270154612</v>
      </c>
      <c r="AF432" s="167">
        <v>1.0270154612</v>
      </c>
      <c r="AG432" s="167">
        <v>1.0270154612</v>
      </c>
      <c r="AH432" s="167">
        <v>1.0270154612</v>
      </c>
      <c r="AI432" s="167">
        <v>1.0270154612</v>
      </c>
      <c r="AJ432" s="167">
        <v>1.0270154612</v>
      </c>
      <c r="AK432" s="167">
        <v>1.0270154612</v>
      </c>
      <c r="AL432" s="167">
        <v>1.0270154612</v>
      </c>
      <c r="AM432" s="167">
        <v>1.0270154612</v>
      </c>
      <c r="AN432" s="167">
        <v>1.0270154612</v>
      </c>
      <c r="AO432" s="167">
        <v>1.0270154612</v>
      </c>
    </row>
    <row r="433" spans="1:41" x14ac:dyDescent="0.35">
      <c r="A433" s="141" t="str">
        <f t="shared" si="279"/>
        <v>WACC_074</v>
      </c>
      <c r="B433" s="144" t="s">
        <v>10</v>
      </c>
      <c r="C433" s="145" t="s">
        <v>96</v>
      </c>
      <c r="D433" s="145" t="s">
        <v>81</v>
      </c>
      <c r="E433" s="65">
        <v>1.0074000000000001</v>
      </c>
      <c r="F433" s="167">
        <v>1.0074000000000001</v>
      </c>
      <c r="G433" s="167">
        <v>1.0074000000000001</v>
      </c>
      <c r="H433" s="167">
        <v>1.0074000000000001</v>
      </c>
      <c r="I433" s="167">
        <v>1.0074000000000001</v>
      </c>
      <c r="J433" s="167">
        <v>1.0074000000000001</v>
      </c>
      <c r="K433" s="167">
        <v>1.0074000000000001</v>
      </c>
      <c r="L433" s="167">
        <v>1.0074000000000001</v>
      </c>
      <c r="M433" s="167">
        <v>1.0074000000000001</v>
      </c>
      <c r="N433" s="167">
        <v>1.0074000000000001</v>
      </c>
      <c r="O433" s="167">
        <v>1.0074000000000001</v>
      </c>
      <c r="P433" s="167">
        <v>1.0074000000000001</v>
      </c>
      <c r="Q433" s="167">
        <v>1.0074000000000001</v>
      </c>
      <c r="R433" s="167">
        <v>1.0074000000000001</v>
      </c>
      <c r="S433" s="167">
        <v>1.0074000000000001</v>
      </c>
      <c r="T433" s="167">
        <v>1.0074000000000001</v>
      </c>
      <c r="U433" s="167">
        <v>1.0074000000000001</v>
      </c>
      <c r="V433" s="167">
        <v>1.0074000000000001</v>
      </c>
      <c r="W433" s="167">
        <v>1.0074000000000001</v>
      </c>
      <c r="X433" s="167">
        <v>1.0074000000000001</v>
      </c>
      <c r="Y433" s="167">
        <v>1.0074000000000001</v>
      </c>
      <c r="Z433" s="167">
        <v>1.0074000000000001</v>
      </c>
      <c r="AA433" s="167">
        <v>1.0074000000000001</v>
      </c>
      <c r="AB433" s="167">
        <v>1.0074000000000001</v>
      </c>
      <c r="AC433" s="167">
        <v>1.0074000000000001</v>
      </c>
      <c r="AD433" s="167">
        <v>1.0074000000000001</v>
      </c>
      <c r="AE433" s="167">
        <v>1.0074000000000001</v>
      </c>
      <c r="AF433" s="167">
        <v>1.0074000000000001</v>
      </c>
      <c r="AG433" s="167">
        <v>1.0074000000000001</v>
      </c>
      <c r="AH433" s="167">
        <v>1.0074000000000001</v>
      </c>
      <c r="AI433" s="167">
        <v>1.0074000000000001</v>
      </c>
      <c r="AJ433" s="167">
        <v>1.0074000000000001</v>
      </c>
      <c r="AK433" s="167">
        <v>1.0074000000000001</v>
      </c>
      <c r="AL433" s="167">
        <v>1.0074000000000001</v>
      </c>
      <c r="AM433" s="167">
        <v>1.0074000000000001</v>
      </c>
      <c r="AN433" s="167">
        <v>1.0074000000000001</v>
      </c>
      <c r="AO433" s="167">
        <v>1.0074000000000001</v>
      </c>
    </row>
    <row r="434" spans="1:41" x14ac:dyDescent="0.35">
      <c r="A434" s="141" t="str">
        <f t="shared" si="279"/>
        <v>WACC_074</v>
      </c>
      <c r="B434" s="142" t="s">
        <v>11</v>
      </c>
      <c r="C434" s="145" t="s">
        <v>96</v>
      </c>
      <c r="D434" s="143" t="s">
        <v>81</v>
      </c>
      <c r="E434" s="65">
        <v>1.0074000000000001</v>
      </c>
      <c r="F434" s="167">
        <v>1.0074000000000001</v>
      </c>
      <c r="G434" s="167">
        <v>1.0074000000000001</v>
      </c>
      <c r="H434" s="167">
        <v>1.0074000000000001</v>
      </c>
      <c r="I434" s="167">
        <v>1.0074000000000001</v>
      </c>
      <c r="J434" s="167">
        <v>1.0074000000000001</v>
      </c>
      <c r="K434" s="167">
        <v>1.0074000000000001</v>
      </c>
      <c r="L434" s="167">
        <v>1.0074000000000001</v>
      </c>
      <c r="M434" s="167">
        <v>1.0074000000000001</v>
      </c>
      <c r="N434" s="167">
        <v>1.0074000000000001</v>
      </c>
      <c r="O434" s="167">
        <v>1.0074000000000001</v>
      </c>
      <c r="P434" s="167">
        <v>1.0074000000000001</v>
      </c>
      <c r="Q434" s="167">
        <v>1.0074000000000001</v>
      </c>
      <c r="R434" s="167">
        <v>1.0074000000000001</v>
      </c>
      <c r="S434" s="167">
        <v>1.0074000000000001</v>
      </c>
      <c r="T434" s="167">
        <v>1.0074000000000001</v>
      </c>
      <c r="U434" s="167">
        <v>1.0074000000000001</v>
      </c>
      <c r="V434" s="167">
        <v>1.0074000000000001</v>
      </c>
      <c r="W434" s="167">
        <v>1.0074000000000001</v>
      </c>
      <c r="X434" s="167">
        <v>1.0074000000000001</v>
      </c>
      <c r="Y434" s="167">
        <v>1.0074000000000001</v>
      </c>
      <c r="Z434" s="167">
        <v>1.0074000000000001</v>
      </c>
      <c r="AA434" s="167">
        <v>1.0074000000000001</v>
      </c>
      <c r="AB434" s="167">
        <v>1.0074000000000001</v>
      </c>
      <c r="AC434" s="167">
        <v>1.0074000000000001</v>
      </c>
      <c r="AD434" s="167">
        <v>1.0074000000000001</v>
      </c>
      <c r="AE434" s="167">
        <v>1.0074000000000001</v>
      </c>
      <c r="AF434" s="167">
        <v>1.0074000000000001</v>
      </c>
      <c r="AG434" s="167">
        <v>1.0074000000000001</v>
      </c>
      <c r="AH434" s="167">
        <v>1.0074000000000001</v>
      </c>
      <c r="AI434" s="167">
        <v>1.0074000000000001</v>
      </c>
      <c r="AJ434" s="167">
        <v>1.0074000000000001</v>
      </c>
      <c r="AK434" s="167">
        <v>1.0074000000000001</v>
      </c>
      <c r="AL434" s="167">
        <v>1.0074000000000001</v>
      </c>
      <c r="AM434" s="167">
        <v>1.0074000000000001</v>
      </c>
      <c r="AN434" s="167">
        <v>1.0074000000000001</v>
      </c>
      <c r="AO434" s="167">
        <v>1.0074000000000001</v>
      </c>
    </row>
    <row r="435" spans="1:41" x14ac:dyDescent="0.35">
      <c r="A435" s="141" t="str">
        <f t="shared" si="279"/>
        <v>WACC_074</v>
      </c>
      <c r="B435" s="144" t="s">
        <v>8</v>
      </c>
      <c r="C435" s="145" t="s">
        <v>96</v>
      </c>
      <c r="D435" s="145" t="s">
        <v>81</v>
      </c>
      <c r="E435" s="65">
        <v>1.0074000000000001</v>
      </c>
      <c r="F435" s="167">
        <v>1.0074000000000001</v>
      </c>
      <c r="G435" s="167">
        <v>1.0074000000000001</v>
      </c>
      <c r="H435" s="167">
        <v>1.0074000000000001</v>
      </c>
      <c r="I435" s="167">
        <v>1.0074000000000001</v>
      </c>
      <c r="J435" s="167">
        <v>1.0074000000000001</v>
      </c>
      <c r="K435" s="167">
        <v>1.0074000000000001</v>
      </c>
      <c r="L435" s="167">
        <v>1.0074000000000001</v>
      </c>
      <c r="M435" s="167">
        <v>1.0074000000000001</v>
      </c>
      <c r="N435" s="167">
        <v>1.0074000000000001</v>
      </c>
      <c r="O435" s="167">
        <v>1.0074000000000001</v>
      </c>
      <c r="P435" s="167">
        <v>1.0074000000000001</v>
      </c>
      <c r="Q435" s="167">
        <v>1.0074000000000001</v>
      </c>
      <c r="R435" s="167">
        <v>1.0074000000000001</v>
      </c>
      <c r="S435" s="167">
        <v>1.0074000000000001</v>
      </c>
      <c r="T435" s="167">
        <v>1.0074000000000001</v>
      </c>
      <c r="U435" s="167">
        <v>1.0074000000000001</v>
      </c>
      <c r="V435" s="167">
        <v>1.0074000000000001</v>
      </c>
      <c r="W435" s="167">
        <v>1.0074000000000001</v>
      </c>
      <c r="X435" s="167">
        <v>1.0074000000000001</v>
      </c>
      <c r="Y435" s="167">
        <v>1.0074000000000001</v>
      </c>
      <c r="Z435" s="167">
        <v>1.0074000000000001</v>
      </c>
      <c r="AA435" s="167">
        <v>1.0074000000000001</v>
      </c>
      <c r="AB435" s="167">
        <v>1.0074000000000001</v>
      </c>
      <c r="AC435" s="167">
        <v>1.0074000000000001</v>
      </c>
      <c r="AD435" s="167">
        <v>1.0074000000000001</v>
      </c>
      <c r="AE435" s="167">
        <v>1.0074000000000001</v>
      </c>
      <c r="AF435" s="167">
        <v>1.0074000000000001</v>
      </c>
      <c r="AG435" s="167">
        <v>1.0074000000000001</v>
      </c>
      <c r="AH435" s="167">
        <v>1.0074000000000001</v>
      </c>
      <c r="AI435" s="167">
        <v>1.0074000000000001</v>
      </c>
      <c r="AJ435" s="167">
        <v>1.0074000000000001</v>
      </c>
      <c r="AK435" s="167">
        <v>1.0074000000000001</v>
      </c>
      <c r="AL435" s="167">
        <v>1.0074000000000001</v>
      </c>
      <c r="AM435" s="167">
        <v>1.0074000000000001</v>
      </c>
      <c r="AN435" s="167">
        <v>1.0074000000000001</v>
      </c>
      <c r="AO435" s="167">
        <v>1.0074000000000001</v>
      </c>
    </row>
    <row r="436" spans="1:41" x14ac:dyDescent="0.35">
      <c r="A436" s="141" t="str">
        <f t="shared" si="279"/>
        <v>WACC_074</v>
      </c>
      <c r="B436" s="142" t="s">
        <v>28</v>
      </c>
      <c r="C436" s="145" t="s">
        <v>96</v>
      </c>
      <c r="D436" s="143" t="s">
        <v>81</v>
      </c>
      <c r="E436" s="66">
        <v>1.2205448478544603</v>
      </c>
      <c r="F436" s="167">
        <v>1.2205448478544603</v>
      </c>
      <c r="G436" s="167">
        <v>1.2205448478544603</v>
      </c>
      <c r="H436" s="167">
        <v>1.2205448478544603</v>
      </c>
      <c r="I436" s="167">
        <v>1.2205448478544603</v>
      </c>
      <c r="J436" s="167">
        <v>1.2205448478544603</v>
      </c>
      <c r="K436" s="167">
        <v>1.2205448478544603</v>
      </c>
      <c r="L436" s="167">
        <v>1.2205448478544603</v>
      </c>
      <c r="M436" s="167">
        <v>1.2205448478544603</v>
      </c>
      <c r="N436" s="167">
        <v>1.2205448478544603</v>
      </c>
      <c r="O436" s="167">
        <v>1.2205448478544603</v>
      </c>
      <c r="P436" s="167">
        <v>1.2205448478544603</v>
      </c>
      <c r="Q436" s="167">
        <v>1.2205448478544603</v>
      </c>
      <c r="R436" s="167">
        <v>1.2205448478544603</v>
      </c>
      <c r="S436" s="167">
        <v>1.2205448478544603</v>
      </c>
      <c r="T436" s="167">
        <v>1.2205448478544603</v>
      </c>
      <c r="U436" s="167">
        <v>1.2205448478544603</v>
      </c>
      <c r="V436" s="167">
        <v>1.2205448478544603</v>
      </c>
      <c r="W436" s="167">
        <v>1.2205448478544603</v>
      </c>
      <c r="X436" s="167">
        <v>1.2205448478544603</v>
      </c>
      <c r="Y436" s="167">
        <v>1.2205448478544603</v>
      </c>
      <c r="Z436" s="167">
        <v>1.2205448478544603</v>
      </c>
      <c r="AA436" s="167">
        <v>1.2205448478544603</v>
      </c>
      <c r="AB436" s="167">
        <v>1.2205448478544603</v>
      </c>
      <c r="AC436" s="167">
        <v>1.2205448478544603</v>
      </c>
      <c r="AD436" s="167">
        <v>1.2205448478544603</v>
      </c>
      <c r="AE436" s="167">
        <v>1.2205448478544603</v>
      </c>
      <c r="AF436" s="167">
        <v>1.2205448478544603</v>
      </c>
      <c r="AG436" s="167">
        <v>1.2205448478544603</v>
      </c>
      <c r="AH436" s="167">
        <v>1.2205448478544603</v>
      </c>
      <c r="AI436" s="167">
        <v>1.2205448478544603</v>
      </c>
      <c r="AJ436" s="167">
        <v>1.2205448478544603</v>
      </c>
      <c r="AK436" s="167">
        <v>1.2205448478544603</v>
      </c>
      <c r="AL436" s="167">
        <v>1.2205448478544603</v>
      </c>
      <c r="AM436" s="167">
        <v>1.2205448478544603</v>
      </c>
      <c r="AN436" s="167">
        <v>1.2205448478544603</v>
      </c>
      <c r="AO436" s="167">
        <v>1.2205448478544603</v>
      </c>
    </row>
    <row r="437" spans="1:41" x14ac:dyDescent="0.35">
      <c r="A437" s="71" t="str">
        <f>A212</f>
        <v>default</v>
      </c>
      <c r="B437" s="72" t="s">
        <v>30</v>
      </c>
      <c r="C437" s="73" t="s">
        <v>36</v>
      </c>
      <c r="D437" s="73" t="s">
        <v>81</v>
      </c>
      <c r="E437" s="85">
        <v>0</v>
      </c>
      <c r="F437" s="85">
        <v>0</v>
      </c>
      <c r="G437" s="85">
        <v>0</v>
      </c>
      <c r="H437" s="85">
        <v>0</v>
      </c>
      <c r="I437" s="85">
        <v>0</v>
      </c>
      <c r="J437" s="85">
        <v>0</v>
      </c>
      <c r="K437" s="85">
        <v>0</v>
      </c>
      <c r="L437" s="85">
        <v>0</v>
      </c>
      <c r="M437" s="85">
        <v>0</v>
      </c>
      <c r="N437" s="85">
        <v>0</v>
      </c>
      <c r="O437" s="85">
        <v>0</v>
      </c>
      <c r="P437" s="85">
        <v>0</v>
      </c>
      <c r="Q437" s="85">
        <v>0</v>
      </c>
      <c r="R437" s="85">
        <v>0</v>
      </c>
      <c r="S437" s="85">
        <v>0</v>
      </c>
      <c r="T437" s="85">
        <v>0</v>
      </c>
      <c r="U437" s="85">
        <v>0</v>
      </c>
      <c r="V437" s="85">
        <v>0</v>
      </c>
      <c r="W437" s="85">
        <v>0</v>
      </c>
      <c r="X437" s="85">
        <v>0</v>
      </c>
      <c r="Y437" s="85">
        <v>0</v>
      </c>
      <c r="Z437" s="85">
        <v>0</v>
      </c>
      <c r="AA437" s="85">
        <v>0</v>
      </c>
      <c r="AB437" s="85">
        <v>0</v>
      </c>
      <c r="AC437" s="85">
        <v>0</v>
      </c>
      <c r="AD437" s="85">
        <v>0</v>
      </c>
      <c r="AE437" s="85">
        <v>0</v>
      </c>
      <c r="AF437" s="85">
        <f t="shared" ref="AF437:AO437" si="280">AE437</f>
        <v>0</v>
      </c>
      <c r="AG437" s="85">
        <f t="shared" si="280"/>
        <v>0</v>
      </c>
      <c r="AH437" s="85">
        <f t="shared" si="280"/>
        <v>0</v>
      </c>
      <c r="AI437" s="85">
        <f t="shared" si="280"/>
        <v>0</v>
      </c>
      <c r="AJ437" s="85">
        <f t="shared" si="280"/>
        <v>0</v>
      </c>
      <c r="AK437" s="85">
        <f t="shared" si="280"/>
        <v>0</v>
      </c>
      <c r="AL437" s="85">
        <f t="shared" si="280"/>
        <v>0</v>
      </c>
      <c r="AM437" s="85">
        <f t="shared" si="280"/>
        <v>0</v>
      </c>
      <c r="AN437" s="85">
        <f t="shared" si="280"/>
        <v>0</v>
      </c>
      <c r="AO437" s="85">
        <f t="shared" si="280"/>
        <v>0</v>
      </c>
    </row>
    <row r="438" spans="1:41" x14ac:dyDescent="0.35">
      <c r="A438" s="71" t="str">
        <f>A213</f>
        <v>default</v>
      </c>
      <c r="B438" s="72" t="s">
        <v>32</v>
      </c>
      <c r="C438" s="73" t="s">
        <v>36</v>
      </c>
      <c r="D438" s="73" t="s">
        <v>81</v>
      </c>
      <c r="E438" s="85">
        <v>0</v>
      </c>
      <c r="F438" s="85">
        <v>0</v>
      </c>
      <c r="G438" s="85">
        <v>0</v>
      </c>
      <c r="H438" s="85">
        <v>0</v>
      </c>
      <c r="I438" s="85">
        <v>0</v>
      </c>
      <c r="J438" s="85">
        <v>0</v>
      </c>
      <c r="K438" s="85">
        <v>0</v>
      </c>
      <c r="L438" s="85">
        <v>0</v>
      </c>
      <c r="M438" s="85">
        <v>0</v>
      </c>
      <c r="N438" s="85">
        <v>0</v>
      </c>
      <c r="O438" s="85">
        <v>0</v>
      </c>
      <c r="P438" s="85">
        <v>0</v>
      </c>
      <c r="Q438" s="85">
        <v>0</v>
      </c>
      <c r="R438" s="85">
        <v>0</v>
      </c>
      <c r="S438" s="85">
        <v>0</v>
      </c>
      <c r="T438" s="85">
        <v>0</v>
      </c>
      <c r="U438" s="85">
        <v>0</v>
      </c>
      <c r="V438" s="85">
        <v>0</v>
      </c>
      <c r="W438" s="85">
        <v>0</v>
      </c>
      <c r="X438" s="85">
        <v>0</v>
      </c>
      <c r="Y438" s="85">
        <v>0</v>
      </c>
      <c r="Z438" s="85">
        <v>0</v>
      </c>
      <c r="AA438" s="85">
        <v>0</v>
      </c>
      <c r="AB438" s="85">
        <v>0</v>
      </c>
      <c r="AC438" s="85">
        <v>0</v>
      </c>
      <c r="AD438" s="85">
        <v>0</v>
      </c>
      <c r="AE438" s="85">
        <v>0</v>
      </c>
      <c r="AF438" s="85">
        <f t="shared" ref="AF438:AO438" si="281">AE438</f>
        <v>0</v>
      </c>
      <c r="AG438" s="85">
        <f t="shared" si="281"/>
        <v>0</v>
      </c>
      <c r="AH438" s="85">
        <f t="shared" si="281"/>
        <v>0</v>
      </c>
      <c r="AI438" s="85">
        <f t="shared" si="281"/>
        <v>0</v>
      </c>
      <c r="AJ438" s="85">
        <f t="shared" si="281"/>
        <v>0</v>
      </c>
      <c r="AK438" s="85">
        <f t="shared" si="281"/>
        <v>0</v>
      </c>
      <c r="AL438" s="85">
        <f t="shared" si="281"/>
        <v>0</v>
      </c>
      <c r="AM438" s="85">
        <f t="shared" si="281"/>
        <v>0</v>
      </c>
      <c r="AN438" s="85">
        <f t="shared" si="281"/>
        <v>0</v>
      </c>
      <c r="AO438" s="85">
        <f t="shared" si="281"/>
        <v>0</v>
      </c>
    </row>
    <row r="439" spans="1:41" x14ac:dyDescent="0.35">
      <c r="A439" s="71" t="str">
        <f>A438</f>
        <v>default</v>
      </c>
      <c r="B439" s="68" t="s">
        <v>33</v>
      </c>
      <c r="C439" s="75" t="s">
        <v>36</v>
      </c>
      <c r="D439" s="75" t="s">
        <v>81</v>
      </c>
      <c r="E439" s="86">
        <v>0</v>
      </c>
      <c r="F439" s="86">
        <v>0</v>
      </c>
      <c r="G439" s="86">
        <v>0</v>
      </c>
      <c r="H439" s="86">
        <v>0</v>
      </c>
      <c r="I439" s="86">
        <v>0</v>
      </c>
      <c r="J439" s="86">
        <v>0</v>
      </c>
      <c r="K439" s="86">
        <v>0</v>
      </c>
      <c r="L439" s="86">
        <v>0</v>
      </c>
      <c r="M439" s="86">
        <v>0</v>
      </c>
      <c r="N439" s="86">
        <v>0</v>
      </c>
      <c r="O439" s="86">
        <v>0</v>
      </c>
      <c r="P439" s="86">
        <v>0</v>
      </c>
      <c r="Q439" s="86">
        <v>0</v>
      </c>
      <c r="R439" s="86">
        <v>0</v>
      </c>
      <c r="S439" s="86">
        <v>0</v>
      </c>
      <c r="T439" s="86">
        <v>0</v>
      </c>
      <c r="U439" s="86">
        <v>0</v>
      </c>
      <c r="V439" s="86">
        <v>0</v>
      </c>
      <c r="W439" s="86">
        <v>0</v>
      </c>
      <c r="X439" s="86">
        <v>0</v>
      </c>
      <c r="Y439" s="86">
        <v>0</v>
      </c>
      <c r="Z439" s="86">
        <v>0</v>
      </c>
      <c r="AA439" s="86">
        <v>0</v>
      </c>
      <c r="AB439" s="86">
        <v>0</v>
      </c>
      <c r="AC439" s="86">
        <v>0</v>
      </c>
      <c r="AD439" s="86">
        <v>0</v>
      </c>
      <c r="AE439" s="86">
        <v>0</v>
      </c>
      <c r="AF439" s="85">
        <f t="shared" ref="AF439:AO439" si="282">AE439</f>
        <v>0</v>
      </c>
      <c r="AG439" s="85">
        <f t="shared" si="282"/>
        <v>0</v>
      </c>
      <c r="AH439" s="85">
        <f t="shared" si="282"/>
        <v>0</v>
      </c>
      <c r="AI439" s="85">
        <f t="shared" si="282"/>
        <v>0</v>
      </c>
      <c r="AJ439" s="85">
        <f t="shared" si="282"/>
        <v>0</v>
      </c>
      <c r="AK439" s="85">
        <f t="shared" si="282"/>
        <v>0</v>
      </c>
      <c r="AL439" s="85">
        <f t="shared" si="282"/>
        <v>0</v>
      </c>
      <c r="AM439" s="85">
        <f t="shared" si="282"/>
        <v>0</v>
      </c>
      <c r="AN439" s="85">
        <f t="shared" si="282"/>
        <v>0</v>
      </c>
      <c r="AO439" s="85">
        <f t="shared" si="282"/>
        <v>0</v>
      </c>
    </row>
    <row r="440" spans="1:41" x14ac:dyDescent="0.35">
      <c r="A440" s="71" t="str">
        <f>A212</f>
        <v>default</v>
      </c>
      <c r="B440" s="72" t="s">
        <v>54</v>
      </c>
      <c r="C440" s="73" t="s">
        <v>36</v>
      </c>
      <c r="D440" s="73" t="s">
        <v>81</v>
      </c>
      <c r="E440" s="85">
        <v>94.051188299817198</v>
      </c>
      <c r="F440" s="85">
        <v>94.051188299817198</v>
      </c>
      <c r="G440" s="85">
        <v>94.051188299817198</v>
      </c>
      <c r="H440" s="85">
        <v>94.051188299817198</v>
      </c>
      <c r="I440" s="85">
        <v>94.051188299817198</v>
      </c>
      <c r="J440" s="85">
        <v>94.051188299817198</v>
      </c>
      <c r="K440" s="85">
        <v>94.051188299817198</v>
      </c>
      <c r="L440" s="85">
        <v>94.051188299817198</v>
      </c>
      <c r="M440" s="85">
        <v>94.051188299817198</v>
      </c>
      <c r="N440" s="85">
        <v>94.051188299817198</v>
      </c>
      <c r="O440" s="85">
        <v>94.051188299817198</v>
      </c>
      <c r="P440" s="85">
        <v>94.051188299817198</v>
      </c>
      <c r="Q440" s="85">
        <v>94.051188299817198</v>
      </c>
      <c r="R440" s="85">
        <v>94.051188299817198</v>
      </c>
      <c r="S440" s="85">
        <v>94.051188299817198</v>
      </c>
      <c r="T440" s="85">
        <v>94.051188299817198</v>
      </c>
      <c r="U440" s="85">
        <v>94.051188299817198</v>
      </c>
      <c r="V440" s="85">
        <v>94.051188299817198</v>
      </c>
      <c r="W440" s="85">
        <v>94.051188299817198</v>
      </c>
      <c r="X440" s="85">
        <v>94.051188299817198</v>
      </c>
      <c r="Y440" s="85">
        <v>94.051188299817198</v>
      </c>
      <c r="Z440" s="85">
        <v>94.051188299817198</v>
      </c>
      <c r="AA440" s="85">
        <v>94.051188299817198</v>
      </c>
      <c r="AB440" s="85">
        <v>94.051188299817198</v>
      </c>
      <c r="AC440" s="85">
        <v>94.051188299817198</v>
      </c>
      <c r="AD440" s="85">
        <v>94.051188299817198</v>
      </c>
      <c r="AE440" s="85">
        <v>94.051188299817198</v>
      </c>
      <c r="AF440" s="85">
        <f t="shared" ref="AF440:AO440" si="283">AE440</f>
        <v>94.051188299817198</v>
      </c>
      <c r="AG440" s="85">
        <f t="shared" si="283"/>
        <v>94.051188299817198</v>
      </c>
      <c r="AH440" s="85">
        <f t="shared" si="283"/>
        <v>94.051188299817198</v>
      </c>
      <c r="AI440" s="85">
        <f t="shared" si="283"/>
        <v>94.051188299817198</v>
      </c>
      <c r="AJ440" s="85">
        <f t="shared" si="283"/>
        <v>94.051188299817198</v>
      </c>
      <c r="AK440" s="85">
        <f t="shared" si="283"/>
        <v>94.051188299817198</v>
      </c>
      <c r="AL440" s="85">
        <f t="shared" si="283"/>
        <v>94.051188299817198</v>
      </c>
      <c r="AM440" s="85">
        <f t="shared" si="283"/>
        <v>94.051188299817198</v>
      </c>
      <c r="AN440" s="85">
        <f t="shared" si="283"/>
        <v>94.051188299817198</v>
      </c>
      <c r="AO440" s="85">
        <f t="shared" si="283"/>
        <v>94.051188299817198</v>
      </c>
    </row>
    <row r="441" spans="1:41" x14ac:dyDescent="0.35">
      <c r="A441" s="71" t="str">
        <f t="shared" ref="A441:A448" si="284">A440</f>
        <v>default</v>
      </c>
      <c r="B441" s="68" t="s">
        <v>55</v>
      </c>
      <c r="C441" s="75" t="s">
        <v>36</v>
      </c>
      <c r="D441" s="75" t="s">
        <v>81</v>
      </c>
      <c r="E441" s="86">
        <v>97.126142595978095</v>
      </c>
      <c r="F441" s="86">
        <v>97.126142595978095</v>
      </c>
      <c r="G441" s="86">
        <v>97.126142595978095</v>
      </c>
      <c r="H441" s="86">
        <v>97.126142595978095</v>
      </c>
      <c r="I441" s="86">
        <v>97.126142595978095</v>
      </c>
      <c r="J441" s="86">
        <v>97.126142595978095</v>
      </c>
      <c r="K441" s="86">
        <v>97.126142595978095</v>
      </c>
      <c r="L441" s="86">
        <v>97.126142595978095</v>
      </c>
      <c r="M441" s="86">
        <v>97.126142595978095</v>
      </c>
      <c r="N441" s="86">
        <v>97.126142595978095</v>
      </c>
      <c r="O441" s="86">
        <v>97.126142595978095</v>
      </c>
      <c r="P441" s="86">
        <v>97.126142595978095</v>
      </c>
      <c r="Q441" s="86">
        <v>97.126142595978095</v>
      </c>
      <c r="R441" s="86">
        <v>97.126142595978095</v>
      </c>
      <c r="S441" s="86">
        <v>97.126142595978095</v>
      </c>
      <c r="T441" s="86">
        <v>97.126142595978095</v>
      </c>
      <c r="U441" s="86">
        <v>97.126142595978095</v>
      </c>
      <c r="V441" s="86">
        <v>97.126142595978095</v>
      </c>
      <c r="W441" s="86">
        <v>97.126142595978095</v>
      </c>
      <c r="X441" s="86">
        <v>97.126142595978095</v>
      </c>
      <c r="Y441" s="86">
        <v>97.126142595978095</v>
      </c>
      <c r="Z441" s="86">
        <v>97.126142595978095</v>
      </c>
      <c r="AA441" s="86">
        <v>97.126142595978095</v>
      </c>
      <c r="AB441" s="86">
        <v>97.126142595978095</v>
      </c>
      <c r="AC441" s="86">
        <v>97.126142595978095</v>
      </c>
      <c r="AD441" s="86">
        <v>97.126142595978095</v>
      </c>
      <c r="AE441" s="86">
        <v>97.126142595978095</v>
      </c>
      <c r="AF441" s="85">
        <f t="shared" ref="AF441:AO441" si="285">AE441</f>
        <v>97.126142595978095</v>
      </c>
      <c r="AG441" s="85">
        <f t="shared" si="285"/>
        <v>97.126142595978095</v>
      </c>
      <c r="AH441" s="85">
        <f t="shared" si="285"/>
        <v>97.126142595978095</v>
      </c>
      <c r="AI441" s="85">
        <f t="shared" si="285"/>
        <v>97.126142595978095</v>
      </c>
      <c r="AJ441" s="85">
        <f t="shared" si="285"/>
        <v>97.126142595978095</v>
      </c>
      <c r="AK441" s="85">
        <f t="shared" si="285"/>
        <v>97.126142595978095</v>
      </c>
      <c r="AL441" s="85">
        <f t="shared" si="285"/>
        <v>97.126142595978095</v>
      </c>
      <c r="AM441" s="85">
        <f t="shared" si="285"/>
        <v>97.126142595978095</v>
      </c>
      <c r="AN441" s="85">
        <f t="shared" si="285"/>
        <v>97.126142595978095</v>
      </c>
      <c r="AO441" s="85">
        <f t="shared" si="285"/>
        <v>97.126142595978095</v>
      </c>
    </row>
    <row r="442" spans="1:41" x14ac:dyDescent="0.35">
      <c r="A442" s="71" t="str">
        <f t="shared" si="284"/>
        <v>default</v>
      </c>
      <c r="B442" s="72" t="s">
        <v>56</v>
      </c>
      <c r="C442" s="73" t="s">
        <v>36</v>
      </c>
      <c r="D442" s="73" t="s">
        <v>81</v>
      </c>
      <c r="E442" s="85">
        <v>76.873857404021905</v>
      </c>
      <c r="F442" s="85">
        <v>76.873857404021905</v>
      </c>
      <c r="G442" s="85">
        <v>76.873857404021905</v>
      </c>
      <c r="H442" s="85">
        <v>76.873857404021905</v>
      </c>
      <c r="I442" s="85">
        <v>76.873857404021905</v>
      </c>
      <c r="J442" s="85">
        <v>76.873857404021905</v>
      </c>
      <c r="K442" s="85">
        <v>76.873857404021905</v>
      </c>
      <c r="L442" s="85">
        <v>76.873857404021905</v>
      </c>
      <c r="M442" s="85">
        <v>76.873857404021905</v>
      </c>
      <c r="N442" s="85">
        <v>76.873857404021905</v>
      </c>
      <c r="O442" s="85">
        <v>76.873857404021905</v>
      </c>
      <c r="P442" s="85">
        <v>76.873857404021905</v>
      </c>
      <c r="Q442" s="85">
        <v>76.873857404021905</v>
      </c>
      <c r="R442" s="85">
        <v>76.873857404021905</v>
      </c>
      <c r="S442" s="85">
        <v>76.873857404021905</v>
      </c>
      <c r="T442" s="85">
        <v>76.873857404021905</v>
      </c>
      <c r="U442" s="85">
        <v>76.873857404021905</v>
      </c>
      <c r="V442" s="85">
        <v>76.873857404021905</v>
      </c>
      <c r="W442" s="85">
        <v>76.873857404021905</v>
      </c>
      <c r="X442" s="85">
        <v>76.873857404021905</v>
      </c>
      <c r="Y442" s="85">
        <v>76.873857404021905</v>
      </c>
      <c r="Z442" s="85">
        <v>76.873857404021905</v>
      </c>
      <c r="AA442" s="85">
        <v>76.873857404021905</v>
      </c>
      <c r="AB442" s="85">
        <v>76.873857404021905</v>
      </c>
      <c r="AC442" s="85">
        <v>76.873857404021905</v>
      </c>
      <c r="AD442" s="85">
        <v>76.873857404021905</v>
      </c>
      <c r="AE442" s="85">
        <v>76.873857404021905</v>
      </c>
      <c r="AF442" s="85">
        <f t="shared" ref="AF442:AO442" si="286">AE442</f>
        <v>76.873857404021905</v>
      </c>
      <c r="AG442" s="85">
        <f t="shared" si="286"/>
        <v>76.873857404021905</v>
      </c>
      <c r="AH442" s="85">
        <f t="shared" si="286"/>
        <v>76.873857404021905</v>
      </c>
      <c r="AI442" s="85">
        <f t="shared" si="286"/>
        <v>76.873857404021905</v>
      </c>
      <c r="AJ442" s="85">
        <f t="shared" si="286"/>
        <v>76.873857404021905</v>
      </c>
      <c r="AK442" s="85">
        <f t="shared" si="286"/>
        <v>76.873857404021905</v>
      </c>
      <c r="AL442" s="85">
        <f t="shared" si="286"/>
        <v>76.873857404021905</v>
      </c>
      <c r="AM442" s="85">
        <f t="shared" si="286"/>
        <v>76.873857404021905</v>
      </c>
      <c r="AN442" s="85">
        <f t="shared" si="286"/>
        <v>76.873857404021905</v>
      </c>
      <c r="AO442" s="85">
        <f t="shared" si="286"/>
        <v>76.873857404021905</v>
      </c>
    </row>
    <row r="443" spans="1:41" x14ac:dyDescent="0.35">
      <c r="A443" s="71" t="str">
        <f t="shared" si="284"/>
        <v>default</v>
      </c>
      <c r="B443" s="68" t="s">
        <v>57</v>
      </c>
      <c r="C443" s="75" t="s">
        <v>36</v>
      </c>
      <c r="D443" s="75" t="s">
        <v>81</v>
      </c>
      <c r="E443" s="86">
        <v>206.12797074954301</v>
      </c>
      <c r="F443" s="86">
        <v>206.12797074954301</v>
      </c>
      <c r="G443" s="86">
        <v>206.12797074954301</v>
      </c>
      <c r="H443" s="86">
        <v>206.12797074954301</v>
      </c>
      <c r="I443" s="86">
        <v>206.12797074954301</v>
      </c>
      <c r="J443" s="86">
        <v>206.12797074954301</v>
      </c>
      <c r="K443" s="86">
        <v>206.12797074954301</v>
      </c>
      <c r="L443" s="86">
        <v>206.12797074954301</v>
      </c>
      <c r="M443" s="86">
        <v>206.12797074954301</v>
      </c>
      <c r="N443" s="86">
        <v>206.12797074954301</v>
      </c>
      <c r="O443" s="86">
        <v>206.12797074954301</v>
      </c>
      <c r="P443" s="86">
        <v>206.12797074954301</v>
      </c>
      <c r="Q443" s="86">
        <v>206.12797074954301</v>
      </c>
      <c r="R443" s="86">
        <v>206.12797074954301</v>
      </c>
      <c r="S443" s="86">
        <v>206.12797074954301</v>
      </c>
      <c r="T443" s="86">
        <v>206.12797074954301</v>
      </c>
      <c r="U443" s="86">
        <v>206.12797074954301</v>
      </c>
      <c r="V443" s="86">
        <v>206.12797074954301</v>
      </c>
      <c r="W443" s="86">
        <v>206.12797074954301</v>
      </c>
      <c r="X443" s="86">
        <v>206.12797074954301</v>
      </c>
      <c r="Y443" s="86">
        <v>206.12797074954301</v>
      </c>
      <c r="Z443" s="86">
        <v>206.12797074954301</v>
      </c>
      <c r="AA443" s="86">
        <v>206.12797074954301</v>
      </c>
      <c r="AB443" s="86">
        <v>206.12797074954301</v>
      </c>
      <c r="AC443" s="86">
        <v>206.12797074954301</v>
      </c>
      <c r="AD443" s="86">
        <v>206.12797074954301</v>
      </c>
      <c r="AE443" s="86">
        <v>206.12797074954301</v>
      </c>
      <c r="AF443" s="85">
        <f t="shared" ref="AF443:AO443" si="287">AE443</f>
        <v>206.12797074954301</v>
      </c>
      <c r="AG443" s="85">
        <f t="shared" si="287"/>
        <v>206.12797074954301</v>
      </c>
      <c r="AH443" s="85">
        <f t="shared" si="287"/>
        <v>206.12797074954301</v>
      </c>
      <c r="AI443" s="85">
        <f t="shared" si="287"/>
        <v>206.12797074954301</v>
      </c>
      <c r="AJ443" s="85">
        <f t="shared" si="287"/>
        <v>206.12797074954301</v>
      </c>
      <c r="AK443" s="85">
        <f t="shared" si="287"/>
        <v>206.12797074954301</v>
      </c>
      <c r="AL443" s="85">
        <f t="shared" si="287"/>
        <v>206.12797074954301</v>
      </c>
      <c r="AM443" s="85">
        <f t="shared" si="287"/>
        <v>206.12797074954301</v>
      </c>
      <c r="AN443" s="85">
        <f t="shared" si="287"/>
        <v>206.12797074954301</v>
      </c>
      <c r="AO443" s="85">
        <f t="shared" si="287"/>
        <v>206.12797074954301</v>
      </c>
    </row>
    <row r="444" spans="1:41" x14ac:dyDescent="0.35">
      <c r="A444" s="71" t="str">
        <f t="shared" si="284"/>
        <v>default</v>
      </c>
      <c r="B444" s="72" t="s">
        <v>15</v>
      </c>
      <c r="C444" s="73" t="s">
        <v>36</v>
      </c>
      <c r="D444" s="73" t="s">
        <v>81</v>
      </c>
      <c r="E444" s="85">
        <v>17.037367458866498</v>
      </c>
      <c r="F444" s="85">
        <v>17.037367458866498</v>
      </c>
      <c r="G444" s="85">
        <v>17.037367458866498</v>
      </c>
      <c r="H444" s="85">
        <v>17.037367458866498</v>
      </c>
      <c r="I444" s="85">
        <v>17.037367458866498</v>
      </c>
      <c r="J444" s="85">
        <v>17.037367458866498</v>
      </c>
      <c r="K444" s="85">
        <v>17.037367458866498</v>
      </c>
      <c r="L444" s="85">
        <v>17.037367458866498</v>
      </c>
      <c r="M444" s="85">
        <v>17.037367458866498</v>
      </c>
      <c r="N444" s="85">
        <v>17.037367458866498</v>
      </c>
      <c r="O444" s="85">
        <v>17.037367458866498</v>
      </c>
      <c r="P444" s="85">
        <v>17.037367458866498</v>
      </c>
      <c r="Q444" s="85">
        <v>17.037367458866498</v>
      </c>
      <c r="R444" s="85">
        <v>17.037367458866498</v>
      </c>
      <c r="S444" s="85">
        <v>17.037367458866498</v>
      </c>
      <c r="T444" s="85">
        <v>17.037367458866498</v>
      </c>
      <c r="U444" s="85">
        <v>17.037367458866498</v>
      </c>
      <c r="V444" s="85">
        <v>17.037367458866498</v>
      </c>
      <c r="W444" s="85">
        <v>17.037367458866498</v>
      </c>
      <c r="X444" s="85">
        <v>17.037367458866498</v>
      </c>
      <c r="Y444" s="85">
        <v>17.037367458866498</v>
      </c>
      <c r="Z444" s="85">
        <v>17.037367458866498</v>
      </c>
      <c r="AA444" s="85">
        <v>17.037367458866498</v>
      </c>
      <c r="AB444" s="85">
        <v>17.037367458866498</v>
      </c>
      <c r="AC444" s="85">
        <v>17.037367458866498</v>
      </c>
      <c r="AD444" s="85">
        <v>17.037367458866498</v>
      </c>
      <c r="AE444" s="85">
        <v>17.037367458866498</v>
      </c>
      <c r="AF444" s="85">
        <f t="shared" ref="AF444:AO444" si="288">AE444</f>
        <v>17.037367458866498</v>
      </c>
      <c r="AG444" s="85">
        <f t="shared" si="288"/>
        <v>17.037367458866498</v>
      </c>
      <c r="AH444" s="85">
        <f t="shared" si="288"/>
        <v>17.037367458866498</v>
      </c>
      <c r="AI444" s="85">
        <f t="shared" si="288"/>
        <v>17.037367458866498</v>
      </c>
      <c r="AJ444" s="85">
        <f t="shared" si="288"/>
        <v>17.037367458866498</v>
      </c>
      <c r="AK444" s="85">
        <f t="shared" si="288"/>
        <v>17.037367458866498</v>
      </c>
      <c r="AL444" s="85">
        <f t="shared" si="288"/>
        <v>17.037367458866498</v>
      </c>
      <c r="AM444" s="85">
        <f t="shared" si="288"/>
        <v>17.037367458866498</v>
      </c>
      <c r="AN444" s="85">
        <f t="shared" si="288"/>
        <v>17.037367458866498</v>
      </c>
      <c r="AO444" s="85">
        <f t="shared" si="288"/>
        <v>17.037367458866498</v>
      </c>
    </row>
    <row r="445" spans="1:41" x14ac:dyDescent="0.35">
      <c r="A445" s="71" t="str">
        <f t="shared" si="284"/>
        <v>default</v>
      </c>
      <c r="B445" s="68" t="s">
        <v>25</v>
      </c>
      <c r="C445" s="75" t="s">
        <v>36</v>
      </c>
      <c r="D445" s="75" t="s">
        <v>81</v>
      </c>
      <c r="E445" s="86">
        <v>42.413162705667297</v>
      </c>
      <c r="F445" s="86">
        <v>42.413162705667297</v>
      </c>
      <c r="G445" s="86">
        <v>42.413162705667297</v>
      </c>
      <c r="H445" s="86">
        <v>42.413162705667297</v>
      </c>
      <c r="I445" s="86">
        <v>42.413162705667297</v>
      </c>
      <c r="J445" s="86">
        <v>42.413162705667297</v>
      </c>
      <c r="K445" s="86">
        <v>42.413162705667297</v>
      </c>
      <c r="L445" s="86">
        <v>42.413162705667297</v>
      </c>
      <c r="M445" s="86">
        <v>42.413162705667297</v>
      </c>
      <c r="N445" s="86">
        <v>42.413162705667297</v>
      </c>
      <c r="O445" s="86">
        <v>42.413162705667297</v>
      </c>
      <c r="P445" s="86">
        <v>42.413162705667297</v>
      </c>
      <c r="Q445" s="86">
        <v>42.413162705667297</v>
      </c>
      <c r="R445" s="86">
        <v>42.413162705667297</v>
      </c>
      <c r="S445" s="86">
        <v>42.413162705667297</v>
      </c>
      <c r="T445" s="86">
        <v>42.413162705667297</v>
      </c>
      <c r="U445" s="86">
        <v>42.413162705667297</v>
      </c>
      <c r="V445" s="86">
        <v>42.413162705667297</v>
      </c>
      <c r="W445" s="86">
        <v>42.413162705667297</v>
      </c>
      <c r="X445" s="86">
        <v>42.413162705667297</v>
      </c>
      <c r="Y445" s="86">
        <v>42.413162705667297</v>
      </c>
      <c r="Z445" s="86">
        <v>42.413162705667297</v>
      </c>
      <c r="AA445" s="86">
        <v>42.413162705667297</v>
      </c>
      <c r="AB445" s="86">
        <v>42.413162705667297</v>
      </c>
      <c r="AC445" s="86">
        <v>42.413162705667297</v>
      </c>
      <c r="AD445" s="86">
        <v>42.413162705667297</v>
      </c>
      <c r="AE445" s="86">
        <v>42.413162705667297</v>
      </c>
      <c r="AF445" s="85">
        <f t="shared" ref="AF445:AO445" si="289">AE445</f>
        <v>42.413162705667297</v>
      </c>
      <c r="AG445" s="85">
        <f t="shared" si="289"/>
        <v>42.413162705667297</v>
      </c>
      <c r="AH445" s="85">
        <f t="shared" si="289"/>
        <v>42.413162705667297</v>
      </c>
      <c r="AI445" s="85">
        <f t="shared" si="289"/>
        <v>42.413162705667297</v>
      </c>
      <c r="AJ445" s="85">
        <f t="shared" si="289"/>
        <v>42.413162705667297</v>
      </c>
      <c r="AK445" s="85">
        <f t="shared" si="289"/>
        <v>42.413162705667297</v>
      </c>
      <c r="AL445" s="85">
        <f t="shared" si="289"/>
        <v>42.413162705667297</v>
      </c>
      <c r="AM445" s="85">
        <f t="shared" si="289"/>
        <v>42.413162705667297</v>
      </c>
      <c r="AN445" s="85">
        <f t="shared" si="289"/>
        <v>42.413162705667297</v>
      </c>
      <c r="AO445" s="85">
        <f t="shared" si="289"/>
        <v>42.413162705667297</v>
      </c>
    </row>
    <row r="446" spans="1:41" x14ac:dyDescent="0.35">
      <c r="A446" s="71" t="str">
        <f t="shared" si="284"/>
        <v>default</v>
      </c>
      <c r="B446" s="72" t="s">
        <v>26</v>
      </c>
      <c r="C446" s="73" t="s">
        <v>36</v>
      </c>
      <c r="D446" s="73" t="s">
        <v>81</v>
      </c>
      <c r="E446" s="85">
        <v>47.714808043875699</v>
      </c>
      <c r="F446" s="85">
        <v>47.714808043875699</v>
      </c>
      <c r="G446" s="85">
        <v>47.714808043875699</v>
      </c>
      <c r="H446" s="85">
        <v>47.714808043875699</v>
      </c>
      <c r="I446" s="85">
        <v>47.714808043875699</v>
      </c>
      <c r="J446" s="85">
        <v>47.714808043875699</v>
      </c>
      <c r="K446" s="85">
        <v>47.714808043875699</v>
      </c>
      <c r="L446" s="85">
        <v>47.714808043875699</v>
      </c>
      <c r="M446" s="85">
        <v>47.714808043875699</v>
      </c>
      <c r="N446" s="85">
        <v>47.714808043875699</v>
      </c>
      <c r="O446" s="85">
        <v>47.714808043875699</v>
      </c>
      <c r="P446" s="85">
        <v>47.714808043875699</v>
      </c>
      <c r="Q446" s="85">
        <v>47.714808043875699</v>
      </c>
      <c r="R446" s="85">
        <v>47.714808043875699</v>
      </c>
      <c r="S446" s="85">
        <v>47.714808043875699</v>
      </c>
      <c r="T446" s="85">
        <v>47.714808043875699</v>
      </c>
      <c r="U446" s="85">
        <v>47.714808043875699</v>
      </c>
      <c r="V446" s="85">
        <v>47.714808043875699</v>
      </c>
      <c r="W446" s="85">
        <v>47.714808043875699</v>
      </c>
      <c r="X446" s="85">
        <v>47.714808043875699</v>
      </c>
      <c r="Y446" s="85">
        <v>47.714808043875699</v>
      </c>
      <c r="Z446" s="85">
        <v>47.714808043875699</v>
      </c>
      <c r="AA446" s="85">
        <v>47.714808043875699</v>
      </c>
      <c r="AB446" s="85">
        <v>47.714808043875699</v>
      </c>
      <c r="AC446" s="85">
        <v>47.714808043875699</v>
      </c>
      <c r="AD446" s="85">
        <v>47.714808043875699</v>
      </c>
      <c r="AE446" s="85">
        <v>47.714808043875699</v>
      </c>
      <c r="AF446" s="85">
        <f t="shared" ref="AF446:AO446" si="290">AE446</f>
        <v>47.714808043875699</v>
      </c>
      <c r="AG446" s="85">
        <f t="shared" si="290"/>
        <v>47.714808043875699</v>
      </c>
      <c r="AH446" s="85">
        <f t="shared" si="290"/>
        <v>47.714808043875699</v>
      </c>
      <c r="AI446" s="85">
        <f t="shared" si="290"/>
        <v>47.714808043875699</v>
      </c>
      <c r="AJ446" s="85">
        <f t="shared" si="290"/>
        <v>47.714808043875699</v>
      </c>
      <c r="AK446" s="85">
        <f t="shared" si="290"/>
        <v>47.714808043875699</v>
      </c>
      <c r="AL446" s="85">
        <f t="shared" si="290"/>
        <v>47.714808043875699</v>
      </c>
      <c r="AM446" s="85">
        <f t="shared" si="290"/>
        <v>47.714808043875699</v>
      </c>
      <c r="AN446" s="85">
        <f t="shared" si="290"/>
        <v>47.714808043875699</v>
      </c>
      <c r="AO446" s="85">
        <f t="shared" si="290"/>
        <v>47.714808043875699</v>
      </c>
    </row>
    <row r="447" spans="1:41" x14ac:dyDescent="0.35">
      <c r="A447" s="71" t="str">
        <f t="shared" si="284"/>
        <v>default</v>
      </c>
      <c r="B447" s="68" t="s">
        <v>23</v>
      </c>
      <c r="C447" s="75" t="s">
        <v>36</v>
      </c>
      <c r="D447" s="75" t="s">
        <v>81</v>
      </c>
      <c r="E447" s="86">
        <v>82.705667276051201</v>
      </c>
      <c r="F447" s="86">
        <v>82.705667276051201</v>
      </c>
      <c r="G447" s="86">
        <v>82.705667276051201</v>
      </c>
      <c r="H447" s="86">
        <v>82.705667276051201</v>
      </c>
      <c r="I447" s="86">
        <v>82.705667276051201</v>
      </c>
      <c r="J447" s="86">
        <v>82.705667276051201</v>
      </c>
      <c r="K447" s="86">
        <v>82.705667276051201</v>
      </c>
      <c r="L447" s="86">
        <v>82.705667276051201</v>
      </c>
      <c r="M447" s="86">
        <v>82.705667276051201</v>
      </c>
      <c r="N447" s="86">
        <v>82.705667276051201</v>
      </c>
      <c r="O447" s="86">
        <v>82.705667276051201</v>
      </c>
      <c r="P447" s="86">
        <v>82.705667276051201</v>
      </c>
      <c r="Q447" s="86">
        <v>82.705667276051201</v>
      </c>
      <c r="R447" s="86">
        <v>82.705667276051201</v>
      </c>
      <c r="S447" s="86">
        <v>82.705667276051201</v>
      </c>
      <c r="T447" s="86">
        <v>82.705667276051201</v>
      </c>
      <c r="U447" s="86">
        <v>82.705667276051201</v>
      </c>
      <c r="V447" s="86">
        <v>82.705667276051201</v>
      </c>
      <c r="W447" s="86">
        <v>82.705667276051201</v>
      </c>
      <c r="X447" s="86">
        <v>82.705667276051201</v>
      </c>
      <c r="Y447" s="86">
        <v>82.705667276051201</v>
      </c>
      <c r="Z447" s="86">
        <v>82.705667276051201</v>
      </c>
      <c r="AA447" s="86">
        <v>82.705667276051201</v>
      </c>
      <c r="AB447" s="86">
        <v>82.705667276051201</v>
      </c>
      <c r="AC447" s="86">
        <v>82.705667276051201</v>
      </c>
      <c r="AD447" s="86">
        <v>82.705667276051201</v>
      </c>
      <c r="AE447" s="86">
        <v>82.705667276051201</v>
      </c>
      <c r="AF447" s="85">
        <f t="shared" ref="AF447:AO447" si="291">AE447</f>
        <v>82.705667276051201</v>
      </c>
      <c r="AG447" s="85">
        <f t="shared" si="291"/>
        <v>82.705667276051201</v>
      </c>
      <c r="AH447" s="85">
        <f t="shared" si="291"/>
        <v>82.705667276051201</v>
      </c>
      <c r="AI447" s="85">
        <f t="shared" si="291"/>
        <v>82.705667276051201</v>
      </c>
      <c r="AJ447" s="85">
        <f t="shared" si="291"/>
        <v>82.705667276051201</v>
      </c>
      <c r="AK447" s="85">
        <f t="shared" si="291"/>
        <v>82.705667276051201</v>
      </c>
      <c r="AL447" s="85">
        <f t="shared" si="291"/>
        <v>82.705667276051201</v>
      </c>
      <c r="AM447" s="85">
        <f t="shared" si="291"/>
        <v>82.705667276051201</v>
      </c>
      <c r="AN447" s="85">
        <f t="shared" si="291"/>
        <v>82.705667276051201</v>
      </c>
      <c r="AO447" s="85">
        <f t="shared" si="291"/>
        <v>82.705667276051201</v>
      </c>
    </row>
    <row r="448" spans="1:41" x14ac:dyDescent="0.35">
      <c r="A448" s="71" t="str">
        <f t="shared" si="284"/>
        <v>default</v>
      </c>
      <c r="B448" s="72" t="s">
        <v>24</v>
      </c>
      <c r="C448" s="73" t="s">
        <v>36</v>
      </c>
      <c r="D448" s="73" t="s">
        <v>81</v>
      </c>
      <c r="E448" s="85">
        <v>82.705667276051201</v>
      </c>
      <c r="F448" s="85">
        <v>82.705667276051201</v>
      </c>
      <c r="G448" s="85">
        <v>82.705667276051201</v>
      </c>
      <c r="H448" s="85">
        <v>82.705667276051201</v>
      </c>
      <c r="I448" s="85">
        <v>82.705667276051201</v>
      </c>
      <c r="J448" s="85">
        <v>82.705667276051201</v>
      </c>
      <c r="K448" s="85">
        <v>82.705667276051201</v>
      </c>
      <c r="L448" s="85">
        <v>82.705667276051201</v>
      </c>
      <c r="M448" s="85">
        <v>82.705667276051201</v>
      </c>
      <c r="N448" s="85">
        <v>82.705667276051201</v>
      </c>
      <c r="O448" s="85">
        <v>82.705667276051201</v>
      </c>
      <c r="P448" s="85">
        <v>82.705667276051201</v>
      </c>
      <c r="Q448" s="85">
        <v>82.705667276051201</v>
      </c>
      <c r="R448" s="85">
        <v>82.705667276051201</v>
      </c>
      <c r="S448" s="85">
        <v>82.705667276051201</v>
      </c>
      <c r="T448" s="85">
        <v>82.705667276051201</v>
      </c>
      <c r="U448" s="85">
        <v>82.705667276051201</v>
      </c>
      <c r="V448" s="85">
        <v>82.705667276051201</v>
      </c>
      <c r="W448" s="85">
        <v>82.705667276051201</v>
      </c>
      <c r="X448" s="85">
        <v>82.705667276051201</v>
      </c>
      <c r="Y448" s="85">
        <v>82.705667276051201</v>
      </c>
      <c r="Z448" s="85">
        <v>82.705667276051201</v>
      </c>
      <c r="AA448" s="85">
        <v>82.705667276051201</v>
      </c>
      <c r="AB448" s="85">
        <v>82.705667276051201</v>
      </c>
      <c r="AC448" s="85">
        <v>82.705667276051201</v>
      </c>
      <c r="AD448" s="85">
        <v>82.705667276051201</v>
      </c>
      <c r="AE448" s="85">
        <v>82.705667276051201</v>
      </c>
      <c r="AF448" s="85">
        <f t="shared" ref="AF448:AO448" si="292">AE448</f>
        <v>82.705667276051201</v>
      </c>
      <c r="AG448" s="85">
        <f t="shared" si="292"/>
        <v>82.705667276051201</v>
      </c>
      <c r="AH448" s="85">
        <f t="shared" si="292"/>
        <v>82.705667276051201</v>
      </c>
      <c r="AI448" s="85">
        <f t="shared" si="292"/>
        <v>82.705667276051201</v>
      </c>
      <c r="AJ448" s="85">
        <f t="shared" si="292"/>
        <v>82.705667276051201</v>
      </c>
      <c r="AK448" s="85">
        <f t="shared" si="292"/>
        <v>82.705667276051201</v>
      </c>
      <c r="AL448" s="85">
        <f t="shared" si="292"/>
        <v>82.705667276051201</v>
      </c>
      <c r="AM448" s="85">
        <f t="shared" si="292"/>
        <v>82.705667276051201</v>
      </c>
      <c r="AN448" s="85">
        <f t="shared" si="292"/>
        <v>82.705667276051201</v>
      </c>
      <c r="AO448" s="85">
        <f t="shared" si="292"/>
        <v>82.705667276051201</v>
      </c>
    </row>
    <row r="449" spans="1:41" x14ac:dyDescent="0.35">
      <c r="A449" s="71" t="str">
        <f t="shared" ref="A449:A455" si="293">A447</f>
        <v>default</v>
      </c>
      <c r="B449" s="68" t="s">
        <v>17</v>
      </c>
      <c r="C449" s="75" t="s">
        <v>36</v>
      </c>
      <c r="D449" s="75" t="s">
        <v>81</v>
      </c>
      <c r="E449" s="86">
        <v>82.705667276051201</v>
      </c>
      <c r="F449" s="86">
        <v>82.705667276051201</v>
      </c>
      <c r="G449" s="86">
        <v>82.705667276051201</v>
      </c>
      <c r="H449" s="86">
        <v>82.705667276051201</v>
      </c>
      <c r="I449" s="86">
        <v>82.705667276051201</v>
      </c>
      <c r="J449" s="86">
        <v>82.705667276051201</v>
      </c>
      <c r="K449" s="86">
        <v>82.705667276051201</v>
      </c>
      <c r="L449" s="86">
        <v>82.705667276051201</v>
      </c>
      <c r="M449" s="86">
        <v>82.705667276051201</v>
      </c>
      <c r="N449" s="86">
        <v>82.705667276051201</v>
      </c>
      <c r="O449" s="86">
        <v>82.705667276051201</v>
      </c>
      <c r="P449" s="86">
        <v>82.705667276051201</v>
      </c>
      <c r="Q449" s="86">
        <v>82.705667276051201</v>
      </c>
      <c r="R449" s="86">
        <v>82.705667276051201</v>
      </c>
      <c r="S449" s="86">
        <v>82.705667276051201</v>
      </c>
      <c r="T449" s="86">
        <v>82.705667276051201</v>
      </c>
      <c r="U449" s="86">
        <v>82.705667276051201</v>
      </c>
      <c r="V449" s="86">
        <v>82.705667276051201</v>
      </c>
      <c r="W449" s="86">
        <v>82.705667276051201</v>
      </c>
      <c r="X449" s="86">
        <v>82.705667276051201</v>
      </c>
      <c r="Y449" s="86">
        <v>82.705667276051201</v>
      </c>
      <c r="Z449" s="86">
        <v>82.705667276051201</v>
      </c>
      <c r="AA449" s="86">
        <v>82.705667276051201</v>
      </c>
      <c r="AB449" s="86">
        <v>82.705667276051201</v>
      </c>
      <c r="AC449" s="86">
        <v>82.705667276051201</v>
      </c>
      <c r="AD449" s="86">
        <v>82.705667276051201</v>
      </c>
      <c r="AE449" s="86">
        <v>82.705667276051201</v>
      </c>
      <c r="AF449" s="85">
        <f t="shared" ref="AF449:AO449" si="294">AE449</f>
        <v>82.705667276051201</v>
      </c>
      <c r="AG449" s="85">
        <f t="shared" si="294"/>
        <v>82.705667276051201</v>
      </c>
      <c r="AH449" s="85">
        <f t="shared" si="294"/>
        <v>82.705667276051201</v>
      </c>
      <c r="AI449" s="85">
        <f t="shared" si="294"/>
        <v>82.705667276051201</v>
      </c>
      <c r="AJ449" s="85">
        <f t="shared" si="294"/>
        <v>82.705667276051201</v>
      </c>
      <c r="AK449" s="85">
        <f t="shared" si="294"/>
        <v>82.705667276051201</v>
      </c>
      <c r="AL449" s="85">
        <f t="shared" si="294"/>
        <v>82.705667276051201</v>
      </c>
      <c r="AM449" s="85">
        <f t="shared" si="294"/>
        <v>82.705667276051201</v>
      </c>
      <c r="AN449" s="85">
        <f t="shared" si="294"/>
        <v>82.705667276051201</v>
      </c>
      <c r="AO449" s="85">
        <f t="shared" si="294"/>
        <v>82.705667276051201</v>
      </c>
    </row>
    <row r="450" spans="1:41" x14ac:dyDescent="0.35">
      <c r="A450" s="71" t="str">
        <f t="shared" si="293"/>
        <v>default</v>
      </c>
      <c r="B450" s="72" t="s">
        <v>18</v>
      </c>
      <c r="C450" s="73" t="s">
        <v>36</v>
      </c>
      <c r="D450" s="73" t="s">
        <v>81</v>
      </c>
      <c r="E450" s="85">
        <v>82.705667276051201</v>
      </c>
      <c r="F450" s="85">
        <v>82.705667276051201</v>
      </c>
      <c r="G450" s="85">
        <v>82.705667276051201</v>
      </c>
      <c r="H450" s="85">
        <v>82.705667276051201</v>
      </c>
      <c r="I450" s="85">
        <v>82.705667276051201</v>
      </c>
      <c r="J450" s="85">
        <v>82.705667276051201</v>
      </c>
      <c r="K450" s="85">
        <v>82.705667276051201</v>
      </c>
      <c r="L450" s="85">
        <v>82.705667276051201</v>
      </c>
      <c r="M450" s="85">
        <v>82.705667276051201</v>
      </c>
      <c r="N450" s="85">
        <v>82.705667276051201</v>
      </c>
      <c r="O450" s="85">
        <v>82.705667276051201</v>
      </c>
      <c r="P450" s="85">
        <v>82.705667276051201</v>
      </c>
      <c r="Q450" s="85">
        <v>82.705667276051201</v>
      </c>
      <c r="R450" s="85">
        <v>82.705667276051201</v>
      </c>
      <c r="S450" s="85">
        <v>82.705667276051201</v>
      </c>
      <c r="T450" s="85">
        <v>82.705667276051201</v>
      </c>
      <c r="U450" s="85">
        <v>82.705667276051201</v>
      </c>
      <c r="V450" s="85">
        <v>82.705667276051201</v>
      </c>
      <c r="W450" s="85">
        <v>82.705667276051201</v>
      </c>
      <c r="X450" s="85">
        <v>82.705667276051201</v>
      </c>
      <c r="Y450" s="85">
        <v>82.705667276051201</v>
      </c>
      <c r="Z450" s="85">
        <v>82.705667276051201</v>
      </c>
      <c r="AA450" s="85">
        <v>82.705667276051201</v>
      </c>
      <c r="AB450" s="85">
        <v>82.705667276051201</v>
      </c>
      <c r="AC450" s="85">
        <v>82.705667276051201</v>
      </c>
      <c r="AD450" s="85">
        <v>82.705667276051201</v>
      </c>
      <c r="AE450" s="85">
        <v>82.705667276051201</v>
      </c>
      <c r="AF450" s="85">
        <f t="shared" ref="AF450:AO450" si="295">AE450</f>
        <v>82.705667276051201</v>
      </c>
      <c r="AG450" s="85">
        <f t="shared" si="295"/>
        <v>82.705667276051201</v>
      </c>
      <c r="AH450" s="85">
        <f t="shared" si="295"/>
        <v>82.705667276051201</v>
      </c>
      <c r="AI450" s="85">
        <f t="shared" si="295"/>
        <v>82.705667276051201</v>
      </c>
      <c r="AJ450" s="85">
        <f t="shared" si="295"/>
        <v>82.705667276051201</v>
      </c>
      <c r="AK450" s="85">
        <f t="shared" si="295"/>
        <v>82.705667276051201</v>
      </c>
      <c r="AL450" s="85">
        <f t="shared" si="295"/>
        <v>82.705667276051201</v>
      </c>
      <c r="AM450" s="85">
        <f t="shared" si="295"/>
        <v>82.705667276051201</v>
      </c>
      <c r="AN450" s="85">
        <f t="shared" si="295"/>
        <v>82.705667276051201</v>
      </c>
      <c r="AO450" s="85">
        <f t="shared" si="295"/>
        <v>82.705667276051201</v>
      </c>
    </row>
    <row r="451" spans="1:41" x14ac:dyDescent="0.35">
      <c r="A451" s="71" t="str">
        <f t="shared" si="293"/>
        <v>default</v>
      </c>
      <c r="B451" s="68" t="s">
        <v>19</v>
      </c>
      <c r="C451" s="75" t="s">
        <v>36</v>
      </c>
      <c r="D451" s="75" t="s">
        <v>81</v>
      </c>
      <c r="E451" s="86">
        <v>82.705667276051201</v>
      </c>
      <c r="F451" s="86">
        <v>82.705667276051201</v>
      </c>
      <c r="G451" s="86">
        <v>82.705667276051201</v>
      </c>
      <c r="H451" s="86">
        <v>82.705667276051201</v>
      </c>
      <c r="I451" s="86">
        <v>82.705667276051201</v>
      </c>
      <c r="J451" s="86">
        <v>82.705667276051201</v>
      </c>
      <c r="K451" s="86">
        <v>82.705667276051201</v>
      </c>
      <c r="L451" s="86">
        <v>82.705667276051201</v>
      </c>
      <c r="M451" s="86">
        <v>82.705667276051201</v>
      </c>
      <c r="N451" s="86">
        <v>82.705667276051201</v>
      </c>
      <c r="O451" s="86">
        <v>82.705667276051201</v>
      </c>
      <c r="P451" s="86">
        <v>82.705667276051201</v>
      </c>
      <c r="Q451" s="86">
        <v>82.705667276051201</v>
      </c>
      <c r="R451" s="86">
        <v>82.705667276051201</v>
      </c>
      <c r="S451" s="86">
        <v>82.705667276051201</v>
      </c>
      <c r="T451" s="86">
        <v>82.705667276051201</v>
      </c>
      <c r="U451" s="86">
        <v>82.705667276051201</v>
      </c>
      <c r="V451" s="86">
        <v>82.705667276051201</v>
      </c>
      <c r="W451" s="86">
        <v>82.705667276051201</v>
      </c>
      <c r="X451" s="86">
        <v>82.705667276051201</v>
      </c>
      <c r="Y451" s="86">
        <v>82.705667276051201</v>
      </c>
      <c r="Z451" s="86">
        <v>82.705667276051201</v>
      </c>
      <c r="AA451" s="86">
        <v>82.705667276051201</v>
      </c>
      <c r="AB451" s="86">
        <v>82.705667276051201</v>
      </c>
      <c r="AC451" s="86">
        <v>82.705667276051201</v>
      </c>
      <c r="AD451" s="86">
        <v>82.705667276051201</v>
      </c>
      <c r="AE451" s="86">
        <v>82.705667276051201</v>
      </c>
      <c r="AF451" s="85">
        <f t="shared" ref="AF451:AO451" si="296">AE451</f>
        <v>82.705667276051201</v>
      </c>
      <c r="AG451" s="85">
        <f t="shared" si="296"/>
        <v>82.705667276051201</v>
      </c>
      <c r="AH451" s="85">
        <f t="shared" si="296"/>
        <v>82.705667276051201</v>
      </c>
      <c r="AI451" s="85">
        <f t="shared" si="296"/>
        <v>82.705667276051201</v>
      </c>
      <c r="AJ451" s="85">
        <f t="shared" si="296"/>
        <v>82.705667276051201</v>
      </c>
      <c r="AK451" s="85">
        <f t="shared" si="296"/>
        <v>82.705667276051201</v>
      </c>
      <c r="AL451" s="85">
        <f t="shared" si="296"/>
        <v>82.705667276051201</v>
      </c>
      <c r="AM451" s="85">
        <f t="shared" si="296"/>
        <v>82.705667276051201</v>
      </c>
      <c r="AN451" s="85">
        <f t="shared" si="296"/>
        <v>82.705667276051201</v>
      </c>
      <c r="AO451" s="85">
        <f t="shared" si="296"/>
        <v>82.705667276051201</v>
      </c>
    </row>
    <row r="452" spans="1:41" x14ac:dyDescent="0.35">
      <c r="A452" s="71" t="str">
        <f t="shared" si="293"/>
        <v>default</v>
      </c>
      <c r="B452" s="72" t="s">
        <v>20</v>
      </c>
      <c r="C452" s="73" t="s">
        <v>36</v>
      </c>
      <c r="D452" s="73" t="s">
        <v>81</v>
      </c>
      <c r="E452" s="85">
        <v>82.705667276051201</v>
      </c>
      <c r="F452" s="85">
        <v>82.705667276051201</v>
      </c>
      <c r="G452" s="85">
        <v>82.705667276051201</v>
      </c>
      <c r="H452" s="85">
        <v>82.705667276051201</v>
      </c>
      <c r="I452" s="85">
        <v>82.705667276051201</v>
      </c>
      <c r="J452" s="85">
        <v>82.705667276051201</v>
      </c>
      <c r="K452" s="85">
        <v>82.705667276051201</v>
      </c>
      <c r="L452" s="85">
        <v>82.705667276051201</v>
      </c>
      <c r="M452" s="85">
        <v>82.705667276051201</v>
      </c>
      <c r="N452" s="85">
        <v>82.705667276051201</v>
      </c>
      <c r="O452" s="85">
        <v>82.705667276051201</v>
      </c>
      <c r="P452" s="85">
        <v>82.705667276051201</v>
      </c>
      <c r="Q452" s="85">
        <v>82.705667276051201</v>
      </c>
      <c r="R452" s="85">
        <v>82.705667276051201</v>
      </c>
      <c r="S452" s="85">
        <v>82.705667276051201</v>
      </c>
      <c r="T452" s="85">
        <v>82.705667276051201</v>
      </c>
      <c r="U452" s="85">
        <v>82.705667276051201</v>
      </c>
      <c r="V452" s="85">
        <v>82.705667276051201</v>
      </c>
      <c r="W452" s="85">
        <v>82.705667276051201</v>
      </c>
      <c r="X452" s="85">
        <v>82.705667276051201</v>
      </c>
      <c r="Y452" s="85">
        <v>82.705667276051201</v>
      </c>
      <c r="Z452" s="85">
        <v>82.705667276051201</v>
      </c>
      <c r="AA452" s="85">
        <v>82.705667276051201</v>
      </c>
      <c r="AB452" s="85">
        <v>82.705667276051201</v>
      </c>
      <c r="AC452" s="85">
        <v>82.705667276051201</v>
      </c>
      <c r="AD452" s="85">
        <v>82.705667276051201</v>
      </c>
      <c r="AE452" s="85">
        <v>82.705667276051201</v>
      </c>
      <c r="AF452" s="85">
        <f t="shared" ref="AF452:AO452" si="297">AE452</f>
        <v>82.705667276051201</v>
      </c>
      <c r="AG452" s="85">
        <f t="shared" si="297"/>
        <v>82.705667276051201</v>
      </c>
      <c r="AH452" s="85">
        <f t="shared" si="297"/>
        <v>82.705667276051201</v>
      </c>
      <c r="AI452" s="85">
        <f t="shared" si="297"/>
        <v>82.705667276051201</v>
      </c>
      <c r="AJ452" s="85">
        <f t="shared" si="297"/>
        <v>82.705667276051201</v>
      </c>
      <c r="AK452" s="85">
        <f t="shared" si="297"/>
        <v>82.705667276051201</v>
      </c>
      <c r="AL452" s="85">
        <f t="shared" si="297"/>
        <v>82.705667276051201</v>
      </c>
      <c r="AM452" s="85">
        <f t="shared" si="297"/>
        <v>82.705667276051201</v>
      </c>
      <c r="AN452" s="85">
        <f t="shared" si="297"/>
        <v>82.705667276051201</v>
      </c>
      <c r="AO452" s="85">
        <f t="shared" si="297"/>
        <v>82.705667276051201</v>
      </c>
    </row>
    <row r="453" spans="1:41" x14ac:dyDescent="0.35">
      <c r="A453" s="71" t="str">
        <f t="shared" si="293"/>
        <v>default</v>
      </c>
      <c r="B453" s="68" t="s">
        <v>21</v>
      </c>
      <c r="C453" s="75" t="s">
        <v>36</v>
      </c>
      <c r="D453" s="75" t="s">
        <v>81</v>
      </c>
      <c r="E453" s="86">
        <v>82.705667276051201</v>
      </c>
      <c r="F453" s="86">
        <v>82.705667276051201</v>
      </c>
      <c r="G453" s="86">
        <v>82.705667276051201</v>
      </c>
      <c r="H453" s="86">
        <v>82.705667276051201</v>
      </c>
      <c r="I453" s="86">
        <v>82.705667276051201</v>
      </c>
      <c r="J453" s="86">
        <v>82.705667276051201</v>
      </c>
      <c r="K453" s="86">
        <v>82.705667276051201</v>
      </c>
      <c r="L453" s="86">
        <v>82.705667276051201</v>
      </c>
      <c r="M453" s="86">
        <v>82.705667276051201</v>
      </c>
      <c r="N453" s="86">
        <v>82.705667276051201</v>
      </c>
      <c r="O453" s="86">
        <v>82.705667276051201</v>
      </c>
      <c r="P453" s="86">
        <v>82.705667276051201</v>
      </c>
      <c r="Q453" s="86">
        <v>82.705667276051201</v>
      </c>
      <c r="R453" s="86">
        <v>82.705667276051201</v>
      </c>
      <c r="S453" s="86">
        <v>82.705667276051201</v>
      </c>
      <c r="T453" s="86">
        <v>82.705667276051201</v>
      </c>
      <c r="U453" s="86">
        <v>82.705667276051201</v>
      </c>
      <c r="V453" s="86">
        <v>82.705667276051201</v>
      </c>
      <c r="W453" s="86">
        <v>82.705667276051201</v>
      </c>
      <c r="X453" s="86">
        <v>82.705667276051201</v>
      </c>
      <c r="Y453" s="86">
        <v>82.705667276051201</v>
      </c>
      <c r="Z453" s="86">
        <v>82.705667276051201</v>
      </c>
      <c r="AA453" s="86">
        <v>82.705667276051201</v>
      </c>
      <c r="AB453" s="86">
        <v>82.705667276051201</v>
      </c>
      <c r="AC453" s="86">
        <v>82.705667276051201</v>
      </c>
      <c r="AD453" s="86">
        <v>82.705667276051201</v>
      </c>
      <c r="AE453" s="86">
        <v>82.705667276051201</v>
      </c>
      <c r="AF453" s="85">
        <f t="shared" ref="AF453:AO453" si="298">AE453</f>
        <v>82.705667276051201</v>
      </c>
      <c r="AG453" s="85">
        <f t="shared" si="298"/>
        <v>82.705667276051201</v>
      </c>
      <c r="AH453" s="85">
        <f t="shared" si="298"/>
        <v>82.705667276051201</v>
      </c>
      <c r="AI453" s="85">
        <f t="shared" si="298"/>
        <v>82.705667276051201</v>
      </c>
      <c r="AJ453" s="85">
        <f t="shared" si="298"/>
        <v>82.705667276051201</v>
      </c>
      <c r="AK453" s="85">
        <f t="shared" si="298"/>
        <v>82.705667276051201</v>
      </c>
      <c r="AL453" s="85">
        <f t="shared" si="298"/>
        <v>82.705667276051201</v>
      </c>
      <c r="AM453" s="85">
        <f t="shared" si="298"/>
        <v>82.705667276051201</v>
      </c>
      <c r="AN453" s="85">
        <f t="shared" si="298"/>
        <v>82.705667276051201</v>
      </c>
      <c r="AO453" s="85">
        <f t="shared" si="298"/>
        <v>82.705667276051201</v>
      </c>
    </row>
    <row r="454" spans="1:41" x14ac:dyDescent="0.35">
      <c r="A454" s="71" t="str">
        <f t="shared" si="293"/>
        <v>default</v>
      </c>
      <c r="B454" s="72" t="s">
        <v>22</v>
      </c>
      <c r="C454" s="73" t="s">
        <v>36</v>
      </c>
      <c r="D454" s="73" t="s">
        <v>81</v>
      </c>
      <c r="E454" s="85">
        <v>82.705667276051201</v>
      </c>
      <c r="F454" s="85">
        <v>82.705667276051201</v>
      </c>
      <c r="G454" s="85">
        <v>82.705667276051201</v>
      </c>
      <c r="H454" s="85">
        <v>82.705667276051201</v>
      </c>
      <c r="I454" s="85">
        <v>82.705667276051201</v>
      </c>
      <c r="J454" s="85">
        <v>82.705667276051201</v>
      </c>
      <c r="K454" s="85">
        <v>82.705667276051201</v>
      </c>
      <c r="L454" s="85">
        <v>82.705667276051201</v>
      </c>
      <c r="M454" s="85">
        <v>82.705667276051201</v>
      </c>
      <c r="N454" s="85">
        <v>82.705667276051201</v>
      </c>
      <c r="O454" s="85">
        <v>82.705667276051201</v>
      </c>
      <c r="P454" s="85">
        <v>82.705667276051201</v>
      </c>
      <c r="Q454" s="85">
        <v>82.705667276051201</v>
      </c>
      <c r="R454" s="85">
        <v>82.705667276051201</v>
      </c>
      <c r="S454" s="85">
        <v>82.705667276051201</v>
      </c>
      <c r="T454" s="85">
        <v>82.705667276051201</v>
      </c>
      <c r="U454" s="85">
        <v>82.705667276051201</v>
      </c>
      <c r="V454" s="85">
        <v>82.705667276051201</v>
      </c>
      <c r="W454" s="85">
        <v>82.705667276051201</v>
      </c>
      <c r="X454" s="85">
        <v>82.705667276051201</v>
      </c>
      <c r="Y454" s="85">
        <v>82.705667276051201</v>
      </c>
      <c r="Z454" s="85">
        <v>82.705667276051201</v>
      </c>
      <c r="AA454" s="85">
        <v>82.705667276051201</v>
      </c>
      <c r="AB454" s="85">
        <v>82.705667276051201</v>
      </c>
      <c r="AC454" s="85">
        <v>82.705667276051201</v>
      </c>
      <c r="AD454" s="85">
        <v>82.705667276051201</v>
      </c>
      <c r="AE454" s="85">
        <v>82.705667276051201</v>
      </c>
      <c r="AF454" s="85">
        <f t="shared" ref="AF454:AO454" si="299">AE454</f>
        <v>82.705667276051201</v>
      </c>
      <c r="AG454" s="85">
        <f t="shared" si="299"/>
        <v>82.705667276051201</v>
      </c>
      <c r="AH454" s="85">
        <f t="shared" si="299"/>
        <v>82.705667276051201</v>
      </c>
      <c r="AI454" s="85">
        <f t="shared" si="299"/>
        <v>82.705667276051201</v>
      </c>
      <c r="AJ454" s="85">
        <f t="shared" si="299"/>
        <v>82.705667276051201</v>
      </c>
      <c r="AK454" s="85">
        <f t="shared" si="299"/>
        <v>82.705667276051201</v>
      </c>
      <c r="AL454" s="85">
        <f t="shared" si="299"/>
        <v>82.705667276051201</v>
      </c>
      <c r="AM454" s="85">
        <f t="shared" si="299"/>
        <v>82.705667276051201</v>
      </c>
      <c r="AN454" s="85">
        <f t="shared" si="299"/>
        <v>82.705667276051201</v>
      </c>
      <c r="AO454" s="85">
        <f t="shared" si="299"/>
        <v>82.705667276051201</v>
      </c>
    </row>
    <row r="455" spans="1:41" x14ac:dyDescent="0.35">
      <c r="A455" s="71" t="str">
        <f t="shared" si="293"/>
        <v>default</v>
      </c>
      <c r="B455" s="72" t="s">
        <v>117</v>
      </c>
      <c r="C455" s="73" t="s">
        <v>36</v>
      </c>
      <c r="D455" s="73" t="s">
        <v>81</v>
      </c>
      <c r="E455" s="85">
        <v>82.705667276051201</v>
      </c>
      <c r="F455" s="85">
        <v>82.705667276051201</v>
      </c>
      <c r="G455" s="85">
        <v>82.705667276051201</v>
      </c>
      <c r="H455" s="85">
        <v>82.705667276051201</v>
      </c>
      <c r="I455" s="85">
        <v>82.705667276051201</v>
      </c>
      <c r="J455" s="85">
        <v>82.705667276051201</v>
      </c>
      <c r="K455" s="85">
        <v>82.705667276051201</v>
      </c>
      <c r="L455" s="85">
        <v>82.705667276051201</v>
      </c>
      <c r="M455" s="85">
        <v>82.705667276051201</v>
      </c>
      <c r="N455" s="85">
        <v>82.705667276051201</v>
      </c>
      <c r="O455" s="85">
        <v>82.705667276051201</v>
      </c>
      <c r="P455" s="85">
        <v>82.705667276051201</v>
      </c>
      <c r="Q455" s="85">
        <v>82.705667276051201</v>
      </c>
      <c r="R455" s="85">
        <v>82.705667276051201</v>
      </c>
      <c r="S455" s="85">
        <v>82.705667276051201</v>
      </c>
      <c r="T455" s="85">
        <v>82.705667276051201</v>
      </c>
      <c r="U455" s="85">
        <v>82.705667276051201</v>
      </c>
      <c r="V455" s="85">
        <v>82.705667276051201</v>
      </c>
      <c r="W455" s="85">
        <v>82.705667276051201</v>
      </c>
      <c r="X455" s="85">
        <v>82.705667276051201</v>
      </c>
      <c r="Y455" s="85">
        <v>82.705667276051201</v>
      </c>
      <c r="Z455" s="85">
        <v>82.705667276051201</v>
      </c>
      <c r="AA455" s="85">
        <v>82.705667276051201</v>
      </c>
      <c r="AB455" s="85">
        <v>82.705667276051201</v>
      </c>
      <c r="AC455" s="85">
        <v>82.705667276051201</v>
      </c>
      <c r="AD455" s="85">
        <v>82.705667276051201</v>
      </c>
      <c r="AE455" s="85">
        <v>82.705667276051201</v>
      </c>
      <c r="AF455" s="85">
        <f t="shared" ref="AF455" si="300">AE455</f>
        <v>82.705667276051201</v>
      </c>
      <c r="AG455" s="85">
        <f t="shared" ref="AG455" si="301">AF455</f>
        <v>82.705667276051201</v>
      </c>
      <c r="AH455" s="85">
        <f t="shared" ref="AH455" si="302">AG455</f>
        <v>82.705667276051201</v>
      </c>
      <c r="AI455" s="85">
        <f t="shared" ref="AI455" si="303">AH455</f>
        <v>82.705667276051201</v>
      </c>
      <c r="AJ455" s="85">
        <f t="shared" ref="AJ455" si="304">AI455</f>
        <v>82.705667276051201</v>
      </c>
      <c r="AK455" s="85">
        <f t="shared" ref="AK455" si="305">AJ455</f>
        <v>82.705667276051201</v>
      </c>
      <c r="AL455" s="85">
        <f t="shared" ref="AL455" si="306">AK455</f>
        <v>82.705667276051201</v>
      </c>
      <c r="AM455" s="85">
        <f t="shared" ref="AM455" si="307">AL455</f>
        <v>82.705667276051201</v>
      </c>
      <c r="AN455" s="85">
        <f t="shared" ref="AN455" si="308">AM455</f>
        <v>82.705667276051201</v>
      </c>
      <c r="AO455" s="85">
        <f t="shared" ref="AO455" si="309">AN455</f>
        <v>82.705667276051201</v>
      </c>
    </row>
    <row r="456" spans="1:41" x14ac:dyDescent="0.35">
      <c r="A456" s="71" t="str">
        <f>A449</f>
        <v>default</v>
      </c>
      <c r="B456" s="68" t="s">
        <v>12</v>
      </c>
      <c r="C456" s="75" t="s">
        <v>36</v>
      </c>
      <c r="D456" s="75" t="s">
        <v>81</v>
      </c>
      <c r="E456" s="86">
        <v>0</v>
      </c>
      <c r="F456" s="86">
        <v>0</v>
      </c>
      <c r="G456" s="86">
        <v>0</v>
      </c>
      <c r="H456" s="86">
        <v>0</v>
      </c>
      <c r="I456" s="86">
        <v>0</v>
      </c>
      <c r="J456" s="86">
        <v>0</v>
      </c>
      <c r="K456" s="86">
        <v>0</v>
      </c>
      <c r="L456" s="86">
        <v>0</v>
      </c>
      <c r="M456" s="86">
        <v>0</v>
      </c>
      <c r="N456" s="86">
        <v>0</v>
      </c>
      <c r="O456" s="86">
        <v>0</v>
      </c>
      <c r="P456" s="86">
        <v>0</v>
      </c>
      <c r="Q456" s="86">
        <v>0</v>
      </c>
      <c r="R456" s="86">
        <v>0</v>
      </c>
      <c r="S456" s="86">
        <v>0</v>
      </c>
      <c r="T456" s="86">
        <v>0</v>
      </c>
      <c r="U456" s="86">
        <v>0</v>
      </c>
      <c r="V456" s="86">
        <v>0</v>
      </c>
      <c r="W456" s="86">
        <v>0</v>
      </c>
      <c r="X456" s="86">
        <v>0</v>
      </c>
      <c r="Y456" s="86">
        <v>0</v>
      </c>
      <c r="Z456" s="86">
        <v>0</v>
      </c>
      <c r="AA456" s="86">
        <v>0</v>
      </c>
      <c r="AB456" s="86">
        <v>0</v>
      </c>
      <c r="AC456" s="86">
        <v>0</v>
      </c>
      <c r="AD456" s="86">
        <v>0</v>
      </c>
      <c r="AE456" s="86">
        <v>0</v>
      </c>
      <c r="AF456" s="85">
        <f t="shared" ref="AF456:AO456" si="310">AE456</f>
        <v>0</v>
      </c>
      <c r="AG456" s="85">
        <f t="shared" si="310"/>
        <v>0</v>
      </c>
      <c r="AH456" s="85">
        <f t="shared" si="310"/>
        <v>0</v>
      </c>
      <c r="AI456" s="85">
        <f t="shared" si="310"/>
        <v>0</v>
      </c>
      <c r="AJ456" s="85">
        <f t="shared" si="310"/>
        <v>0</v>
      </c>
      <c r="AK456" s="85">
        <f t="shared" si="310"/>
        <v>0</v>
      </c>
      <c r="AL456" s="85">
        <f t="shared" si="310"/>
        <v>0</v>
      </c>
      <c r="AM456" s="85">
        <f t="shared" si="310"/>
        <v>0</v>
      </c>
      <c r="AN456" s="85">
        <f t="shared" si="310"/>
        <v>0</v>
      </c>
      <c r="AO456" s="85">
        <f t="shared" si="310"/>
        <v>0</v>
      </c>
    </row>
    <row r="457" spans="1:41" x14ac:dyDescent="0.35">
      <c r="A457" s="71" t="str">
        <f>A456</f>
        <v>default</v>
      </c>
      <c r="B457" s="72" t="s">
        <v>13</v>
      </c>
      <c r="C457" s="73" t="s">
        <v>36</v>
      </c>
      <c r="D457" s="73" t="s">
        <v>81</v>
      </c>
      <c r="E457" s="85">
        <v>1.0603290676416801E-2</v>
      </c>
      <c r="F457" s="85">
        <v>1.0603290676416801E-2</v>
      </c>
      <c r="G457" s="85">
        <v>1.0603290676416801E-2</v>
      </c>
      <c r="H457" s="85">
        <v>1.0603290676416801E-2</v>
      </c>
      <c r="I457" s="85">
        <v>1.0603290676416801E-2</v>
      </c>
      <c r="J457" s="85">
        <v>1.0603290676416801E-2</v>
      </c>
      <c r="K457" s="85">
        <v>1.0603290676416801E-2</v>
      </c>
      <c r="L457" s="85">
        <v>1.0603290676416801E-2</v>
      </c>
      <c r="M457" s="85">
        <v>1.0603290676416801E-2</v>
      </c>
      <c r="N457" s="85">
        <v>1.0603290676416801E-2</v>
      </c>
      <c r="O457" s="85">
        <v>1.0603290676416801E-2</v>
      </c>
      <c r="P457" s="85">
        <v>1.0603290676416801E-2</v>
      </c>
      <c r="Q457" s="85">
        <v>1.0603290676416801E-2</v>
      </c>
      <c r="R457" s="85">
        <v>1.0603290676416801E-2</v>
      </c>
      <c r="S457" s="85">
        <v>1.0603290676416801E-2</v>
      </c>
      <c r="T457" s="85">
        <v>1.0603290676416801E-2</v>
      </c>
      <c r="U457" s="85">
        <v>1.0603290676416801E-2</v>
      </c>
      <c r="V457" s="85">
        <v>1.0603290676416801E-2</v>
      </c>
      <c r="W457" s="85">
        <v>1.0603290676416801E-2</v>
      </c>
      <c r="X457" s="85">
        <v>1.0603290676416801E-2</v>
      </c>
      <c r="Y457" s="85">
        <v>1.0603290676416801E-2</v>
      </c>
      <c r="Z457" s="85">
        <v>1.0603290676416801E-2</v>
      </c>
      <c r="AA457" s="85">
        <v>1.0603290676416801E-2</v>
      </c>
      <c r="AB457" s="85">
        <v>1.0603290676416801E-2</v>
      </c>
      <c r="AC457" s="85">
        <v>1.0603290676416801E-2</v>
      </c>
      <c r="AD457" s="85">
        <v>1.0603290676416801E-2</v>
      </c>
      <c r="AE457" s="85">
        <v>1.0603290676416801E-2</v>
      </c>
      <c r="AF457" s="85">
        <f t="shared" ref="AF457:AO457" si="311">AE457</f>
        <v>1.0603290676416801E-2</v>
      </c>
      <c r="AG457" s="85">
        <f t="shared" si="311"/>
        <v>1.0603290676416801E-2</v>
      </c>
      <c r="AH457" s="85">
        <f t="shared" si="311"/>
        <v>1.0603290676416801E-2</v>
      </c>
      <c r="AI457" s="85">
        <f t="shared" si="311"/>
        <v>1.0603290676416801E-2</v>
      </c>
      <c r="AJ457" s="85">
        <f t="shared" si="311"/>
        <v>1.0603290676416801E-2</v>
      </c>
      <c r="AK457" s="85">
        <f t="shared" si="311"/>
        <v>1.0603290676416801E-2</v>
      </c>
      <c r="AL457" s="85">
        <f t="shared" si="311"/>
        <v>1.0603290676416801E-2</v>
      </c>
      <c r="AM457" s="85">
        <f t="shared" si="311"/>
        <v>1.0603290676416801E-2</v>
      </c>
      <c r="AN457" s="85">
        <f t="shared" si="311"/>
        <v>1.0603290676416801E-2</v>
      </c>
      <c r="AO457" s="85">
        <f t="shared" si="311"/>
        <v>1.0603290676416801E-2</v>
      </c>
    </row>
    <row r="458" spans="1:41" x14ac:dyDescent="0.35">
      <c r="A458" s="71" t="str">
        <f>A457</f>
        <v>default</v>
      </c>
      <c r="B458" s="68" t="s">
        <v>14</v>
      </c>
      <c r="C458" s="75" t="s">
        <v>36</v>
      </c>
      <c r="D458" s="75" t="s">
        <v>81</v>
      </c>
      <c r="E458" s="86">
        <v>1.0603290676416801E-2</v>
      </c>
      <c r="F458" s="86">
        <v>1.0603290676416801E-2</v>
      </c>
      <c r="G458" s="86">
        <v>1.0603290676416801E-2</v>
      </c>
      <c r="H458" s="86">
        <v>1.0603290676416801E-2</v>
      </c>
      <c r="I458" s="86">
        <v>1.0603290676416801E-2</v>
      </c>
      <c r="J458" s="86">
        <v>1.0603290676416801E-2</v>
      </c>
      <c r="K458" s="86">
        <v>1.0603290676416801E-2</v>
      </c>
      <c r="L458" s="86">
        <v>1.0603290676416801E-2</v>
      </c>
      <c r="M458" s="86">
        <v>1.0603290676416801E-2</v>
      </c>
      <c r="N458" s="86">
        <v>1.0603290676416801E-2</v>
      </c>
      <c r="O458" s="86">
        <v>1.0603290676416801E-2</v>
      </c>
      <c r="P458" s="86">
        <v>1.0603290676416801E-2</v>
      </c>
      <c r="Q458" s="86">
        <v>1.0603290676416801E-2</v>
      </c>
      <c r="R458" s="86">
        <v>1.0603290676416801E-2</v>
      </c>
      <c r="S458" s="86">
        <v>1.0603290676416801E-2</v>
      </c>
      <c r="T458" s="86">
        <v>1.0603290676416801E-2</v>
      </c>
      <c r="U458" s="86">
        <v>1.0603290676416801E-2</v>
      </c>
      <c r="V458" s="86">
        <v>1.0603290676416801E-2</v>
      </c>
      <c r="W458" s="86">
        <v>1.0603290676416801E-2</v>
      </c>
      <c r="X458" s="86">
        <v>1.0603290676416801E-2</v>
      </c>
      <c r="Y458" s="86">
        <v>1.0603290676416801E-2</v>
      </c>
      <c r="Z458" s="86">
        <v>1.0603290676416801E-2</v>
      </c>
      <c r="AA458" s="86">
        <v>1.0603290676416801E-2</v>
      </c>
      <c r="AB458" s="86">
        <v>1.0603290676416801E-2</v>
      </c>
      <c r="AC458" s="86">
        <v>1.0603290676416801E-2</v>
      </c>
      <c r="AD458" s="86">
        <v>1.0603290676416801E-2</v>
      </c>
      <c r="AE458" s="86">
        <v>1.0603290676416801E-2</v>
      </c>
      <c r="AF458" s="85">
        <f t="shared" ref="AF458:AO458" si="312">AE458</f>
        <v>1.0603290676416801E-2</v>
      </c>
      <c r="AG458" s="85">
        <f t="shared" si="312"/>
        <v>1.0603290676416801E-2</v>
      </c>
      <c r="AH458" s="85">
        <f t="shared" si="312"/>
        <v>1.0603290676416801E-2</v>
      </c>
      <c r="AI458" s="85">
        <f t="shared" si="312"/>
        <v>1.0603290676416801E-2</v>
      </c>
      <c r="AJ458" s="85">
        <f t="shared" si="312"/>
        <v>1.0603290676416801E-2</v>
      </c>
      <c r="AK458" s="85">
        <f t="shared" si="312"/>
        <v>1.0603290676416801E-2</v>
      </c>
      <c r="AL458" s="85">
        <f t="shared" si="312"/>
        <v>1.0603290676416801E-2</v>
      </c>
      <c r="AM458" s="85">
        <f t="shared" si="312"/>
        <v>1.0603290676416801E-2</v>
      </c>
      <c r="AN458" s="85">
        <f t="shared" si="312"/>
        <v>1.0603290676416801E-2</v>
      </c>
      <c r="AO458" s="85">
        <f t="shared" si="312"/>
        <v>1.0603290676416801E-2</v>
      </c>
    </row>
    <row r="459" spans="1:41" x14ac:dyDescent="0.35">
      <c r="A459" s="71" t="str">
        <f>A458</f>
        <v>default</v>
      </c>
      <c r="B459" s="72" t="s">
        <v>10</v>
      </c>
      <c r="C459" s="73" t="s">
        <v>36</v>
      </c>
      <c r="D459" s="73" t="s">
        <v>81</v>
      </c>
      <c r="E459" s="85">
        <v>2.1206581352833601E-2</v>
      </c>
      <c r="F459" s="85">
        <v>2.1206581352833601E-2</v>
      </c>
      <c r="G459" s="85">
        <v>2.1206581352833601E-2</v>
      </c>
      <c r="H459" s="85">
        <v>2.1206581352833601E-2</v>
      </c>
      <c r="I459" s="85">
        <v>2.1206581352833601E-2</v>
      </c>
      <c r="J459" s="85">
        <v>2.1206581352833601E-2</v>
      </c>
      <c r="K459" s="85">
        <v>2.1206581352833601E-2</v>
      </c>
      <c r="L459" s="85">
        <v>2.1206581352833601E-2</v>
      </c>
      <c r="M459" s="85">
        <v>2.1206581352833601E-2</v>
      </c>
      <c r="N459" s="85">
        <v>2.1206581352833601E-2</v>
      </c>
      <c r="O459" s="85">
        <v>2.1206581352833601E-2</v>
      </c>
      <c r="P459" s="85">
        <v>2.1206581352833601E-2</v>
      </c>
      <c r="Q459" s="85">
        <v>2.1206581352833601E-2</v>
      </c>
      <c r="R459" s="85">
        <v>2.1206581352833601E-2</v>
      </c>
      <c r="S459" s="85">
        <v>2.1206581352833601E-2</v>
      </c>
      <c r="T459" s="85">
        <v>2.1206581352833601E-2</v>
      </c>
      <c r="U459" s="85">
        <v>2.1206581352833601E-2</v>
      </c>
      <c r="V459" s="85">
        <v>2.1206581352833601E-2</v>
      </c>
      <c r="W459" s="85">
        <v>2.1206581352833601E-2</v>
      </c>
      <c r="X459" s="85">
        <v>2.1206581352833601E-2</v>
      </c>
      <c r="Y459" s="85">
        <v>2.1206581352833601E-2</v>
      </c>
      <c r="Z459" s="85">
        <v>2.1206581352833601E-2</v>
      </c>
      <c r="AA459" s="85">
        <v>2.1206581352833601E-2</v>
      </c>
      <c r="AB459" s="85">
        <v>2.1206581352833601E-2</v>
      </c>
      <c r="AC459" s="85">
        <v>2.1206581352833601E-2</v>
      </c>
      <c r="AD459" s="85">
        <v>2.1206581352833601E-2</v>
      </c>
      <c r="AE459" s="85">
        <v>2.1206581352833601E-2</v>
      </c>
      <c r="AF459" s="85">
        <f t="shared" ref="AF459:AO459" si="313">AE459</f>
        <v>2.1206581352833601E-2</v>
      </c>
      <c r="AG459" s="85">
        <f t="shared" si="313"/>
        <v>2.1206581352833601E-2</v>
      </c>
      <c r="AH459" s="85">
        <f t="shared" si="313"/>
        <v>2.1206581352833601E-2</v>
      </c>
      <c r="AI459" s="85">
        <f t="shared" si="313"/>
        <v>2.1206581352833601E-2</v>
      </c>
      <c r="AJ459" s="85">
        <f t="shared" si="313"/>
        <v>2.1206581352833601E-2</v>
      </c>
      <c r="AK459" s="85">
        <f t="shared" si="313"/>
        <v>2.1206581352833601E-2</v>
      </c>
      <c r="AL459" s="85">
        <f t="shared" si="313"/>
        <v>2.1206581352833601E-2</v>
      </c>
      <c r="AM459" s="85">
        <f t="shared" si="313"/>
        <v>2.1206581352833601E-2</v>
      </c>
      <c r="AN459" s="85">
        <f t="shared" si="313"/>
        <v>2.1206581352833601E-2</v>
      </c>
      <c r="AO459" s="85">
        <f t="shared" si="313"/>
        <v>2.1206581352833601E-2</v>
      </c>
    </row>
    <row r="460" spans="1:41" x14ac:dyDescent="0.35">
      <c r="A460" s="71" t="str">
        <f>A459</f>
        <v>default</v>
      </c>
      <c r="B460" s="68" t="s">
        <v>11</v>
      </c>
      <c r="C460" s="75" t="s">
        <v>36</v>
      </c>
      <c r="D460" s="75" t="s">
        <v>81</v>
      </c>
      <c r="E460" s="86">
        <v>2.1206581352833601E-2</v>
      </c>
      <c r="F460" s="86">
        <v>2.1206581352833601E-2</v>
      </c>
      <c r="G460" s="86">
        <v>2.1206581352833601E-2</v>
      </c>
      <c r="H460" s="86">
        <v>2.1206581352833601E-2</v>
      </c>
      <c r="I460" s="86">
        <v>2.1206581352833601E-2</v>
      </c>
      <c r="J460" s="86">
        <v>2.1206581352833601E-2</v>
      </c>
      <c r="K460" s="86">
        <v>2.1206581352833601E-2</v>
      </c>
      <c r="L460" s="86">
        <v>2.1206581352833601E-2</v>
      </c>
      <c r="M460" s="86">
        <v>2.1206581352833601E-2</v>
      </c>
      <c r="N460" s="86">
        <v>2.1206581352833601E-2</v>
      </c>
      <c r="O460" s="86">
        <v>2.1206581352833601E-2</v>
      </c>
      <c r="P460" s="86">
        <v>2.1206581352833601E-2</v>
      </c>
      <c r="Q460" s="86">
        <v>2.1206581352833601E-2</v>
      </c>
      <c r="R460" s="86">
        <v>2.1206581352833601E-2</v>
      </c>
      <c r="S460" s="86">
        <v>2.1206581352833601E-2</v>
      </c>
      <c r="T460" s="86">
        <v>2.1206581352833601E-2</v>
      </c>
      <c r="U460" s="86">
        <v>2.1206581352833601E-2</v>
      </c>
      <c r="V460" s="86">
        <v>2.1206581352833601E-2</v>
      </c>
      <c r="W460" s="86">
        <v>2.1206581352833601E-2</v>
      </c>
      <c r="X460" s="86">
        <v>2.1206581352833601E-2</v>
      </c>
      <c r="Y460" s="86">
        <v>2.1206581352833601E-2</v>
      </c>
      <c r="Z460" s="86">
        <v>2.1206581352833601E-2</v>
      </c>
      <c r="AA460" s="86">
        <v>2.1206581352833601E-2</v>
      </c>
      <c r="AB460" s="86">
        <v>2.1206581352833601E-2</v>
      </c>
      <c r="AC460" s="86">
        <v>2.1206581352833601E-2</v>
      </c>
      <c r="AD460" s="86">
        <v>2.1206581352833601E-2</v>
      </c>
      <c r="AE460" s="86">
        <v>2.1206581352833601E-2</v>
      </c>
      <c r="AF460" s="85">
        <f t="shared" ref="AF460:AO460" si="314">AE460</f>
        <v>2.1206581352833601E-2</v>
      </c>
      <c r="AG460" s="85">
        <f t="shared" si="314"/>
        <v>2.1206581352833601E-2</v>
      </c>
      <c r="AH460" s="85">
        <f t="shared" si="314"/>
        <v>2.1206581352833601E-2</v>
      </c>
      <c r="AI460" s="85">
        <f t="shared" si="314"/>
        <v>2.1206581352833601E-2</v>
      </c>
      <c r="AJ460" s="85">
        <f t="shared" si="314"/>
        <v>2.1206581352833601E-2</v>
      </c>
      <c r="AK460" s="85">
        <f t="shared" si="314"/>
        <v>2.1206581352833601E-2</v>
      </c>
      <c r="AL460" s="85">
        <f t="shared" si="314"/>
        <v>2.1206581352833601E-2</v>
      </c>
      <c r="AM460" s="85">
        <f t="shared" si="314"/>
        <v>2.1206581352833601E-2</v>
      </c>
      <c r="AN460" s="85">
        <f t="shared" si="314"/>
        <v>2.1206581352833601E-2</v>
      </c>
      <c r="AO460" s="85">
        <f t="shared" si="314"/>
        <v>2.1206581352833601E-2</v>
      </c>
    </row>
    <row r="461" spans="1:41" x14ac:dyDescent="0.35">
      <c r="A461" s="71" t="str">
        <f>A459</f>
        <v>default</v>
      </c>
      <c r="B461" s="72" t="s">
        <v>8</v>
      </c>
      <c r="C461" s="73" t="s">
        <v>36</v>
      </c>
      <c r="D461" s="73" t="s">
        <v>81</v>
      </c>
      <c r="E461" s="85">
        <v>2.1206581352833601E-2</v>
      </c>
      <c r="F461" s="85">
        <v>2.1206581352833601E-2</v>
      </c>
      <c r="G461" s="85">
        <v>2.1206581352833601E-2</v>
      </c>
      <c r="H461" s="85">
        <v>2.1206581352833601E-2</v>
      </c>
      <c r="I461" s="85">
        <v>2.1206581352833601E-2</v>
      </c>
      <c r="J461" s="85">
        <v>2.1206581352833601E-2</v>
      </c>
      <c r="K461" s="85">
        <v>2.1206581352833601E-2</v>
      </c>
      <c r="L461" s="85">
        <v>2.1206581352833601E-2</v>
      </c>
      <c r="M461" s="85">
        <v>2.1206581352833601E-2</v>
      </c>
      <c r="N461" s="85">
        <v>2.1206581352833601E-2</v>
      </c>
      <c r="O461" s="85">
        <v>2.1206581352833601E-2</v>
      </c>
      <c r="P461" s="85">
        <v>2.1206581352833601E-2</v>
      </c>
      <c r="Q461" s="85">
        <v>2.1206581352833601E-2</v>
      </c>
      <c r="R461" s="85">
        <v>2.1206581352833601E-2</v>
      </c>
      <c r="S461" s="85">
        <v>2.1206581352833601E-2</v>
      </c>
      <c r="T461" s="85">
        <v>2.1206581352833601E-2</v>
      </c>
      <c r="U461" s="85">
        <v>2.1206581352833601E-2</v>
      </c>
      <c r="V461" s="85">
        <v>2.1206581352833601E-2</v>
      </c>
      <c r="W461" s="85">
        <v>2.1206581352833601E-2</v>
      </c>
      <c r="X461" s="85">
        <v>2.1206581352833601E-2</v>
      </c>
      <c r="Y461" s="85">
        <v>2.1206581352833601E-2</v>
      </c>
      <c r="Z461" s="85">
        <v>2.1206581352833601E-2</v>
      </c>
      <c r="AA461" s="85">
        <v>2.1206581352833601E-2</v>
      </c>
      <c r="AB461" s="85">
        <v>2.1206581352833601E-2</v>
      </c>
      <c r="AC461" s="85">
        <v>2.1206581352833601E-2</v>
      </c>
      <c r="AD461" s="85">
        <v>2.1206581352833601E-2</v>
      </c>
      <c r="AE461" s="85">
        <v>2.1206581352833601E-2</v>
      </c>
      <c r="AF461" s="85">
        <f t="shared" ref="AF461:AO461" si="315">AE461</f>
        <v>2.1206581352833601E-2</v>
      </c>
      <c r="AG461" s="85">
        <f t="shared" si="315"/>
        <v>2.1206581352833601E-2</v>
      </c>
      <c r="AH461" s="85">
        <f t="shared" si="315"/>
        <v>2.1206581352833601E-2</v>
      </c>
      <c r="AI461" s="85">
        <f t="shared" si="315"/>
        <v>2.1206581352833601E-2</v>
      </c>
      <c r="AJ461" s="85">
        <f t="shared" si="315"/>
        <v>2.1206581352833601E-2</v>
      </c>
      <c r="AK461" s="85">
        <f t="shared" si="315"/>
        <v>2.1206581352833601E-2</v>
      </c>
      <c r="AL461" s="85">
        <f t="shared" si="315"/>
        <v>2.1206581352833601E-2</v>
      </c>
      <c r="AM461" s="85">
        <f t="shared" si="315"/>
        <v>2.1206581352833601E-2</v>
      </c>
      <c r="AN461" s="85">
        <f t="shared" si="315"/>
        <v>2.1206581352833601E-2</v>
      </c>
      <c r="AO461" s="85">
        <f t="shared" si="315"/>
        <v>2.1206581352833601E-2</v>
      </c>
    </row>
    <row r="462" spans="1:41" x14ac:dyDescent="0.35">
      <c r="A462" s="71" t="str">
        <f t="shared" ref="A462:A473" si="316">A459</f>
        <v>default</v>
      </c>
      <c r="B462" s="68" t="s">
        <v>28</v>
      </c>
      <c r="C462" s="75" t="s">
        <v>36</v>
      </c>
      <c r="D462" s="75" t="s">
        <v>81</v>
      </c>
      <c r="E462" s="86">
        <v>0</v>
      </c>
      <c r="F462" s="86">
        <v>0</v>
      </c>
      <c r="G462" s="86">
        <v>0</v>
      </c>
      <c r="H462" s="86">
        <v>0</v>
      </c>
      <c r="I462" s="86">
        <v>0</v>
      </c>
      <c r="J462" s="86">
        <v>0</v>
      </c>
      <c r="K462" s="86">
        <v>0</v>
      </c>
      <c r="L462" s="86">
        <v>0</v>
      </c>
      <c r="M462" s="86">
        <v>0</v>
      </c>
      <c r="N462" s="86">
        <v>0</v>
      </c>
      <c r="O462" s="86">
        <v>0</v>
      </c>
      <c r="P462" s="86">
        <v>0</v>
      </c>
      <c r="Q462" s="86">
        <v>0</v>
      </c>
      <c r="R462" s="86">
        <v>0</v>
      </c>
      <c r="S462" s="86">
        <v>0</v>
      </c>
      <c r="T462" s="86">
        <v>0</v>
      </c>
      <c r="U462" s="86">
        <v>0</v>
      </c>
      <c r="V462" s="86">
        <v>0</v>
      </c>
      <c r="W462" s="86">
        <v>0</v>
      </c>
      <c r="X462" s="86">
        <v>0</v>
      </c>
      <c r="Y462" s="86">
        <v>0</v>
      </c>
      <c r="Z462" s="86">
        <v>0</v>
      </c>
      <c r="AA462" s="86">
        <v>0</v>
      </c>
      <c r="AB462" s="86">
        <v>0</v>
      </c>
      <c r="AC462" s="86">
        <v>0</v>
      </c>
      <c r="AD462" s="86">
        <v>0</v>
      </c>
      <c r="AE462" s="86">
        <v>0</v>
      </c>
      <c r="AF462" s="85">
        <f t="shared" ref="AF462:AO462" si="317">AE462</f>
        <v>0</v>
      </c>
      <c r="AG462" s="85">
        <f t="shared" si="317"/>
        <v>0</v>
      </c>
      <c r="AH462" s="85">
        <f t="shared" si="317"/>
        <v>0</v>
      </c>
      <c r="AI462" s="85">
        <f t="shared" si="317"/>
        <v>0</v>
      </c>
      <c r="AJ462" s="85">
        <f t="shared" si="317"/>
        <v>0</v>
      </c>
      <c r="AK462" s="85">
        <f t="shared" si="317"/>
        <v>0</v>
      </c>
      <c r="AL462" s="85">
        <f t="shared" si="317"/>
        <v>0</v>
      </c>
      <c r="AM462" s="85">
        <f t="shared" si="317"/>
        <v>0</v>
      </c>
      <c r="AN462" s="85">
        <f t="shared" si="317"/>
        <v>0</v>
      </c>
      <c r="AO462" s="85">
        <f t="shared" si="317"/>
        <v>0</v>
      </c>
    </row>
    <row r="463" spans="1:41" x14ac:dyDescent="0.35">
      <c r="A463" s="71" t="str">
        <f t="shared" si="316"/>
        <v>default</v>
      </c>
      <c r="B463" s="72" t="s">
        <v>30</v>
      </c>
      <c r="C463" s="73" t="s">
        <v>41</v>
      </c>
      <c r="D463" s="73"/>
      <c r="E463" s="73" t="s">
        <v>82</v>
      </c>
      <c r="F463" s="73" t="s">
        <v>82</v>
      </c>
      <c r="G463" s="73" t="s">
        <v>82</v>
      </c>
      <c r="H463" s="73" t="s">
        <v>82</v>
      </c>
      <c r="I463" s="73" t="s">
        <v>82</v>
      </c>
      <c r="J463" s="73" t="s">
        <v>82</v>
      </c>
      <c r="K463" s="73" t="s">
        <v>53</v>
      </c>
      <c r="L463" s="73" t="str">
        <f t="shared" ref="L463:AE463" si="318">K463</f>
        <v>overnight</v>
      </c>
      <c r="M463" s="73" t="str">
        <f t="shared" si="318"/>
        <v>overnight</v>
      </c>
      <c r="N463" s="73" t="str">
        <f t="shared" si="318"/>
        <v>overnight</v>
      </c>
      <c r="O463" s="73" t="str">
        <f t="shared" si="318"/>
        <v>overnight</v>
      </c>
      <c r="P463" s="73" t="str">
        <f t="shared" si="318"/>
        <v>overnight</v>
      </c>
      <c r="Q463" s="73" t="str">
        <f t="shared" si="318"/>
        <v>overnight</v>
      </c>
      <c r="R463" s="73" t="str">
        <f t="shared" si="318"/>
        <v>overnight</v>
      </c>
      <c r="S463" s="73" t="str">
        <f t="shared" si="318"/>
        <v>overnight</v>
      </c>
      <c r="T463" s="73" t="str">
        <f t="shared" si="318"/>
        <v>overnight</v>
      </c>
      <c r="U463" s="73" t="str">
        <f t="shared" si="318"/>
        <v>overnight</v>
      </c>
      <c r="V463" s="73" t="str">
        <f t="shared" si="318"/>
        <v>overnight</v>
      </c>
      <c r="W463" s="73" t="str">
        <f t="shared" si="318"/>
        <v>overnight</v>
      </c>
      <c r="X463" s="73" t="str">
        <f t="shared" si="318"/>
        <v>overnight</v>
      </c>
      <c r="Y463" s="73" t="str">
        <f t="shared" si="318"/>
        <v>overnight</v>
      </c>
      <c r="Z463" s="73" t="str">
        <f t="shared" si="318"/>
        <v>overnight</v>
      </c>
      <c r="AA463" s="73" t="str">
        <f t="shared" si="318"/>
        <v>overnight</v>
      </c>
      <c r="AB463" s="73" t="str">
        <f t="shared" si="318"/>
        <v>overnight</v>
      </c>
      <c r="AC463" s="73" t="str">
        <f t="shared" si="318"/>
        <v>overnight</v>
      </c>
      <c r="AD463" s="73" t="str">
        <f t="shared" si="318"/>
        <v>overnight</v>
      </c>
      <c r="AE463" s="73" t="str">
        <f t="shared" si="318"/>
        <v>overnight</v>
      </c>
      <c r="AF463" s="85" t="str">
        <f t="shared" ref="AF463:AO463" si="319">AE463</f>
        <v>overnight</v>
      </c>
      <c r="AG463" s="85" t="str">
        <f t="shared" si="319"/>
        <v>overnight</v>
      </c>
      <c r="AH463" s="85" t="str">
        <f t="shared" si="319"/>
        <v>overnight</v>
      </c>
      <c r="AI463" s="85" t="str">
        <f t="shared" si="319"/>
        <v>overnight</v>
      </c>
      <c r="AJ463" s="85" t="str">
        <f t="shared" si="319"/>
        <v>overnight</v>
      </c>
      <c r="AK463" s="85" t="str">
        <f t="shared" si="319"/>
        <v>overnight</v>
      </c>
      <c r="AL463" s="85" t="str">
        <f t="shared" si="319"/>
        <v>overnight</v>
      </c>
      <c r="AM463" s="85" t="str">
        <f t="shared" si="319"/>
        <v>overnight</v>
      </c>
      <c r="AN463" s="85" t="str">
        <f t="shared" si="319"/>
        <v>overnight</v>
      </c>
      <c r="AO463" s="85" t="str">
        <f t="shared" si="319"/>
        <v>overnight</v>
      </c>
    </row>
    <row r="464" spans="1:41" x14ac:dyDescent="0.35">
      <c r="A464" s="71" t="str">
        <f t="shared" si="316"/>
        <v>default</v>
      </c>
      <c r="B464" s="68" t="s">
        <v>32</v>
      </c>
      <c r="C464" s="75" t="s">
        <v>41</v>
      </c>
      <c r="D464" s="75"/>
      <c r="E464" s="75" t="s">
        <v>82</v>
      </c>
      <c r="F464" s="75" t="s">
        <v>82</v>
      </c>
      <c r="G464" s="75" t="s">
        <v>82</v>
      </c>
      <c r="H464" s="75" t="s">
        <v>82</v>
      </c>
      <c r="I464" s="75" t="s">
        <v>82</v>
      </c>
      <c r="J464" s="75" t="s">
        <v>82</v>
      </c>
      <c r="K464" s="75" t="s">
        <v>53</v>
      </c>
      <c r="L464" s="75" t="str">
        <f t="shared" ref="L464:AE464" si="320">K464</f>
        <v>overnight</v>
      </c>
      <c r="M464" s="75" t="str">
        <f t="shared" si="320"/>
        <v>overnight</v>
      </c>
      <c r="N464" s="75" t="str">
        <f t="shared" si="320"/>
        <v>overnight</v>
      </c>
      <c r="O464" s="75" t="str">
        <f t="shared" si="320"/>
        <v>overnight</v>
      </c>
      <c r="P464" s="75" t="str">
        <f t="shared" si="320"/>
        <v>overnight</v>
      </c>
      <c r="Q464" s="75" t="str">
        <f t="shared" si="320"/>
        <v>overnight</v>
      </c>
      <c r="R464" s="75" t="str">
        <f t="shared" si="320"/>
        <v>overnight</v>
      </c>
      <c r="S464" s="75" t="str">
        <f t="shared" si="320"/>
        <v>overnight</v>
      </c>
      <c r="T464" s="75" t="str">
        <f t="shared" si="320"/>
        <v>overnight</v>
      </c>
      <c r="U464" s="75" t="str">
        <f t="shared" si="320"/>
        <v>overnight</v>
      </c>
      <c r="V464" s="75" t="str">
        <f t="shared" si="320"/>
        <v>overnight</v>
      </c>
      <c r="W464" s="75" t="str">
        <f t="shared" si="320"/>
        <v>overnight</v>
      </c>
      <c r="X464" s="75" t="str">
        <f t="shared" si="320"/>
        <v>overnight</v>
      </c>
      <c r="Y464" s="75" t="str">
        <f t="shared" si="320"/>
        <v>overnight</v>
      </c>
      <c r="Z464" s="75" t="str">
        <f t="shared" si="320"/>
        <v>overnight</v>
      </c>
      <c r="AA464" s="75" t="str">
        <f t="shared" si="320"/>
        <v>overnight</v>
      </c>
      <c r="AB464" s="75" t="str">
        <f t="shared" si="320"/>
        <v>overnight</v>
      </c>
      <c r="AC464" s="75" t="str">
        <f t="shared" si="320"/>
        <v>overnight</v>
      </c>
      <c r="AD464" s="75" t="str">
        <f t="shared" si="320"/>
        <v>overnight</v>
      </c>
      <c r="AE464" s="75" t="str">
        <f t="shared" si="320"/>
        <v>overnight</v>
      </c>
      <c r="AF464" s="85" t="str">
        <f t="shared" ref="AF464:AO464" si="321">AE464</f>
        <v>overnight</v>
      </c>
      <c r="AG464" s="85" t="str">
        <f t="shared" si="321"/>
        <v>overnight</v>
      </c>
      <c r="AH464" s="85" t="str">
        <f t="shared" si="321"/>
        <v>overnight</v>
      </c>
      <c r="AI464" s="85" t="str">
        <f t="shared" si="321"/>
        <v>overnight</v>
      </c>
      <c r="AJ464" s="85" t="str">
        <f t="shared" si="321"/>
        <v>overnight</v>
      </c>
      <c r="AK464" s="85" t="str">
        <f t="shared" si="321"/>
        <v>overnight</v>
      </c>
      <c r="AL464" s="85" t="str">
        <f t="shared" si="321"/>
        <v>overnight</v>
      </c>
      <c r="AM464" s="85" t="str">
        <f t="shared" si="321"/>
        <v>overnight</v>
      </c>
      <c r="AN464" s="85" t="str">
        <f t="shared" si="321"/>
        <v>overnight</v>
      </c>
      <c r="AO464" s="85" t="str">
        <f t="shared" si="321"/>
        <v>overnight</v>
      </c>
    </row>
    <row r="465" spans="1:41" x14ac:dyDescent="0.35">
      <c r="A465" s="71" t="str">
        <f t="shared" si="316"/>
        <v>default</v>
      </c>
      <c r="B465" s="72" t="s">
        <v>33</v>
      </c>
      <c r="C465" s="73" t="s">
        <v>41</v>
      </c>
      <c r="D465" s="73"/>
      <c r="E465" s="73" t="s">
        <v>82</v>
      </c>
      <c r="F465" s="73" t="s">
        <v>82</v>
      </c>
      <c r="G465" s="73" t="s">
        <v>82</v>
      </c>
      <c r="H465" s="73" t="s">
        <v>82</v>
      </c>
      <c r="I465" s="73" t="s">
        <v>82</v>
      </c>
      <c r="J465" s="73" t="s">
        <v>82</v>
      </c>
      <c r="K465" s="73" t="s">
        <v>53</v>
      </c>
      <c r="L465" s="73" t="str">
        <f t="shared" ref="L465:AE465" si="322">K465</f>
        <v>overnight</v>
      </c>
      <c r="M465" s="73" t="str">
        <f t="shared" si="322"/>
        <v>overnight</v>
      </c>
      <c r="N465" s="73" t="str">
        <f t="shared" si="322"/>
        <v>overnight</v>
      </c>
      <c r="O465" s="73" t="str">
        <f t="shared" si="322"/>
        <v>overnight</v>
      </c>
      <c r="P465" s="73" t="str">
        <f t="shared" si="322"/>
        <v>overnight</v>
      </c>
      <c r="Q465" s="73" t="str">
        <f t="shared" si="322"/>
        <v>overnight</v>
      </c>
      <c r="R465" s="73" t="str">
        <f t="shared" si="322"/>
        <v>overnight</v>
      </c>
      <c r="S465" s="73" t="str">
        <f t="shared" si="322"/>
        <v>overnight</v>
      </c>
      <c r="T465" s="73" t="str">
        <f t="shared" si="322"/>
        <v>overnight</v>
      </c>
      <c r="U465" s="73" t="str">
        <f t="shared" si="322"/>
        <v>overnight</v>
      </c>
      <c r="V465" s="73" t="str">
        <f t="shared" si="322"/>
        <v>overnight</v>
      </c>
      <c r="W465" s="73" t="str">
        <f t="shared" si="322"/>
        <v>overnight</v>
      </c>
      <c r="X465" s="73" t="str">
        <f t="shared" si="322"/>
        <v>overnight</v>
      </c>
      <c r="Y465" s="73" t="str">
        <f t="shared" si="322"/>
        <v>overnight</v>
      </c>
      <c r="Z465" s="73" t="str">
        <f t="shared" si="322"/>
        <v>overnight</v>
      </c>
      <c r="AA465" s="73" t="str">
        <f t="shared" si="322"/>
        <v>overnight</v>
      </c>
      <c r="AB465" s="73" t="str">
        <f t="shared" si="322"/>
        <v>overnight</v>
      </c>
      <c r="AC465" s="73" t="str">
        <f t="shared" si="322"/>
        <v>overnight</v>
      </c>
      <c r="AD465" s="73" t="str">
        <f t="shared" si="322"/>
        <v>overnight</v>
      </c>
      <c r="AE465" s="73" t="str">
        <f t="shared" si="322"/>
        <v>overnight</v>
      </c>
      <c r="AF465" s="85" t="str">
        <f t="shared" ref="AF465:AO465" si="323">AE465</f>
        <v>overnight</v>
      </c>
      <c r="AG465" s="85" t="str">
        <f t="shared" si="323"/>
        <v>overnight</v>
      </c>
      <c r="AH465" s="85" t="str">
        <f t="shared" si="323"/>
        <v>overnight</v>
      </c>
      <c r="AI465" s="85" t="str">
        <f t="shared" si="323"/>
        <v>overnight</v>
      </c>
      <c r="AJ465" s="85" t="str">
        <f t="shared" si="323"/>
        <v>overnight</v>
      </c>
      <c r="AK465" s="85" t="str">
        <f t="shared" si="323"/>
        <v>overnight</v>
      </c>
      <c r="AL465" s="85" t="str">
        <f t="shared" si="323"/>
        <v>overnight</v>
      </c>
      <c r="AM465" s="85" t="str">
        <f t="shared" si="323"/>
        <v>overnight</v>
      </c>
      <c r="AN465" s="85" t="str">
        <f t="shared" si="323"/>
        <v>overnight</v>
      </c>
      <c r="AO465" s="85" t="str">
        <f t="shared" si="323"/>
        <v>overnight</v>
      </c>
    </row>
    <row r="466" spans="1:41" x14ac:dyDescent="0.35">
      <c r="A466" s="71" t="str">
        <f t="shared" si="316"/>
        <v>default</v>
      </c>
      <c r="B466" s="68" t="s">
        <v>54</v>
      </c>
      <c r="C466" s="75" t="s">
        <v>41</v>
      </c>
      <c r="D466" s="75"/>
      <c r="E466" s="75" t="s">
        <v>82</v>
      </c>
      <c r="F466" s="75" t="s">
        <v>82</v>
      </c>
      <c r="G466" s="75" t="s">
        <v>82</v>
      </c>
      <c r="H466" s="75" t="s">
        <v>82</v>
      </c>
      <c r="I466" s="75" t="s">
        <v>82</v>
      </c>
      <c r="J466" s="75" t="s">
        <v>82</v>
      </c>
      <c r="K466" s="75" t="s">
        <v>53</v>
      </c>
      <c r="L466" s="75" t="str">
        <f t="shared" ref="L466:AE466" si="324">K466</f>
        <v>overnight</v>
      </c>
      <c r="M466" s="75" t="str">
        <f t="shared" si="324"/>
        <v>overnight</v>
      </c>
      <c r="N466" s="75" t="str">
        <f t="shared" si="324"/>
        <v>overnight</v>
      </c>
      <c r="O466" s="75" t="str">
        <f t="shared" si="324"/>
        <v>overnight</v>
      </c>
      <c r="P466" s="75" t="str">
        <f t="shared" si="324"/>
        <v>overnight</v>
      </c>
      <c r="Q466" s="75" t="str">
        <f t="shared" si="324"/>
        <v>overnight</v>
      </c>
      <c r="R466" s="75" t="str">
        <f t="shared" si="324"/>
        <v>overnight</v>
      </c>
      <c r="S466" s="75" t="str">
        <f t="shared" si="324"/>
        <v>overnight</v>
      </c>
      <c r="T466" s="75" t="str">
        <f t="shared" si="324"/>
        <v>overnight</v>
      </c>
      <c r="U466" s="75" t="str">
        <f t="shared" si="324"/>
        <v>overnight</v>
      </c>
      <c r="V466" s="75" t="str">
        <f t="shared" si="324"/>
        <v>overnight</v>
      </c>
      <c r="W466" s="75" t="str">
        <f t="shared" si="324"/>
        <v>overnight</v>
      </c>
      <c r="X466" s="75" t="str">
        <f t="shared" si="324"/>
        <v>overnight</v>
      </c>
      <c r="Y466" s="75" t="str">
        <f t="shared" si="324"/>
        <v>overnight</v>
      </c>
      <c r="Z466" s="75" t="str">
        <f t="shared" si="324"/>
        <v>overnight</v>
      </c>
      <c r="AA466" s="75" t="str">
        <f t="shared" si="324"/>
        <v>overnight</v>
      </c>
      <c r="AB466" s="75" t="str">
        <f t="shared" si="324"/>
        <v>overnight</v>
      </c>
      <c r="AC466" s="75" t="str">
        <f t="shared" si="324"/>
        <v>overnight</v>
      </c>
      <c r="AD466" s="75" t="str">
        <f t="shared" si="324"/>
        <v>overnight</v>
      </c>
      <c r="AE466" s="75" t="str">
        <f t="shared" si="324"/>
        <v>overnight</v>
      </c>
      <c r="AF466" s="85" t="str">
        <f t="shared" ref="AF466:AO466" si="325">AE466</f>
        <v>overnight</v>
      </c>
      <c r="AG466" s="85" t="str">
        <f t="shared" si="325"/>
        <v>overnight</v>
      </c>
      <c r="AH466" s="85" t="str">
        <f t="shared" si="325"/>
        <v>overnight</v>
      </c>
      <c r="AI466" s="85" t="str">
        <f t="shared" si="325"/>
        <v>overnight</v>
      </c>
      <c r="AJ466" s="85" t="str">
        <f t="shared" si="325"/>
        <v>overnight</v>
      </c>
      <c r="AK466" s="85" t="str">
        <f t="shared" si="325"/>
        <v>overnight</v>
      </c>
      <c r="AL466" s="85" t="str">
        <f t="shared" si="325"/>
        <v>overnight</v>
      </c>
      <c r="AM466" s="85" t="str">
        <f t="shared" si="325"/>
        <v>overnight</v>
      </c>
      <c r="AN466" s="85" t="str">
        <f t="shared" si="325"/>
        <v>overnight</v>
      </c>
      <c r="AO466" s="85" t="str">
        <f t="shared" si="325"/>
        <v>overnight</v>
      </c>
    </row>
    <row r="467" spans="1:41" x14ac:dyDescent="0.35">
      <c r="A467" s="71" t="str">
        <f t="shared" si="316"/>
        <v>default</v>
      </c>
      <c r="B467" s="72" t="s">
        <v>55</v>
      </c>
      <c r="C467" s="73" t="s">
        <v>41</v>
      </c>
      <c r="D467" s="73"/>
      <c r="E467" s="73" t="s">
        <v>82</v>
      </c>
      <c r="F467" s="73" t="s">
        <v>82</v>
      </c>
      <c r="G467" s="73" t="s">
        <v>82</v>
      </c>
      <c r="H467" s="73" t="s">
        <v>82</v>
      </c>
      <c r="I467" s="73" t="s">
        <v>82</v>
      </c>
      <c r="J467" s="73" t="s">
        <v>82</v>
      </c>
      <c r="K467" s="73" t="s">
        <v>53</v>
      </c>
      <c r="L467" s="73" t="str">
        <f t="shared" ref="L467:AE467" si="326">K467</f>
        <v>overnight</v>
      </c>
      <c r="M467" s="73" t="str">
        <f t="shared" si="326"/>
        <v>overnight</v>
      </c>
      <c r="N467" s="73" t="str">
        <f t="shared" si="326"/>
        <v>overnight</v>
      </c>
      <c r="O467" s="73" t="str">
        <f t="shared" si="326"/>
        <v>overnight</v>
      </c>
      <c r="P467" s="73" t="str">
        <f t="shared" si="326"/>
        <v>overnight</v>
      </c>
      <c r="Q467" s="73" t="str">
        <f t="shared" si="326"/>
        <v>overnight</v>
      </c>
      <c r="R467" s="73" t="str">
        <f t="shared" si="326"/>
        <v>overnight</v>
      </c>
      <c r="S467" s="73" t="str">
        <f t="shared" si="326"/>
        <v>overnight</v>
      </c>
      <c r="T467" s="73" t="str">
        <f t="shared" si="326"/>
        <v>overnight</v>
      </c>
      <c r="U467" s="73" t="str">
        <f t="shared" si="326"/>
        <v>overnight</v>
      </c>
      <c r="V467" s="73" t="str">
        <f t="shared" si="326"/>
        <v>overnight</v>
      </c>
      <c r="W467" s="73" t="str">
        <f t="shared" si="326"/>
        <v>overnight</v>
      </c>
      <c r="X467" s="73" t="str">
        <f t="shared" si="326"/>
        <v>overnight</v>
      </c>
      <c r="Y467" s="73" t="str">
        <f t="shared" si="326"/>
        <v>overnight</v>
      </c>
      <c r="Z467" s="73" t="str">
        <f t="shared" si="326"/>
        <v>overnight</v>
      </c>
      <c r="AA467" s="73" t="str">
        <f t="shared" si="326"/>
        <v>overnight</v>
      </c>
      <c r="AB467" s="73" t="str">
        <f t="shared" si="326"/>
        <v>overnight</v>
      </c>
      <c r="AC467" s="73" t="str">
        <f t="shared" si="326"/>
        <v>overnight</v>
      </c>
      <c r="AD467" s="73" t="str">
        <f t="shared" si="326"/>
        <v>overnight</v>
      </c>
      <c r="AE467" s="73" t="str">
        <f t="shared" si="326"/>
        <v>overnight</v>
      </c>
      <c r="AF467" s="85" t="str">
        <f t="shared" ref="AF467:AO467" si="327">AE467</f>
        <v>overnight</v>
      </c>
      <c r="AG467" s="85" t="str">
        <f t="shared" si="327"/>
        <v>overnight</v>
      </c>
      <c r="AH467" s="85" t="str">
        <f t="shared" si="327"/>
        <v>overnight</v>
      </c>
      <c r="AI467" s="85" t="str">
        <f t="shared" si="327"/>
        <v>overnight</v>
      </c>
      <c r="AJ467" s="85" t="str">
        <f t="shared" si="327"/>
        <v>overnight</v>
      </c>
      <c r="AK467" s="85" t="str">
        <f t="shared" si="327"/>
        <v>overnight</v>
      </c>
      <c r="AL467" s="85" t="str">
        <f t="shared" si="327"/>
        <v>overnight</v>
      </c>
      <c r="AM467" s="85" t="str">
        <f t="shared" si="327"/>
        <v>overnight</v>
      </c>
      <c r="AN467" s="85" t="str">
        <f t="shared" si="327"/>
        <v>overnight</v>
      </c>
      <c r="AO467" s="85" t="str">
        <f t="shared" si="327"/>
        <v>overnight</v>
      </c>
    </row>
    <row r="468" spans="1:41" x14ac:dyDescent="0.35">
      <c r="A468" s="71" t="str">
        <f t="shared" si="316"/>
        <v>default</v>
      </c>
      <c r="B468" s="68" t="s">
        <v>56</v>
      </c>
      <c r="C468" s="75" t="s">
        <v>41</v>
      </c>
      <c r="D468" s="75"/>
      <c r="E468" s="75" t="s">
        <v>82</v>
      </c>
      <c r="F468" s="75" t="s">
        <v>82</v>
      </c>
      <c r="G468" s="75" t="s">
        <v>82</v>
      </c>
      <c r="H468" s="75" t="s">
        <v>82</v>
      </c>
      <c r="I468" s="75" t="s">
        <v>82</v>
      </c>
      <c r="J468" s="75" t="s">
        <v>82</v>
      </c>
      <c r="K468" s="75" t="s">
        <v>53</v>
      </c>
      <c r="L468" s="75" t="str">
        <f t="shared" ref="L468:AE468" si="328">K468</f>
        <v>overnight</v>
      </c>
      <c r="M468" s="75" t="str">
        <f t="shared" si="328"/>
        <v>overnight</v>
      </c>
      <c r="N468" s="75" t="str">
        <f t="shared" si="328"/>
        <v>overnight</v>
      </c>
      <c r="O468" s="75" t="str">
        <f t="shared" si="328"/>
        <v>overnight</v>
      </c>
      <c r="P468" s="75" t="str">
        <f t="shared" si="328"/>
        <v>overnight</v>
      </c>
      <c r="Q468" s="75" t="str">
        <f t="shared" si="328"/>
        <v>overnight</v>
      </c>
      <c r="R468" s="75" t="str">
        <f t="shared" si="328"/>
        <v>overnight</v>
      </c>
      <c r="S468" s="75" t="str">
        <f t="shared" si="328"/>
        <v>overnight</v>
      </c>
      <c r="T468" s="75" t="str">
        <f t="shared" si="328"/>
        <v>overnight</v>
      </c>
      <c r="U468" s="75" t="str">
        <f t="shared" si="328"/>
        <v>overnight</v>
      </c>
      <c r="V468" s="75" t="str">
        <f t="shared" si="328"/>
        <v>overnight</v>
      </c>
      <c r="W468" s="75" t="str">
        <f t="shared" si="328"/>
        <v>overnight</v>
      </c>
      <c r="X468" s="75" t="str">
        <f t="shared" si="328"/>
        <v>overnight</v>
      </c>
      <c r="Y468" s="75" t="str">
        <f t="shared" si="328"/>
        <v>overnight</v>
      </c>
      <c r="Z468" s="75" t="str">
        <f t="shared" si="328"/>
        <v>overnight</v>
      </c>
      <c r="AA468" s="75" t="str">
        <f t="shared" si="328"/>
        <v>overnight</v>
      </c>
      <c r="AB468" s="75" t="str">
        <f t="shared" si="328"/>
        <v>overnight</v>
      </c>
      <c r="AC468" s="75" t="str">
        <f t="shared" si="328"/>
        <v>overnight</v>
      </c>
      <c r="AD468" s="75" t="str">
        <f t="shared" si="328"/>
        <v>overnight</v>
      </c>
      <c r="AE468" s="75" t="str">
        <f t="shared" si="328"/>
        <v>overnight</v>
      </c>
      <c r="AF468" s="85" t="str">
        <f t="shared" ref="AF468:AO468" si="329">AE468</f>
        <v>overnight</v>
      </c>
      <c r="AG468" s="85" t="str">
        <f t="shared" si="329"/>
        <v>overnight</v>
      </c>
      <c r="AH468" s="85" t="str">
        <f t="shared" si="329"/>
        <v>overnight</v>
      </c>
      <c r="AI468" s="85" t="str">
        <f t="shared" si="329"/>
        <v>overnight</v>
      </c>
      <c r="AJ468" s="85" t="str">
        <f t="shared" si="329"/>
        <v>overnight</v>
      </c>
      <c r="AK468" s="85" t="str">
        <f t="shared" si="329"/>
        <v>overnight</v>
      </c>
      <c r="AL468" s="85" t="str">
        <f t="shared" si="329"/>
        <v>overnight</v>
      </c>
      <c r="AM468" s="85" t="str">
        <f t="shared" si="329"/>
        <v>overnight</v>
      </c>
      <c r="AN468" s="85" t="str">
        <f t="shared" si="329"/>
        <v>overnight</v>
      </c>
      <c r="AO468" s="85" t="str">
        <f t="shared" si="329"/>
        <v>overnight</v>
      </c>
    </row>
    <row r="469" spans="1:41" x14ac:dyDescent="0.35">
      <c r="A469" s="71" t="str">
        <f t="shared" si="316"/>
        <v>default</v>
      </c>
      <c r="B469" s="72" t="s">
        <v>57</v>
      </c>
      <c r="C469" s="73" t="s">
        <v>41</v>
      </c>
      <c r="D469" s="73"/>
      <c r="E469" s="73" t="s">
        <v>82</v>
      </c>
      <c r="F469" s="73" t="s">
        <v>82</v>
      </c>
      <c r="G469" s="73" t="s">
        <v>82</v>
      </c>
      <c r="H469" s="73" t="s">
        <v>82</v>
      </c>
      <c r="I469" s="73" t="s">
        <v>82</v>
      </c>
      <c r="J469" s="73" t="s">
        <v>82</v>
      </c>
      <c r="K469" s="73" t="s">
        <v>53</v>
      </c>
      <c r="L469" s="73" t="str">
        <f t="shared" ref="L469:AE469" si="330">K469</f>
        <v>overnight</v>
      </c>
      <c r="M469" s="73" t="str">
        <f t="shared" si="330"/>
        <v>overnight</v>
      </c>
      <c r="N469" s="73" t="str">
        <f t="shared" si="330"/>
        <v>overnight</v>
      </c>
      <c r="O469" s="73" t="str">
        <f t="shared" si="330"/>
        <v>overnight</v>
      </c>
      <c r="P469" s="73" t="str">
        <f t="shared" si="330"/>
        <v>overnight</v>
      </c>
      <c r="Q469" s="73" t="str">
        <f t="shared" si="330"/>
        <v>overnight</v>
      </c>
      <c r="R469" s="73" t="str">
        <f t="shared" si="330"/>
        <v>overnight</v>
      </c>
      <c r="S469" s="73" t="str">
        <f t="shared" si="330"/>
        <v>overnight</v>
      </c>
      <c r="T469" s="73" t="str">
        <f t="shared" si="330"/>
        <v>overnight</v>
      </c>
      <c r="U469" s="73" t="str">
        <f t="shared" si="330"/>
        <v>overnight</v>
      </c>
      <c r="V469" s="73" t="str">
        <f t="shared" si="330"/>
        <v>overnight</v>
      </c>
      <c r="W469" s="73" t="str">
        <f t="shared" si="330"/>
        <v>overnight</v>
      </c>
      <c r="X469" s="73" t="str">
        <f t="shared" si="330"/>
        <v>overnight</v>
      </c>
      <c r="Y469" s="73" t="str">
        <f t="shared" si="330"/>
        <v>overnight</v>
      </c>
      <c r="Z469" s="73" t="str">
        <f t="shared" si="330"/>
        <v>overnight</v>
      </c>
      <c r="AA469" s="73" t="str">
        <f t="shared" si="330"/>
        <v>overnight</v>
      </c>
      <c r="AB469" s="73" t="str">
        <f t="shared" si="330"/>
        <v>overnight</v>
      </c>
      <c r="AC469" s="73" t="str">
        <f t="shared" si="330"/>
        <v>overnight</v>
      </c>
      <c r="AD469" s="73" t="str">
        <f t="shared" si="330"/>
        <v>overnight</v>
      </c>
      <c r="AE469" s="73" t="str">
        <f t="shared" si="330"/>
        <v>overnight</v>
      </c>
      <c r="AF469" s="85" t="str">
        <f t="shared" ref="AF469:AO469" si="331">AE469</f>
        <v>overnight</v>
      </c>
      <c r="AG469" s="85" t="str">
        <f t="shared" si="331"/>
        <v>overnight</v>
      </c>
      <c r="AH469" s="85" t="str">
        <f t="shared" si="331"/>
        <v>overnight</v>
      </c>
      <c r="AI469" s="85" t="str">
        <f t="shared" si="331"/>
        <v>overnight</v>
      </c>
      <c r="AJ469" s="85" t="str">
        <f t="shared" si="331"/>
        <v>overnight</v>
      </c>
      <c r="AK469" s="85" t="str">
        <f t="shared" si="331"/>
        <v>overnight</v>
      </c>
      <c r="AL469" s="85" t="str">
        <f t="shared" si="331"/>
        <v>overnight</v>
      </c>
      <c r="AM469" s="85" t="str">
        <f t="shared" si="331"/>
        <v>overnight</v>
      </c>
      <c r="AN469" s="85" t="str">
        <f t="shared" si="331"/>
        <v>overnight</v>
      </c>
      <c r="AO469" s="85" t="str">
        <f t="shared" si="331"/>
        <v>overnight</v>
      </c>
    </row>
    <row r="470" spans="1:41" x14ac:dyDescent="0.35">
      <c r="A470" s="71" t="str">
        <f t="shared" si="316"/>
        <v>default</v>
      </c>
      <c r="B470" s="68" t="s">
        <v>25</v>
      </c>
      <c r="C470" s="75" t="s">
        <v>41</v>
      </c>
      <c r="D470" s="75"/>
      <c r="E470" s="75" t="s">
        <v>82</v>
      </c>
      <c r="F470" s="75" t="s">
        <v>82</v>
      </c>
      <c r="G470" s="75" t="s">
        <v>82</v>
      </c>
      <c r="H470" s="75" t="s">
        <v>82</v>
      </c>
      <c r="I470" s="75" t="s">
        <v>82</v>
      </c>
      <c r="J470" s="75" t="s">
        <v>82</v>
      </c>
      <c r="K470" s="75" t="s">
        <v>53</v>
      </c>
      <c r="L470" s="75" t="str">
        <f t="shared" ref="L470:AE470" si="332">K470</f>
        <v>overnight</v>
      </c>
      <c r="M470" s="75" t="str">
        <f t="shared" si="332"/>
        <v>overnight</v>
      </c>
      <c r="N470" s="75" t="str">
        <f t="shared" si="332"/>
        <v>overnight</v>
      </c>
      <c r="O470" s="75" t="str">
        <f t="shared" si="332"/>
        <v>overnight</v>
      </c>
      <c r="P470" s="75" t="str">
        <f t="shared" si="332"/>
        <v>overnight</v>
      </c>
      <c r="Q470" s="75" t="str">
        <f t="shared" si="332"/>
        <v>overnight</v>
      </c>
      <c r="R470" s="75" t="str">
        <f t="shared" si="332"/>
        <v>overnight</v>
      </c>
      <c r="S470" s="75" t="str">
        <f t="shared" si="332"/>
        <v>overnight</v>
      </c>
      <c r="T470" s="75" t="str">
        <f t="shared" si="332"/>
        <v>overnight</v>
      </c>
      <c r="U470" s="75" t="str">
        <f t="shared" si="332"/>
        <v>overnight</v>
      </c>
      <c r="V470" s="75" t="str">
        <f t="shared" si="332"/>
        <v>overnight</v>
      </c>
      <c r="W470" s="75" t="str">
        <f t="shared" si="332"/>
        <v>overnight</v>
      </c>
      <c r="X470" s="75" t="str">
        <f t="shared" si="332"/>
        <v>overnight</v>
      </c>
      <c r="Y470" s="75" t="str">
        <f t="shared" si="332"/>
        <v>overnight</v>
      </c>
      <c r="Z470" s="75" t="str">
        <f t="shared" si="332"/>
        <v>overnight</v>
      </c>
      <c r="AA470" s="75" t="str">
        <f t="shared" si="332"/>
        <v>overnight</v>
      </c>
      <c r="AB470" s="75" t="str">
        <f t="shared" si="332"/>
        <v>overnight</v>
      </c>
      <c r="AC470" s="75" t="str">
        <f t="shared" si="332"/>
        <v>overnight</v>
      </c>
      <c r="AD470" s="75" t="str">
        <f t="shared" si="332"/>
        <v>overnight</v>
      </c>
      <c r="AE470" s="75" t="str">
        <f t="shared" si="332"/>
        <v>overnight</v>
      </c>
      <c r="AF470" s="85" t="str">
        <f t="shared" ref="AF470:AO470" si="333">AE470</f>
        <v>overnight</v>
      </c>
      <c r="AG470" s="85" t="str">
        <f t="shared" si="333"/>
        <v>overnight</v>
      </c>
      <c r="AH470" s="85" t="str">
        <f t="shared" si="333"/>
        <v>overnight</v>
      </c>
      <c r="AI470" s="85" t="str">
        <f t="shared" si="333"/>
        <v>overnight</v>
      </c>
      <c r="AJ470" s="85" t="str">
        <f t="shared" si="333"/>
        <v>overnight</v>
      </c>
      <c r="AK470" s="85" t="str">
        <f t="shared" si="333"/>
        <v>overnight</v>
      </c>
      <c r="AL470" s="85" t="str">
        <f t="shared" si="333"/>
        <v>overnight</v>
      </c>
      <c r="AM470" s="85" t="str">
        <f t="shared" si="333"/>
        <v>overnight</v>
      </c>
      <c r="AN470" s="85" t="str">
        <f t="shared" si="333"/>
        <v>overnight</v>
      </c>
      <c r="AO470" s="85" t="str">
        <f t="shared" si="333"/>
        <v>overnight</v>
      </c>
    </row>
    <row r="471" spans="1:41" x14ac:dyDescent="0.35">
      <c r="A471" s="71" t="str">
        <f t="shared" si="316"/>
        <v>default</v>
      </c>
      <c r="B471" s="72" t="s">
        <v>26</v>
      </c>
      <c r="C471" s="73" t="s">
        <v>41</v>
      </c>
      <c r="D471" s="73"/>
      <c r="E471" s="73" t="s">
        <v>82</v>
      </c>
      <c r="F471" s="73" t="s">
        <v>82</v>
      </c>
      <c r="G471" s="73" t="s">
        <v>82</v>
      </c>
      <c r="H471" s="73" t="s">
        <v>82</v>
      </c>
      <c r="I471" s="73" t="s">
        <v>82</v>
      </c>
      <c r="J471" s="73" t="s">
        <v>82</v>
      </c>
      <c r="K471" s="73" t="s">
        <v>53</v>
      </c>
      <c r="L471" s="73" t="str">
        <f t="shared" ref="L471:AE471" si="334">K471</f>
        <v>overnight</v>
      </c>
      <c r="M471" s="73" t="str">
        <f t="shared" si="334"/>
        <v>overnight</v>
      </c>
      <c r="N471" s="73" t="str">
        <f t="shared" si="334"/>
        <v>overnight</v>
      </c>
      <c r="O471" s="73" t="str">
        <f t="shared" si="334"/>
        <v>overnight</v>
      </c>
      <c r="P471" s="73" t="str">
        <f t="shared" si="334"/>
        <v>overnight</v>
      </c>
      <c r="Q471" s="73" t="str">
        <f t="shared" si="334"/>
        <v>overnight</v>
      </c>
      <c r="R471" s="73" t="str">
        <f t="shared" si="334"/>
        <v>overnight</v>
      </c>
      <c r="S471" s="73" t="str">
        <f t="shared" si="334"/>
        <v>overnight</v>
      </c>
      <c r="T471" s="73" t="str">
        <f t="shared" si="334"/>
        <v>overnight</v>
      </c>
      <c r="U471" s="73" t="str">
        <f t="shared" si="334"/>
        <v>overnight</v>
      </c>
      <c r="V471" s="73" t="str">
        <f t="shared" si="334"/>
        <v>overnight</v>
      </c>
      <c r="W471" s="73" t="str">
        <f t="shared" si="334"/>
        <v>overnight</v>
      </c>
      <c r="X471" s="73" t="str">
        <f t="shared" si="334"/>
        <v>overnight</v>
      </c>
      <c r="Y471" s="73" t="str">
        <f t="shared" si="334"/>
        <v>overnight</v>
      </c>
      <c r="Z471" s="73" t="str">
        <f t="shared" si="334"/>
        <v>overnight</v>
      </c>
      <c r="AA471" s="73" t="str">
        <f t="shared" si="334"/>
        <v>overnight</v>
      </c>
      <c r="AB471" s="73" t="str">
        <f t="shared" si="334"/>
        <v>overnight</v>
      </c>
      <c r="AC471" s="73" t="str">
        <f t="shared" si="334"/>
        <v>overnight</v>
      </c>
      <c r="AD471" s="73" t="str">
        <f t="shared" si="334"/>
        <v>overnight</v>
      </c>
      <c r="AE471" s="73" t="str">
        <f t="shared" si="334"/>
        <v>overnight</v>
      </c>
      <c r="AF471" s="85" t="str">
        <f t="shared" ref="AF471:AO471" si="335">AE471</f>
        <v>overnight</v>
      </c>
      <c r="AG471" s="85" t="str">
        <f t="shared" si="335"/>
        <v>overnight</v>
      </c>
      <c r="AH471" s="85" t="str">
        <f t="shared" si="335"/>
        <v>overnight</v>
      </c>
      <c r="AI471" s="85" t="str">
        <f t="shared" si="335"/>
        <v>overnight</v>
      </c>
      <c r="AJ471" s="85" t="str">
        <f t="shared" si="335"/>
        <v>overnight</v>
      </c>
      <c r="AK471" s="85" t="str">
        <f t="shared" si="335"/>
        <v>overnight</v>
      </c>
      <c r="AL471" s="85" t="str">
        <f t="shared" si="335"/>
        <v>overnight</v>
      </c>
      <c r="AM471" s="85" t="str">
        <f t="shared" si="335"/>
        <v>overnight</v>
      </c>
      <c r="AN471" s="85" t="str">
        <f t="shared" si="335"/>
        <v>overnight</v>
      </c>
      <c r="AO471" s="85" t="str">
        <f t="shared" si="335"/>
        <v>overnight</v>
      </c>
    </row>
    <row r="472" spans="1:41" x14ac:dyDescent="0.35">
      <c r="A472" s="71" t="str">
        <f t="shared" si="316"/>
        <v>default</v>
      </c>
      <c r="B472" s="68" t="s">
        <v>23</v>
      </c>
      <c r="C472" s="75" t="s">
        <v>41</v>
      </c>
      <c r="D472" s="75"/>
      <c r="E472" s="75" t="s">
        <v>82</v>
      </c>
      <c r="F472" s="75" t="s">
        <v>82</v>
      </c>
      <c r="G472" s="75" t="s">
        <v>82</v>
      </c>
      <c r="H472" s="75" t="s">
        <v>82</v>
      </c>
      <c r="I472" s="75" t="s">
        <v>82</v>
      </c>
      <c r="J472" s="75" t="s">
        <v>82</v>
      </c>
      <c r="K472" s="75" t="s">
        <v>53</v>
      </c>
      <c r="L472" s="75" t="str">
        <f t="shared" ref="L472:AE472" si="336">K472</f>
        <v>overnight</v>
      </c>
      <c r="M472" s="75" t="str">
        <f t="shared" si="336"/>
        <v>overnight</v>
      </c>
      <c r="N472" s="75" t="str">
        <f t="shared" si="336"/>
        <v>overnight</v>
      </c>
      <c r="O472" s="75" t="str">
        <f t="shared" si="336"/>
        <v>overnight</v>
      </c>
      <c r="P472" s="75" t="str">
        <f t="shared" si="336"/>
        <v>overnight</v>
      </c>
      <c r="Q472" s="75" t="str">
        <f t="shared" si="336"/>
        <v>overnight</v>
      </c>
      <c r="R472" s="75" t="str">
        <f t="shared" si="336"/>
        <v>overnight</v>
      </c>
      <c r="S472" s="75" t="str">
        <f t="shared" si="336"/>
        <v>overnight</v>
      </c>
      <c r="T472" s="75" t="str">
        <f t="shared" si="336"/>
        <v>overnight</v>
      </c>
      <c r="U472" s="75" t="str">
        <f t="shared" si="336"/>
        <v>overnight</v>
      </c>
      <c r="V472" s="75" t="str">
        <f t="shared" si="336"/>
        <v>overnight</v>
      </c>
      <c r="W472" s="75" t="str">
        <f t="shared" si="336"/>
        <v>overnight</v>
      </c>
      <c r="X472" s="75" t="str">
        <f t="shared" si="336"/>
        <v>overnight</v>
      </c>
      <c r="Y472" s="75" t="str">
        <f t="shared" si="336"/>
        <v>overnight</v>
      </c>
      <c r="Z472" s="75" t="str">
        <f t="shared" si="336"/>
        <v>overnight</v>
      </c>
      <c r="AA472" s="75" t="str">
        <f t="shared" si="336"/>
        <v>overnight</v>
      </c>
      <c r="AB472" s="75" t="str">
        <f t="shared" si="336"/>
        <v>overnight</v>
      </c>
      <c r="AC472" s="75" t="str">
        <f t="shared" si="336"/>
        <v>overnight</v>
      </c>
      <c r="AD472" s="75" t="str">
        <f t="shared" si="336"/>
        <v>overnight</v>
      </c>
      <c r="AE472" s="75" t="str">
        <f t="shared" si="336"/>
        <v>overnight</v>
      </c>
      <c r="AF472" s="85" t="str">
        <f t="shared" ref="AF472:AO472" si="337">AE472</f>
        <v>overnight</v>
      </c>
      <c r="AG472" s="85" t="str">
        <f t="shared" si="337"/>
        <v>overnight</v>
      </c>
      <c r="AH472" s="85" t="str">
        <f t="shared" si="337"/>
        <v>overnight</v>
      </c>
      <c r="AI472" s="85" t="str">
        <f t="shared" si="337"/>
        <v>overnight</v>
      </c>
      <c r="AJ472" s="85" t="str">
        <f t="shared" si="337"/>
        <v>overnight</v>
      </c>
      <c r="AK472" s="85" t="str">
        <f t="shared" si="337"/>
        <v>overnight</v>
      </c>
      <c r="AL472" s="85" t="str">
        <f t="shared" si="337"/>
        <v>overnight</v>
      </c>
      <c r="AM472" s="85" t="str">
        <f t="shared" si="337"/>
        <v>overnight</v>
      </c>
      <c r="AN472" s="85" t="str">
        <f t="shared" si="337"/>
        <v>overnight</v>
      </c>
      <c r="AO472" s="85" t="str">
        <f t="shared" si="337"/>
        <v>overnight</v>
      </c>
    </row>
    <row r="473" spans="1:41" x14ac:dyDescent="0.35">
      <c r="A473" s="71" t="str">
        <f t="shared" si="316"/>
        <v>default</v>
      </c>
      <c r="B473" s="72" t="s">
        <v>24</v>
      </c>
      <c r="C473" s="73" t="s">
        <v>41</v>
      </c>
      <c r="D473" s="73"/>
      <c r="E473" s="73" t="s">
        <v>82</v>
      </c>
      <c r="F473" s="73" t="s">
        <v>82</v>
      </c>
      <c r="G473" s="73" t="s">
        <v>82</v>
      </c>
      <c r="H473" s="73" t="s">
        <v>82</v>
      </c>
      <c r="I473" s="73" t="s">
        <v>82</v>
      </c>
      <c r="J473" s="73" t="s">
        <v>82</v>
      </c>
      <c r="K473" s="73" t="s">
        <v>53</v>
      </c>
      <c r="L473" s="73" t="str">
        <f t="shared" ref="L473:AE473" si="338">K473</f>
        <v>overnight</v>
      </c>
      <c r="M473" s="73" t="str">
        <f t="shared" si="338"/>
        <v>overnight</v>
      </c>
      <c r="N473" s="73" t="str">
        <f t="shared" si="338"/>
        <v>overnight</v>
      </c>
      <c r="O473" s="73" t="str">
        <f t="shared" si="338"/>
        <v>overnight</v>
      </c>
      <c r="P473" s="73" t="str">
        <f t="shared" si="338"/>
        <v>overnight</v>
      </c>
      <c r="Q473" s="73" t="str">
        <f t="shared" si="338"/>
        <v>overnight</v>
      </c>
      <c r="R473" s="73" t="str">
        <f t="shared" si="338"/>
        <v>overnight</v>
      </c>
      <c r="S473" s="73" t="str">
        <f t="shared" si="338"/>
        <v>overnight</v>
      </c>
      <c r="T473" s="73" t="str">
        <f t="shared" si="338"/>
        <v>overnight</v>
      </c>
      <c r="U473" s="73" t="str">
        <f t="shared" si="338"/>
        <v>overnight</v>
      </c>
      <c r="V473" s="73" t="str">
        <f t="shared" si="338"/>
        <v>overnight</v>
      </c>
      <c r="W473" s="73" t="str">
        <f t="shared" si="338"/>
        <v>overnight</v>
      </c>
      <c r="X473" s="73" t="str">
        <f t="shared" si="338"/>
        <v>overnight</v>
      </c>
      <c r="Y473" s="73" t="str">
        <f t="shared" si="338"/>
        <v>overnight</v>
      </c>
      <c r="Z473" s="73" t="str">
        <f t="shared" si="338"/>
        <v>overnight</v>
      </c>
      <c r="AA473" s="73" t="str">
        <f t="shared" si="338"/>
        <v>overnight</v>
      </c>
      <c r="AB473" s="73" t="str">
        <f t="shared" si="338"/>
        <v>overnight</v>
      </c>
      <c r="AC473" s="73" t="str">
        <f t="shared" si="338"/>
        <v>overnight</v>
      </c>
      <c r="AD473" s="73" t="str">
        <f t="shared" si="338"/>
        <v>overnight</v>
      </c>
      <c r="AE473" s="73" t="str">
        <f t="shared" si="338"/>
        <v>overnight</v>
      </c>
      <c r="AF473" s="85" t="str">
        <f t="shared" ref="AF473:AO473" si="339">AE473</f>
        <v>overnight</v>
      </c>
      <c r="AG473" s="85" t="str">
        <f t="shared" si="339"/>
        <v>overnight</v>
      </c>
      <c r="AH473" s="85" t="str">
        <f t="shared" si="339"/>
        <v>overnight</v>
      </c>
      <c r="AI473" s="85" t="str">
        <f t="shared" si="339"/>
        <v>overnight</v>
      </c>
      <c r="AJ473" s="85" t="str">
        <f t="shared" si="339"/>
        <v>overnight</v>
      </c>
      <c r="AK473" s="85" t="str">
        <f t="shared" si="339"/>
        <v>overnight</v>
      </c>
      <c r="AL473" s="85" t="str">
        <f t="shared" si="339"/>
        <v>overnight</v>
      </c>
      <c r="AM473" s="85" t="str">
        <f t="shared" si="339"/>
        <v>overnight</v>
      </c>
      <c r="AN473" s="85" t="str">
        <f t="shared" si="339"/>
        <v>overnight</v>
      </c>
      <c r="AO473" s="85" t="str">
        <f t="shared" si="339"/>
        <v>overnight</v>
      </c>
    </row>
    <row r="474" spans="1:41" x14ac:dyDescent="0.35">
      <c r="A474" s="71" t="str">
        <f t="shared" ref="A474:A480" si="340">A470</f>
        <v>default</v>
      </c>
      <c r="B474" s="68" t="s">
        <v>17</v>
      </c>
      <c r="C474" s="75" t="s">
        <v>41</v>
      </c>
      <c r="D474" s="75"/>
      <c r="E474" s="75" t="s">
        <v>82</v>
      </c>
      <c r="F474" s="75" t="s">
        <v>82</v>
      </c>
      <c r="G474" s="75" t="s">
        <v>82</v>
      </c>
      <c r="H474" s="75" t="s">
        <v>82</v>
      </c>
      <c r="I474" s="75" t="s">
        <v>82</v>
      </c>
      <c r="J474" s="75" t="s">
        <v>82</v>
      </c>
      <c r="K474" s="75" t="s">
        <v>53</v>
      </c>
      <c r="L474" s="75" t="str">
        <f t="shared" ref="L474:AE474" si="341">K474</f>
        <v>overnight</v>
      </c>
      <c r="M474" s="75" t="str">
        <f t="shared" si="341"/>
        <v>overnight</v>
      </c>
      <c r="N474" s="75" t="str">
        <f t="shared" si="341"/>
        <v>overnight</v>
      </c>
      <c r="O474" s="75" t="str">
        <f t="shared" si="341"/>
        <v>overnight</v>
      </c>
      <c r="P474" s="75" t="str">
        <f t="shared" si="341"/>
        <v>overnight</v>
      </c>
      <c r="Q474" s="75" t="str">
        <f t="shared" si="341"/>
        <v>overnight</v>
      </c>
      <c r="R474" s="75" t="str">
        <f t="shared" si="341"/>
        <v>overnight</v>
      </c>
      <c r="S474" s="75" t="str">
        <f t="shared" si="341"/>
        <v>overnight</v>
      </c>
      <c r="T474" s="75" t="str">
        <f t="shared" si="341"/>
        <v>overnight</v>
      </c>
      <c r="U474" s="75" t="str">
        <f t="shared" si="341"/>
        <v>overnight</v>
      </c>
      <c r="V474" s="75" t="str">
        <f t="shared" si="341"/>
        <v>overnight</v>
      </c>
      <c r="W474" s="75" t="str">
        <f t="shared" si="341"/>
        <v>overnight</v>
      </c>
      <c r="X474" s="75" t="str">
        <f t="shared" si="341"/>
        <v>overnight</v>
      </c>
      <c r="Y474" s="75" t="str">
        <f t="shared" si="341"/>
        <v>overnight</v>
      </c>
      <c r="Z474" s="75" t="str">
        <f t="shared" si="341"/>
        <v>overnight</v>
      </c>
      <c r="AA474" s="75" t="str">
        <f t="shared" si="341"/>
        <v>overnight</v>
      </c>
      <c r="AB474" s="75" t="str">
        <f t="shared" si="341"/>
        <v>overnight</v>
      </c>
      <c r="AC474" s="75" t="str">
        <f t="shared" si="341"/>
        <v>overnight</v>
      </c>
      <c r="AD474" s="75" t="str">
        <f t="shared" si="341"/>
        <v>overnight</v>
      </c>
      <c r="AE474" s="75" t="str">
        <f t="shared" si="341"/>
        <v>overnight</v>
      </c>
      <c r="AF474" s="85" t="str">
        <f t="shared" ref="AF474:AO474" si="342">AE474</f>
        <v>overnight</v>
      </c>
      <c r="AG474" s="85" t="str">
        <f t="shared" si="342"/>
        <v>overnight</v>
      </c>
      <c r="AH474" s="85" t="str">
        <f t="shared" si="342"/>
        <v>overnight</v>
      </c>
      <c r="AI474" s="85" t="str">
        <f t="shared" si="342"/>
        <v>overnight</v>
      </c>
      <c r="AJ474" s="85" t="str">
        <f t="shared" si="342"/>
        <v>overnight</v>
      </c>
      <c r="AK474" s="85" t="str">
        <f t="shared" si="342"/>
        <v>overnight</v>
      </c>
      <c r="AL474" s="85" t="str">
        <f t="shared" si="342"/>
        <v>overnight</v>
      </c>
      <c r="AM474" s="85" t="str">
        <f t="shared" si="342"/>
        <v>overnight</v>
      </c>
      <c r="AN474" s="85" t="str">
        <f t="shared" si="342"/>
        <v>overnight</v>
      </c>
      <c r="AO474" s="85" t="str">
        <f t="shared" si="342"/>
        <v>overnight</v>
      </c>
    </row>
    <row r="475" spans="1:41" x14ac:dyDescent="0.35">
      <c r="A475" s="71" t="str">
        <f t="shared" si="340"/>
        <v>default</v>
      </c>
      <c r="B475" s="72" t="s">
        <v>18</v>
      </c>
      <c r="C475" s="73" t="s">
        <v>41</v>
      </c>
      <c r="D475" s="73"/>
      <c r="E475" s="73" t="s">
        <v>82</v>
      </c>
      <c r="F475" s="73" t="s">
        <v>82</v>
      </c>
      <c r="G475" s="73" t="s">
        <v>82</v>
      </c>
      <c r="H475" s="73" t="s">
        <v>82</v>
      </c>
      <c r="I475" s="73" t="s">
        <v>82</v>
      </c>
      <c r="J475" s="73" t="s">
        <v>82</v>
      </c>
      <c r="K475" s="73" t="s">
        <v>53</v>
      </c>
      <c r="L475" s="73" t="str">
        <f t="shared" ref="L475:AE475" si="343">K475</f>
        <v>overnight</v>
      </c>
      <c r="M475" s="73" t="str">
        <f t="shared" si="343"/>
        <v>overnight</v>
      </c>
      <c r="N475" s="73" t="str">
        <f t="shared" si="343"/>
        <v>overnight</v>
      </c>
      <c r="O475" s="73" t="str">
        <f t="shared" si="343"/>
        <v>overnight</v>
      </c>
      <c r="P475" s="73" t="str">
        <f t="shared" si="343"/>
        <v>overnight</v>
      </c>
      <c r="Q475" s="73" t="str">
        <f t="shared" si="343"/>
        <v>overnight</v>
      </c>
      <c r="R475" s="73" t="str">
        <f t="shared" si="343"/>
        <v>overnight</v>
      </c>
      <c r="S475" s="73" t="str">
        <f t="shared" si="343"/>
        <v>overnight</v>
      </c>
      <c r="T475" s="73" t="str">
        <f t="shared" si="343"/>
        <v>overnight</v>
      </c>
      <c r="U475" s="73" t="str">
        <f t="shared" si="343"/>
        <v>overnight</v>
      </c>
      <c r="V475" s="73" t="str">
        <f t="shared" si="343"/>
        <v>overnight</v>
      </c>
      <c r="W475" s="73" t="str">
        <f t="shared" si="343"/>
        <v>overnight</v>
      </c>
      <c r="X475" s="73" t="str">
        <f t="shared" si="343"/>
        <v>overnight</v>
      </c>
      <c r="Y475" s="73" t="str">
        <f t="shared" si="343"/>
        <v>overnight</v>
      </c>
      <c r="Z475" s="73" t="str">
        <f t="shared" si="343"/>
        <v>overnight</v>
      </c>
      <c r="AA475" s="73" t="str">
        <f t="shared" si="343"/>
        <v>overnight</v>
      </c>
      <c r="AB475" s="73" t="str">
        <f t="shared" si="343"/>
        <v>overnight</v>
      </c>
      <c r="AC475" s="73" t="str">
        <f t="shared" si="343"/>
        <v>overnight</v>
      </c>
      <c r="AD475" s="73" t="str">
        <f t="shared" si="343"/>
        <v>overnight</v>
      </c>
      <c r="AE475" s="73" t="str">
        <f t="shared" si="343"/>
        <v>overnight</v>
      </c>
      <c r="AF475" s="85" t="str">
        <f t="shared" ref="AF475:AO475" si="344">AE475</f>
        <v>overnight</v>
      </c>
      <c r="AG475" s="85" t="str">
        <f t="shared" si="344"/>
        <v>overnight</v>
      </c>
      <c r="AH475" s="85" t="str">
        <f t="shared" si="344"/>
        <v>overnight</v>
      </c>
      <c r="AI475" s="85" t="str">
        <f t="shared" si="344"/>
        <v>overnight</v>
      </c>
      <c r="AJ475" s="85" t="str">
        <f t="shared" si="344"/>
        <v>overnight</v>
      </c>
      <c r="AK475" s="85" t="str">
        <f t="shared" si="344"/>
        <v>overnight</v>
      </c>
      <c r="AL475" s="85" t="str">
        <f t="shared" si="344"/>
        <v>overnight</v>
      </c>
      <c r="AM475" s="85" t="str">
        <f t="shared" si="344"/>
        <v>overnight</v>
      </c>
      <c r="AN475" s="85" t="str">
        <f t="shared" si="344"/>
        <v>overnight</v>
      </c>
      <c r="AO475" s="85" t="str">
        <f t="shared" si="344"/>
        <v>overnight</v>
      </c>
    </row>
    <row r="476" spans="1:41" x14ac:dyDescent="0.35">
      <c r="A476" s="71" t="str">
        <f t="shared" si="340"/>
        <v>default</v>
      </c>
      <c r="B476" s="68" t="s">
        <v>19</v>
      </c>
      <c r="C476" s="75" t="s">
        <v>41</v>
      </c>
      <c r="D476" s="75"/>
      <c r="E476" s="75" t="s">
        <v>82</v>
      </c>
      <c r="F476" s="75" t="s">
        <v>82</v>
      </c>
      <c r="G476" s="75" t="s">
        <v>82</v>
      </c>
      <c r="H476" s="75" t="s">
        <v>82</v>
      </c>
      <c r="I476" s="75" t="s">
        <v>82</v>
      </c>
      <c r="J476" s="75" t="s">
        <v>82</v>
      </c>
      <c r="K476" s="75" t="s">
        <v>53</v>
      </c>
      <c r="L476" s="75" t="str">
        <f t="shared" ref="L476:AE476" si="345">K476</f>
        <v>overnight</v>
      </c>
      <c r="M476" s="75" t="str">
        <f t="shared" si="345"/>
        <v>overnight</v>
      </c>
      <c r="N476" s="75" t="str">
        <f t="shared" si="345"/>
        <v>overnight</v>
      </c>
      <c r="O476" s="75" t="str">
        <f t="shared" si="345"/>
        <v>overnight</v>
      </c>
      <c r="P476" s="75" t="str">
        <f t="shared" si="345"/>
        <v>overnight</v>
      </c>
      <c r="Q476" s="75" t="str">
        <f t="shared" si="345"/>
        <v>overnight</v>
      </c>
      <c r="R476" s="75" t="str">
        <f t="shared" si="345"/>
        <v>overnight</v>
      </c>
      <c r="S476" s="75" t="str">
        <f t="shared" si="345"/>
        <v>overnight</v>
      </c>
      <c r="T476" s="75" t="str">
        <f t="shared" si="345"/>
        <v>overnight</v>
      </c>
      <c r="U476" s="75" t="str">
        <f t="shared" si="345"/>
        <v>overnight</v>
      </c>
      <c r="V476" s="75" t="str">
        <f t="shared" si="345"/>
        <v>overnight</v>
      </c>
      <c r="W476" s="75" t="str">
        <f t="shared" si="345"/>
        <v>overnight</v>
      </c>
      <c r="X476" s="75" t="str">
        <f t="shared" si="345"/>
        <v>overnight</v>
      </c>
      <c r="Y476" s="75" t="str">
        <f t="shared" si="345"/>
        <v>overnight</v>
      </c>
      <c r="Z476" s="75" t="str">
        <f t="shared" si="345"/>
        <v>overnight</v>
      </c>
      <c r="AA476" s="75" t="str">
        <f t="shared" si="345"/>
        <v>overnight</v>
      </c>
      <c r="AB476" s="75" t="str">
        <f t="shared" si="345"/>
        <v>overnight</v>
      </c>
      <c r="AC476" s="75" t="str">
        <f t="shared" si="345"/>
        <v>overnight</v>
      </c>
      <c r="AD476" s="75" t="str">
        <f t="shared" si="345"/>
        <v>overnight</v>
      </c>
      <c r="AE476" s="75" t="str">
        <f t="shared" si="345"/>
        <v>overnight</v>
      </c>
      <c r="AF476" s="85" t="str">
        <f t="shared" ref="AF476:AO476" si="346">AE476</f>
        <v>overnight</v>
      </c>
      <c r="AG476" s="85" t="str">
        <f t="shared" si="346"/>
        <v>overnight</v>
      </c>
      <c r="AH476" s="85" t="str">
        <f t="shared" si="346"/>
        <v>overnight</v>
      </c>
      <c r="AI476" s="85" t="str">
        <f t="shared" si="346"/>
        <v>overnight</v>
      </c>
      <c r="AJ476" s="85" t="str">
        <f t="shared" si="346"/>
        <v>overnight</v>
      </c>
      <c r="AK476" s="85" t="str">
        <f t="shared" si="346"/>
        <v>overnight</v>
      </c>
      <c r="AL476" s="85" t="str">
        <f t="shared" si="346"/>
        <v>overnight</v>
      </c>
      <c r="AM476" s="85" t="str">
        <f t="shared" si="346"/>
        <v>overnight</v>
      </c>
      <c r="AN476" s="85" t="str">
        <f t="shared" si="346"/>
        <v>overnight</v>
      </c>
      <c r="AO476" s="85" t="str">
        <f t="shared" si="346"/>
        <v>overnight</v>
      </c>
    </row>
    <row r="477" spans="1:41" x14ac:dyDescent="0.35">
      <c r="A477" s="71" t="str">
        <f t="shared" si="340"/>
        <v>default</v>
      </c>
      <c r="B477" s="72" t="s">
        <v>20</v>
      </c>
      <c r="C477" s="73" t="s">
        <v>41</v>
      </c>
      <c r="D477" s="73"/>
      <c r="E477" s="73" t="s">
        <v>82</v>
      </c>
      <c r="F477" s="73" t="s">
        <v>82</v>
      </c>
      <c r="G477" s="73" t="s">
        <v>82</v>
      </c>
      <c r="H477" s="73" t="s">
        <v>82</v>
      </c>
      <c r="I477" s="73" t="s">
        <v>82</v>
      </c>
      <c r="J477" s="73" t="s">
        <v>82</v>
      </c>
      <c r="K477" s="73" t="s">
        <v>53</v>
      </c>
      <c r="L477" s="73" t="str">
        <f t="shared" ref="L477:AE477" si="347">K477</f>
        <v>overnight</v>
      </c>
      <c r="M477" s="73" t="str">
        <f t="shared" si="347"/>
        <v>overnight</v>
      </c>
      <c r="N477" s="73" t="str">
        <f t="shared" si="347"/>
        <v>overnight</v>
      </c>
      <c r="O477" s="73" t="str">
        <f t="shared" si="347"/>
        <v>overnight</v>
      </c>
      <c r="P477" s="73" t="str">
        <f t="shared" si="347"/>
        <v>overnight</v>
      </c>
      <c r="Q477" s="73" t="str">
        <f t="shared" si="347"/>
        <v>overnight</v>
      </c>
      <c r="R477" s="73" t="str">
        <f t="shared" si="347"/>
        <v>overnight</v>
      </c>
      <c r="S477" s="73" t="str">
        <f t="shared" si="347"/>
        <v>overnight</v>
      </c>
      <c r="T477" s="73" t="str">
        <f t="shared" si="347"/>
        <v>overnight</v>
      </c>
      <c r="U477" s="73" t="str">
        <f t="shared" si="347"/>
        <v>overnight</v>
      </c>
      <c r="V477" s="73" t="str">
        <f t="shared" si="347"/>
        <v>overnight</v>
      </c>
      <c r="W477" s="73" t="str">
        <f t="shared" si="347"/>
        <v>overnight</v>
      </c>
      <c r="X477" s="73" t="str">
        <f t="shared" si="347"/>
        <v>overnight</v>
      </c>
      <c r="Y477" s="73" t="str">
        <f t="shared" si="347"/>
        <v>overnight</v>
      </c>
      <c r="Z477" s="73" t="str">
        <f t="shared" si="347"/>
        <v>overnight</v>
      </c>
      <c r="AA477" s="73" t="str">
        <f t="shared" si="347"/>
        <v>overnight</v>
      </c>
      <c r="AB477" s="73" t="str">
        <f t="shared" si="347"/>
        <v>overnight</v>
      </c>
      <c r="AC477" s="73" t="str">
        <f t="shared" si="347"/>
        <v>overnight</v>
      </c>
      <c r="AD477" s="73" t="str">
        <f t="shared" si="347"/>
        <v>overnight</v>
      </c>
      <c r="AE477" s="73" t="str">
        <f t="shared" si="347"/>
        <v>overnight</v>
      </c>
      <c r="AF477" s="85" t="str">
        <f t="shared" ref="AF477:AO477" si="348">AE477</f>
        <v>overnight</v>
      </c>
      <c r="AG477" s="85" t="str">
        <f t="shared" si="348"/>
        <v>overnight</v>
      </c>
      <c r="AH477" s="85" t="str">
        <f t="shared" si="348"/>
        <v>overnight</v>
      </c>
      <c r="AI477" s="85" t="str">
        <f t="shared" si="348"/>
        <v>overnight</v>
      </c>
      <c r="AJ477" s="85" t="str">
        <f t="shared" si="348"/>
        <v>overnight</v>
      </c>
      <c r="AK477" s="85" t="str">
        <f t="shared" si="348"/>
        <v>overnight</v>
      </c>
      <c r="AL477" s="85" t="str">
        <f t="shared" si="348"/>
        <v>overnight</v>
      </c>
      <c r="AM477" s="85" t="str">
        <f t="shared" si="348"/>
        <v>overnight</v>
      </c>
      <c r="AN477" s="85" t="str">
        <f t="shared" si="348"/>
        <v>overnight</v>
      </c>
      <c r="AO477" s="85" t="str">
        <f t="shared" si="348"/>
        <v>overnight</v>
      </c>
    </row>
    <row r="478" spans="1:41" x14ac:dyDescent="0.35">
      <c r="A478" s="71" t="str">
        <f t="shared" si="340"/>
        <v>default</v>
      </c>
      <c r="B478" s="68" t="s">
        <v>21</v>
      </c>
      <c r="C478" s="75" t="s">
        <v>41</v>
      </c>
      <c r="D478" s="75"/>
      <c r="E478" s="75" t="s">
        <v>82</v>
      </c>
      <c r="F478" s="75" t="s">
        <v>82</v>
      </c>
      <c r="G478" s="75" t="s">
        <v>82</v>
      </c>
      <c r="H478" s="75" t="s">
        <v>82</v>
      </c>
      <c r="I478" s="75" t="s">
        <v>82</v>
      </c>
      <c r="J478" s="75" t="s">
        <v>82</v>
      </c>
      <c r="K478" s="75" t="s">
        <v>53</v>
      </c>
      <c r="L478" s="75" t="str">
        <f t="shared" ref="L478:AE478" si="349">K478</f>
        <v>overnight</v>
      </c>
      <c r="M478" s="75" t="str">
        <f t="shared" si="349"/>
        <v>overnight</v>
      </c>
      <c r="N478" s="75" t="str">
        <f t="shared" si="349"/>
        <v>overnight</v>
      </c>
      <c r="O478" s="75" t="str">
        <f t="shared" si="349"/>
        <v>overnight</v>
      </c>
      <c r="P478" s="75" t="str">
        <f t="shared" si="349"/>
        <v>overnight</v>
      </c>
      <c r="Q478" s="75" t="str">
        <f t="shared" si="349"/>
        <v>overnight</v>
      </c>
      <c r="R478" s="75" t="str">
        <f t="shared" si="349"/>
        <v>overnight</v>
      </c>
      <c r="S478" s="75" t="str">
        <f t="shared" si="349"/>
        <v>overnight</v>
      </c>
      <c r="T478" s="75" t="str">
        <f t="shared" si="349"/>
        <v>overnight</v>
      </c>
      <c r="U478" s="75" t="str">
        <f t="shared" si="349"/>
        <v>overnight</v>
      </c>
      <c r="V478" s="75" t="str">
        <f t="shared" si="349"/>
        <v>overnight</v>
      </c>
      <c r="W478" s="75" t="str">
        <f t="shared" si="349"/>
        <v>overnight</v>
      </c>
      <c r="X478" s="75" t="str">
        <f t="shared" si="349"/>
        <v>overnight</v>
      </c>
      <c r="Y478" s="75" t="str">
        <f t="shared" si="349"/>
        <v>overnight</v>
      </c>
      <c r="Z478" s="75" t="str">
        <f t="shared" si="349"/>
        <v>overnight</v>
      </c>
      <c r="AA478" s="75" t="str">
        <f t="shared" si="349"/>
        <v>overnight</v>
      </c>
      <c r="AB478" s="75" t="str">
        <f t="shared" si="349"/>
        <v>overnight</v>
      </c>
      <c r="AC478" s="75" t="str">
        <f t="shared" si="349"/>
        <v>overnight</v>
      </c>
      <c r="AD478" s="75" t="str">
        <f t="shared" si="349"/>
        <v>overnight</v>
      </c>
      <c r="AE478" s="75" t="str">
        <f t="shared" si="349"/>
        <v>overnight</v>
      </c>
      <c r="AF478" s="85" t="str">
        <f t="shared" ref="AF478:AO478" si="350">AE478</f>
        <v>overnight</v>
      </c>
      <c r="AG478" s="85" t="str">
        <f t="shared" si="350"/>
        <v>overnight</v>
      </c>
      <c r="AH478" s="85" t="str">
        <f t="shared" si="350"/>
        <v>overnight</v>
      </c>
      <c r="AI478" s="85" t="str">
        <f t="shared" si="350"/>
        <v>overnight</v>
      </c>
      <c r="AJ478" s="85" t="str">
        <f t="shared" si="350"/>
        <v>overnight</v>
      </c>
      <c r="AK478" s="85" t="str">
        <f t="shared" si="350"/>
        <v>overnight</v>
      </c>
      <c r="AL478" s="85" t="str">
        <f t="shared" si="350"/>
        <v>overnight</v>
      </c>
      <c r="AM478" s="85" t="str">
        <f t="shared" si="350"/>
        <v>overnight</v>
      </c>
      <c r="AN478" s="85" t="str">
        <f t="shared" si="350"/>
        <v>overnight</v>
      </c>
      <c r="AO478" s="85" t="str">
        <f t="shared" si="350"/>
        <v>overnight</v>
      </c>
    </row>
    <row r="479" spans="1:41" x14ac:dyDescent="0.35">
      <c r="A479" s="71" t="str">
        <f t="shared" si="340"/>
        <v>default</v>
      </c>
      <c r="B479" s="72" t="s">
        <v>22</v>
      </c>
      <c r="C479" s="73" t="s">
        <v>41</v>
      </c>
      <c r="D479" s="73"/>
      <c r="E479" s="73" t="s">
        <v>82</v>
      </c>
      <c r="F479" s="73" t="s">
        <v>82</v>
      </c>
      <c r="G479" s="73" t="s">
        <v>82</v>
      </c>
      <c r="H479" s="73" t="s">
        <v>82</v>
      </c>
      <c r="I479" s="73" t="s">
        <v>82</v>
      </c>
      <c r="J479" s="73" t="s">
        <v>82</v>
      </c>
      <c r="K479" s="73" t="s">
        <v>53</v>
      </c>
      <c r="L479" s="73" t="str">
        <f t="shared" ref="L479:AE479" si="351">K479</f>
        <v>overnight</v>
      </c>
      <c r="M479" s="73" t="str">
        <f t="shared" si="351"/>
        <v>overnight</v>
      </c>
      <c r="N479" s="73" t="str">
        <f t="shared" si="351"/>
        <v>overnight</v>
      </c>
      <c r="O479" s="73" t="str">
        <f t="shared" si="351"/>
        <v>overnight</v>
      </c>
      <c r="P479" s="73" t="str">
        <f t="shared" si="351"/>
        <v>overnight</v>
      </c>
      <c r="Q479" s="73" t="str">
        <f t="shared" si="351"/>
        <v>overnight</v>
      </c>
      <c r="R479" s="73" t="str">
        <f t="shared" si="351"/>
        <v>overnight</v>
      </c>
      <c r="S479" s="73" t="str">
        <f t="shared" si="351"/>
        <v>overnight</v>
      </c>
      <c r="T479" s="73" t="str">
        <f t="shared" si="351"/>
        <v>overnight</v>
      </c>
      <c r="U479" s="73" t="str">
        <f t="shared" si="351"/>
        <v>overnight</v>
      </c>
      <c r="V479" s="73" t="str">
        <f t="shared" si="351"/>
        <v>overnight</v>
      </c>
      <c r="W479" s="73" t="str">
        <f t="shared" si="351"/>
        <v>overnight</v>
      </c>
      <c r="X479" s="73" t="str">
        <f t="shared" si="351"/>
        <v>overnight</v>
      </c>
      <c r="Y479" s="73" t="str">
        <f t="shared" si="351"/>
        <v>overnight</v>
      </c>
      <c r="Z479" s="73" t="str">
        <f t="shared" si="351"/>
        <v>overnight</v>
      </c>
      <c r="AA479" s="73" t="str">
        <f t="shared" si="351"/>
        <v>overnight</v>
      </c>
      <c r="AB479" s="73" t="str">
        <f t="shared" si="351"/>
        <v>overnight</v>
      </c>
      <c r="AC479" s="73" t="str">
        <f t="shared" si="351"/>
        <v>overnight</v>
      </c>
      <c r="AD479" s="73" t="str">
        <f t="shared" si="351"/>
        <v>overnight</v>
      </c>
      <c r="AE479" s="73" t="str">
        <f t="shared" si="351"/>
        <v>overnight</v>
      </c>
      <c r="AF479" s="85" t="str">
        <f t="shared" ref="AF479:AO479" si="352">AE479</f>
        <v>overnight</v>
      </c>
      <c r="AG479" s="85" t="str">
        <f t="shared" si="352"/>
        <v>overnight</v>
      </c>
      <c r="AH479" s="85" t="str">
        <f t="shared" si="352"/>
        <v>overnight</v>
      </c>
      <c r="AI479" s="85" t="str">
        <f t="shared" si="352"/>
        <v>overnight</v>
      </c>
      <c r="AJ479" s="85" t="str">
        <f t="shared" si="352"/>
        <v>overnight</v>
      </c>
      <c r="AK479" s="85" t="str">
        <f t="shared" si="352"/>
        <v>overnight</v>
      </c>
      <c r="AL479" s="85" t="str">
        <f t="shared" si="352"/>
        <v>overnight</v>
      </c>
      <c r="AM479" s="85" t="str">
        <f t="shared" si="352"/>
        <v>overnight</v>
      </c>
      <c r="AN479" s="85" t="str">
        <f t="shared" si="352"/>
        <v>overnight</v>
      </c>
      <c r="AO479" s="85" t="str">
        <f t="shared" si="352"/>
        <v>overnight</v>
      </c>
    </row>
    <row r="480" spans="1:41" x14ac:dyDescent="0.35">
      <c r="A480" s="71" t="str">
        <f t="shared" si="340"/>
        <v>default</v>
      </c>
      <c r="B480" s="72" t="s">
        <v>117</v>
      </c>
      <c r="C480" s="73" t="s">
        <v>41</v>
      </c>
      <c r="D480" s="73"/>
      <c r="E480" s="73" t="s">
        <v>82</v>
      </c>
      <c r="F480" s="73" t="s">
        <v>82</v>
      </c>
      <c r="G480" s="73" t="s">
        <v>82</v>
      </c>
      <c r="H480" s="73" t="s">
        <v>82</v>
      </c>
      <c r="I480" s="73" t="s">
        <v>82</v>
      </c>
      <c r="J480" s="73" t="s">
        <v>82</v>
      </c>
      <c r="K480" s="73" t="s">
        <v>53</v>
      </c>
      <c r="L480" s="73" t="str">
        <f t="shared" ref="L480" si="353">K480</f>
        <v>overnight</v>
      </c>
      <c r="M480" s="73" t="str">
        <f t="shared" ref="M480" si="354">L480</f>
        <v>overnight</v>
      </c>
      <c r="N480" s="73" t="str">
        <f t="shared" ref="N480" si="355">M480</f>
        <v>overnight</v>
      </c>
      <c r="O480" s="73" t="str">
        <f t="shared" ref="O480" si="356">N480</f>
        <v>overnight</v>
      </c>
      <c r="P480" s="73" t="str">
        <f t="shared" ref="P480" si="357">O480</f>
        <v>overnight</v>
      </c>
      <c r="Q480" s="73" t="str">
        <f t="shared" ref="Q480" si="358">P480</f>
        <v>overnight</v>
      </c>
      <c r="R480" s="73" t="str">
        <f t="shared" ref="R480" si="359">Q480</f>
        <v>overnight</v>
      </c>
      <c r="S480" s="73" t="str">
        <f t="shared" ref="S480" si="360">R480</f>
        <v>overnight</v>
      </c>
      <c r="T480" s="73" t="str">
        <f t="shared" ref="T480" si="361">S480</f>
        <v>overnight</v>
      </c>
      <c r="U480" s="73" t="str">
        <f t="shared" ref="U480" si="362">T480</f>
        <v>overnight</v>
      </c>
      <c r="V480" s="73" t="str">
        <f t="shared" ref="V480" si="363">U480</f>
        <v>overnight</v>
      </c>
      <c r="W480" s="73" t="str">
        <f t="shared" ref="W480" si="364">V480</f>
        <v>overnight</v>
      </c>
      <c r="X480" s="73" t="str">
        <f t="shared" ref="X480" si="365">W480</f>
        <v>overnight</v>
      </c>
      <c r="Y480" s="73" t="str">
        <f t="shared" ref="Y480" si="366">X480</f>
        <v>overnight</v>
      </c>
      <c r="Z480" s="73" t="str">
        <f t="shared" ref="Z480" si="367">Y480</f>
        <v>overnight</v>
      </c>
      <c r="AA480" s="73" t="str">
        <f t="shared" ref="AA480" si="368">Z480</f>
        <v>overnight</v>
      </c>
      <c r="AB480" s="73" t="str">
        <f t="shared" ref="AB480" si="369">AA480</f>
        <v>overnight</v>
      </c>
      <c r="AC480" s="73" t="str">
        <f t="shared" ref="AC480" si="370">AB480</f>
        <v>overnight</v>
      </c>
      <c r="AD480" s="73" t="str">
        <f t="shared" ref="AD480" si="371">AC480</f>
        <v>overnight</v>
      </c>
      <c r="AE480" s="73" t="str">
        <f t="shared" ref="AE480" si="372">AD480</f>
        <v>overnight</v>
      </c>
      <c r="AF480" s="85" t="str">
        <f t="shared" ref="AF480" si="373">AE480</f>
        <v>overnight</v>
      </c>
      <c r="AG480" s="85" t="str">
        <f t="shared" ref="AG480" si="374">AF480</f>
        <v>overnight</v>
      </c>
      <c r="AH480" s="85" t="str">
        <f t="shared" ref="AH480" si="375">AG480</f>
        <v>overnight</v>
      </c>
      <c r="AI480" s="85" t="str">
        <f t="shared" ref="AI480" si="376">AH480</f>
        <v>overnight</v>
      </c>
      <c r="AJ480" s="85" t="str">
        <f t="shared" ref="AJ480" si="377">AI480</f>
        <v>overnight</v>
      </c>
      <c r="AK480" s="85" t="str">
        <f t="shared" ref="AK480" si="378">AJ480</f>
        <v>overnight</v>
      </c>
      <c r="AL480" s="85" t="str">
        <f t="shared" ref="AL480" si="379">AK480</f>
        <v>overnight</v>
      </c>
      <c r="AM480" s="85" t="str">
        <f t="shared" ref="AM480" si="380">AL480</f>
        <v>overnight</v>
      </c>
      <c r="AN480" s="85" t="str">
        <f t="shared" ref="AN480" si="381">AM480</f>
        <v>overnight</v>
      </c>
      <c r="AO480" s="85" t="str">
        <f t="shared" ref="AO480" si="382">AN480</f>
        <v>overnight</v>
      </c>
    </row>
    <row r="481" spans="1:41" x14ac:dyDescent="0.35">
      <c r="A481" s="71" t="str">
        <f>A471</f>
        <v>default</v>
      </c>
      <c r="B481" s="68" t="s">
        <v>15</v>
      </c>
      <c r="C481" s="75" t="s">
        <v>41</v>
      </c>
      <c r="D481" s="75"/>
      <c r="E481" s="75" t="s">
        <v>82</v>
      </c>
      <c r="F481" s="75" t="s">
        <v>82</v>
      </c>
      <c r="G481" s="75" t="s">
        <v>82</v>
      </c>
      <c r="H481" s="75" t="s">
        <v>82</v>
      </c>
      <c r="I481" s="75" t="s">
        <v>82</v>
      </c>
      <c r="J481" s="75" t="s">
        <v>82</v>
      </c>
      <c r="K481" s="75" t="s">
        <v>53</v>
      </c>
      <c r="L481" s="75" t="str">
        <f t="shared" ref="L481:AE481" si="383">K481</f>
        <v>overnight</v>
      </c>
      <c r="M481" s="75" t="str">
        <f t="shared" si="383"/>
        <v>overnight</v>
      </c>
      <c r="N481" s="75" t="str">
        <f t="shared" si="383"/>
        <v>overnight</v>
      </c>
      <c r="O481" s="75" t="str">
        <f t="shared" si="383"/>
        <v>overnight</v>
      </c>
      <c r="P481" s="75" t="str">
        <f t="shared" si="383"/>
        <v>overnight</v>
      </c>
      <c r="Q481" s="75" t="str">
        <f t="shared" si="383"/>
        <v>overnight</v>
      </c>
      <c r="R481" s="75" t="str">
        <f t="shared" si="383"/>
        <v>overnight</v>
      </c>
      <c r="S481" s="75" t="str">
        <f t="shared" si="383"/>
        <v>overnight</v>
      </c>
      <c r="T481" s="75" t="str">
        <f t="shared" si="383"/>
        <v>overnight</v>
      </c>
      <c r="U481" s="75" t="str">
        <f t="shared" si="383"/>
        <v>overnight</v>
      </c>
      <c r="V481" s="75" t="str">
        <f t="shared" si="383"/>
        <v>overnight</v>
      </c>
      <c r="W481" s="75" t="str">
        <f t="shared" si="383"/>
        <v>overnight</v>
      </c>
      <c r="X481" s="75" t="str">
        <f t="shared" si="383"/>
        <v>overnight</v>
      </c>
      <c r="Y481" s="75" t="str">
        <f t="shared" si="383"/>
        <v>overnight</v>
      </c>
      <c r="Z481" s="75" t="str">
        <f t="shared" si="383"/>
        <v>overnight</v>
      </c>
      <c r="AA481" s="75" t="str">
        <f t="shared" si="383"/>
        <v>overnight</v>
      </c>
      <c r="AB481" s="75" t="str">
        <f t="shared" si="383"/>
        <v>overnight</v>
      </c>
      <c r="AC481" s="75" t="str">
        <f t="shared" si="383"/>
        <v>overnight</v>
      </c>
      <c r="AD481" s="75" t="str">
        <f t="shared" si="383"/>
        <v>overnight</v>
      </c>
      <c r="AE481" s="75" t="str">
        <f t="shared" si="383"/>
        <v>overnight</v>
      </c>
      <c r="AF481" s="85" t="str">
        <f t="shared" ref="AF481:AO481" si="384">AE481</f>
        <v>overnight</v>
      </c>
      <c r="AG481" s="85" t="str">
        <f t="shared" si="384"/>
        <v>overnight</v>
      </c>
      <c r="AH481" s="85" t="str">
        <f t="shared" si="384"/>
        <v>overnight</v>
      </c>
      <c r="AI481" s="85" t="str">
        <f t="shared" si="384"/>
        <v>overnight</v>
      </c>
      <c r="AJ481" s="85" t="str">
        <f t="shared" si="384"/>
        <v>overnight</v>
      </c>
      <c r="AK481" s="85" t="str">
        <f t="shared" si="384"/>
        <v>overnight</v>
      </c>
      <c r="AL481" s="85" t="str">
        <f t="shared" si="384"/>
        <v>overnight</v>
      </c>
      <c r="AM481" s="85" t="str">
        <f t="shared" si="384"/>
        <v>overnight</v>
      </c>
      <c r="AN481" s="85" t="str">
        <f t="shared" si="384"/>
        <v>overnight</v>
      </c>
      <c r="AO481" s="85" t="str">
        <f t="shared" si="384"/>
        <v>overnight</v>
      </c>
    </row>
    <row r="482" spans="1:41" x14ac:dyDescent="0.35">
      <c r="A482" s="71" t="str">
        <f>A472</f>
        <v>default</v>
      </c>
      <c r="B482" s="72" t="s">
        <v>28</v>
      </c>
      <c r="C482" s="73" t="s">
        <v>41</v>
      </c>
      <c r="D482" s="73"/>
      <c r="E482" s="73" t="s">
        <v>82</v>
      </c>
      <c r="F482" s="73" t="s">
        <v>82</v>
      </c>
      <c r="G482" s="73" t="s">
        <v>82</v>
      </c>
      <c r="H482" s="73" t="s">
        <v>82</v>
      </c>
      <c r="I482" s="73" t="s">
        <v>82</v>
      </c>
      <c r="J482" s="73" t="s">
        <v>82</v>
      </c>
      <c r="K482" s="73" t="s">
        <v>53</v>
      </c>
      <c r="L482" s="73" t="str">
        <f t="shared" ref="L482:AE482" si="385">K482</f>
        <v>overnight</v>
      </c>
      <c r="M482" s="73" t="str">
        <f t="shared" si="385"/>
        <v>overnight</v>
      </c>
      <c r="N482" s="73" t="str">
        <f t="shared" si="385"/>
        <v>overnight</v>
      </c>
      <c r="O482" s="73" t="str">
        <f t="shared" si="385"/>
        <v>overnight</v>
      </c>
      <c r="P482" s="73" t="str">
        <f t="shared" si="385"/>
        <v>overnight</v>
      </c>
      <c r="Q482" s="73" t="str">
        <f t="shared" si="385"/>
        <v>overnight</v>
      </c>
      <c r="R482" s="73" t="str">
        <f t="shared" si="385"/>
        <v>overnight</v>
      </c>
      <c r="S482" s="73" t="str">
        <f t="shared" si="385"/>
        <v>overnight</v>
      </c>
      <c r="T482" s="73" t="str">
        <f t="shared" si="385"/>
        <v>overnight</v>
      </c>
      <c r="U482" s="73" t="str">
        <f t="shared" si="385"/>
        <v>overnight</v>
      </c>
      <c r="V482" s="73" t="str">
        <f t="shared" si="385"/>
        <v>overnight</v>
      </c>
      <c r="W482" s="73" t="str">
        <f t="shared" si="385"/>
        <v>overnight</v>
      </c>
      <c r="X482" s="73" t="str">
        <f t="shared" si="385"/>
        <v>overnight</v>
      </c>
      <c r="Y482" s="73" t="str">
        <f t="shared" si="385"/>
        <v>overnight</v>
      </c>
      <c r="Z482" s="73" t="str">
        <f t="shared" si="385"/>
        <v>overnight</v>
      </c>
      <c r="AA482" s="73" t="str">
        <f t="shared" si="385"/>
        <v>overnight</v>
      </c>
      <c r="AB482" s="73" t="str">
        <f t="shared" si="385"/>
        <v>overnight</v>
      </c>
      <c r="AC482" s="73" t="str">
        <f t="shared" si="385"/>
        <v>overnight</v>
      </c>
      <c r="AD482" s="73" t="str">
        <f t="shared" si="385"/>
        <v>overnight</v>
      </c>
      <c r="AE482" s="73" t="str">
        <f t="shared" si="385"/>
        <v>overnight</v>
      </c>
      <c r="AF482" s="85" t="str">
        <f t="shared" ref="AF482:AO482" si="386">AE482</f>
        <v>overnight</v>
      </c>
      <c r="AG482" s="85" t="str">
        <f t="shared" si="386"/>
        <v>overnight</v>
      </c>
      <c r="AH482" s="85" t="str">
        <f t="shared" si="386"/>
        <v>overnight</v>
      </c>
      <c r="AI482" s="85" t="str">
        <f t="shared" si="386"/>
        <v>overnight</v>
      </c>
      <c r="AJ482" s="85" t="str">
        <f t="shared" si="386"/>
        <v>overnight</v>
      </c>
      <c r="AK482" s="85" t="str">
        <f t="shared" si="386"/>
        <v>overnight</v>
      </c>
      <c r="AL482" s="85" t="str">
        <f t="shared" si="386"/>
        <v>overnight</v>
      </c>
      <c r="AM482" s="85" t="str">
        <f t="shared" si="386"/>
        <v>overnight</v>
      </c>
      <c r="AN482" s="85" t="str">
        <f t="shared" si="386"/>
        <v>overnight</v>
      </c>
      <c r="AO482" s="85" t="str">
        <f t="shared" si="386"/>
        <v>overnight</v>
      </c>
    </row>
    <row r="483" spans="1:41" x14ac:dyDescent="0.35">
      <c r="A483" s="71" t="str">
        <f>A474</f>
        <v>default</v>
      </c>
      <c r="B483" s="68" t="s">
        <v>10</v>
      </c>
      <c r="C483" s="75" t="s">
        <v>41</v>
      </c>
      <c r="D483" s="75"/>
      <c r="E483" s="75" t="s">
        <v>82</v>
      </c>
      <c r="F483" s="75" t="s">
        <v>82</v>
      </c>
      <c r="G483" s="75" t="s">
        <v>82</v>
      </c>
      <c r="H483" s="75" t="s">
        <v>82</v>
      </c>
      <c r="I483" s="75" t="s">
        <v>82</v>
      </c>
      <c r="J483" s="75" t="s">
        <v>82</v>
      </c>
      <c r="K483" s="75" t="s">
        <v>53</v>
      </c>
      <c r="L483" s="75" t="str">
        <f t="shared" ref="L483:AE483" si="387">K483</f>
        <v>overnight</v>
      </c>
      <c r="M483" s="75" t="str">
        <f t="shared" si="387"/>
        <v>overnight</v>
      </c>
      <c r="N483" s="75" t="str">
        <f t="shared" si="387"/>
        <v>overnight</v>
      </c>
      <c r="O483" s="75" t="str">
        <f t="shared" si="387"/>
        <v>overnight</v>
      </c>
      <c r="P483" s="75" t="str">
        <f t="shared" si="387"/>
        <v>overnight</v>
      </c>
      <c r="Q483" s="75" t="str">
        <f t="shared" si="387"/>
        <v>overnight</v>
      </c>
      <c r="R483" s="75" t="str">
        <f t="shared" si="387"/>
        <v>overnight</v>
      </c>
      <c r="S483" s="75" t="str">
        <f t="shared" si="387"/>
        <v>overnight</v>
      </c>
      <c r="T483" s="75" t="str">
        <f t="shared" si="387"/>
        <v>overnight</v>
      </c>
      <c r="U483" s="75" t="str">
        <f t="shared" si="387"/>
        <v>overnight</v>
      </c>
      <c r="V483" s="75" t="str">
        <f t="shared" si="387"/>
        <v>overnight</v>
      </c>
      <c r="W483" s="75" t="str">
        <f t="shared" si="387"/>
        <v>overnight</v>
      </c>
      <c r="X483" s="75" t="str">
        <f t="shared" si="387"/>
        <v>overnight</v>
      </c>
      <c r="Y483" s="75" t="str">
        <f t="shared" si="387"/>
        <v>overnight</v>
      </c>
      <c r="Z483" s="75" t="str">
        <f t="shared" si="387"/>
        <v>overnight</v>
      </c>
      <c r="AA483" s="75" t="str">
        <f t="shared" si="387"/>
        <v>overnight</v>
      </c>
      <c r="AB483" s="75" t="str">
        <f t="shared" si="387"/>
        <v>overnight</v>
      </c>
      <c r="AC483" s="75" t="str">
        <f t="shared" si="387"/>
        <v>overnight</v>
      </c>
      <c r="AD483" s="75" t="str">
        <f t="shared" si="387"/>
        <v>overnight</v>
      </c>
      <c r="AE483" s="75" t="str">
        <f t="shared" si="387"/>
        <v>overnight</v>
      </c>
      <c r="AF483" s="85" t="str">
        <f t="shared" ref="AF483:AO483" si="388">AE483</f>
        <v>overnight</v>
      </c>
      <c r="AG483" s="85" t="str">
        <f t="shared" si="388"/>
        <v>overnight</v>
      </c>
      <c r="AH483" s="85" t="str">
        <f t="shared" si="388"/>
        <v>overnight</v>
      </c>
      <c r="AI483" s="85" t="str">
        <f t="shared" si="388"/>
        <v>overnight</v>
      </c>
      <c r="AJ483" s="85" t="str">
        <f t="shared" si="388"/>
        <v>overnight</v>
      </c>
      <c r="AK483" s="85" t="str">
        <f t="shared" si="388"/>
        <v>overnight</v>
      </c>
      <c r="AL483" s="85" t="str">
        <f t="shared" si="388"/>
        <v>overnight</v>
      </c>
      <c r="AM483" s="85" t="str">
        <f t="shared" si="388"/>
        <v>overnight</v>
      </c>
      <c r="AN483" s="85" t="str">
        <f t="shared" si="388"/>
        <v>overnight</v>
      </c>
      <c r="AO483" s="85" t="str">
        <f t="shared" si="388"/>
        <v>overnight</v>
      </c>
    </row>
    <row r="484" spans="1:41" x14ac:dyDescent="0.35">
      <c r="A484" s="71" t="str">
        <f>A481</f>
        <v>default</v>
      </c>
      <c r="B484" s="72" t="s">
        <v>11</v>
      </c>
      <c r="C484" s="73" t="s">
        <v>41</v>
      </c>
      <c r="D484" s="73"/>
      <c r="E484" s="73" t="s">
        <v>82</v>
      </c>
      <c r="F484" s="73" t="s">
        <v>82</v>
      </c>
      <c r="G484" s="73" t="s">
        <v>82</v>
      </c>
      <c r="H484" s="73" t="s">
        <v>82</v>
      </c>
      <c r="I484" s="73" t="s">
        <v>82</v>
      </c>
      <c r="J484" s="73" t="s">
        <v>82</v>
      </c>
      <c r="K484" s="73" t="s">
        <v>53</v>
      </c>
      <c r="L484" s="73" t="str">
        <f t="shared" ref="L484:AE484" si="389">K484</f>
        <v>overnight</v>
      </c>
      <c r="M484" s="73" t="str">
        <f t="shared" si="389"/>
        <v>overnight</v>
      </c>
      <c r="N484" s="73" t="str">
        <f t="shared" si="389"/>
        <v>overnight</v>
      </c>
      <c r="O484" s="73" t="str">
        <f t="shared" si="389"/>
        <v>overnight</v>
      </c>
      <c r="P484" s="73" t="str">
        <f t="shared" si="389"/>
        <v>overnight</v>
      </c>
      <c r="Q484" s="73" t="str">
        <f t="shared" si="389"/>
        <v>overnight</v>
      </c>
      <c r="R484" s="73" t="str">
        <f t="shared" si="389"/>
        <v>overnight</v>
      </c>
      <c r="S484" s="73" t="str">
        <f t="shared" si="389"/>
        <v>overnight</v>
      </c>
      <c r="T484" s="73" t="str">
        <f t="shared" si="389"/>
        <v>overnight</v>
      </c>
      <c r="U484" s="73" t="str">
        <f t="shared" si="389"/>
        <v>overnight</v>
      </c>
      <c r="V484" s="73" t="str">
        <f t="shared" si="389"/>
        <v>overnight</v>
      </c>
      <c r="W484" s="73" t="str">
        <f t="shared" si="389"/>
        <v>overnight</v>
      </c>
      <c r="X484" s="73" t="str">
        <f t="shared" si="389"/>
        <v>overnight</v>
      </c>
      <c r="Y484" s="73" t="str">
        <f t="shared" si="389"/>
        <v>overnight</v>
      </c>
      <c r="Z484" s="73" t="str">
        <f t="shared" si="389"/>
        <v>overnight</v>
      </c>
      <c r="AA484" s="73" t="str">
        <f t="shared" si="389"/>
        <v>overnight</v>
      </c>
      <c r="AB484" s="73" t="str">
        <f t="shared" si="389"/>
        <v>overnight</v>
      </c>
      <c r="AC484" s="73" t="str">
        <f t="shared" si="389"/>
        <v>overnight</v>
      </c>
      <c r="AD484" s="73" t="str">
        <f t="shared" si="389"/>
        <v>overnight</v>
      </c>
      <c r="AE484" s="73" t="str">
        <f t="shared" si="389"/>
        <v>overnight</v>
      </c>
      <c r="AF484" s="85" t="str">
        <f t="shared" ref="AF484:AO484" si="390">AE484</f>
        <v>overnight</v>
      </c>
      <c r="AG484" s="85" t="str">
        <f t="shared" si="390"/>
        <v>overnight</v>
      </c>
      <c r="AH484" s="85" t="str">
        <f t="shared" si="390"/>
        <v>overnight</v>
      </c>
      <c r="AI484" s="85" t="str">
        <f t="shared" si="390"/>
        <v>overnight</v>
      </c>
      <c r="AJ484" s="85" t="str">
        <f t="shared" si="390"/>
        <v>overnight</v>
      </c>
      <c r="AK484" s="85" t="str">
        <f t="shared" si="390"/>
        <v>overnight</v>
      </c>
      <c r="AL484" s="85" t="str">
        <f t="shared" si="390"/>
        <v>overnight</v>
      </c>
      <c r="AM484" s="85" t="str">
        <f t="shared" si="390"/>
        <v>overnight</v>
      </c>
      <c r="AN484" s="85" t="str">
        <f t="shared" si="390"/>
        <v>overnight</v>
      </c>
      <c r="AO484" s="85" t="str">
        <f t="shared" si="390"/>
        <v>overnight</v>
      </c>
    </row>
    <row r="485" spans="1:41" x14ac:dyDescent="0.35">
      <c r="A485" s="71" t="str">
        <f>A482</f>
        <v>default</v>
      </c>
      <c r="B485" s="68" t="s">
        <v>8</v>
      </c>
      <c r="C485" s="75" t="s">
        <v>41</v>
      </c>
      <c r="D485" s="75"/>
      <c r="E485" s="75" t="s">
        <v>82</v>
      </c>
      <c r="F485" s="75" t="s">
        <v>82</v>
      </c>
      <c r="G485" s="75" t="s">
        <v>82</v>
      </c>
      <c r="H485" s="75" t="s">
        <v>82</v>
      </c>
      <c r="I485" s="75" t="s">
        <v>82</v>
      </c>
      <c r="J485" s="75" t="s">
        <v>82</v>
      </c>
      <c r="K485" s="75" t="s">
        <v>53</v>
      </c>
      <c r="L485" s="75" t="str">
        <f t="shared" ref="L485:AE485" si="391">K485</f>
        <v>overnight</v>
      </c>
      <c r="M485" s="75" t="str">
        <f t="shared" si="391"/>
        <v>overnight</v>
      </c>
      <c r="N485" s="75" t="str">
        <f t="shared" si="391"/>
        <v>overnight</v>
      </c>
      <c r="O485" s="75" t="str">
        <f t="shared" si="391"/>
        <v>overnight</v>
      </c>
      <c r="P485" s="75" t="str">
        <f t="shared" si="391"/>
        <v>overnight</v>
      </c>
      <c r="Q485" s="75" t="str">
        <f t="shared" si="391"/>
        <v>overnight</v>
      </c>
      <c r="R485" s="75" t="str">
        <f t="shared" si="391"/>
        <v>overnight</v>
      </c>
      <c r="S485" s="75" t="str">
        <f t="shared" si="391"/>
        <v>overnight</v>
      </c>
      <c r="T485" s="75" t="str">
        <f t="shared" si="391"/>
        <v>overnight</v>
      </c>
      <c r="U485" s="75" t="str">
        <f t="shared" si="391"/>
        <v>overnight</v>
      </c>
      <c r="V485" s="75" t="str">
        <f t="shared" si="391"/>
        <v>overnight</v>
      </c>
      <c r="W485" s="75" t="str">
        <f t="shared" si="391"/>
        <v>overnight</v>
      </c>
      <c r="X485" s="75" t="str">
        <f t="shared" si="391"/>
        <v>overnight</v>
      </c>
      <c r="Y485" s="75" t="str">
        <f t="shared" si="391"/>
        <v>overnight</v>
      </c>
      <c r="Z485" s="75" t="str">
        <f t="shared" si="391"/>
        <v>overnight</v>
      </c>
      <c r="AA485" s="75" t="str">
        <f t="shared" si="391"/>
        <v>overnight</v>
      </c>
      <c r="AB485" s="75" t="str">
        <f t="shared" si="391"/>
        <v>overnight</v>
      </c>
      <c r="AC485" s="75" t="str">
        <f t="shared" si="391"/>
        <v>overnight</v>
      </c>
      <c r="AD485" s="75" t="str">
        <f t="shared" si="391"/>
        <v>overnight</v>
      </c>
      <c r="AE485" s="75" t="str">
        <f t="shared" si="391"/>
        <v>overnight</v>
      </c>
      <c r="AF485" s="85" t="str">
        <f t="shared" ref="AF485:AO485" si="392">AE485</f>
        <v>overnight</v>
      </c>
      <c r="AG485" s="85" t="str">
        <f t="shared" si="392"/>
        <v>overnight</v>
      </c>
      <c r="AH485" s="85" t="str">
        <f t="shared" si="392"/>
        <v>overnight</v>
      </c>
      <c r="AI485" s="85" t="str">
        <f t="shared" si="392"/>
        <v>overnight</v>
      </c>
      <c r="AJ485" s="85" t="str">
        <f t="shared" si="392"/>
        <v>overnight</v>
      </c>
      <c r="AK485" s="85" t="str">
        <f t="shared" si="392"/>
        <v>overnight</v>
      </c>
      <c r="AL485" s="85" t="str">
        <f t="shared" si="392"/>
        <v>overnight</v>
      </c>
      <c r="AM485" s="85" t="str">
        <f t="shared" si="392"/>
        <v>overnight</v>
      </c>
      <c r="AN485" s="85" t="str">
        <f t="shared" si="392"/>
        <v>overnight</v>
      </c>
      <c r="AO485" s="85" t="str">
        <f t="shared" si="392"/>
        <v>overnight</v>
      </c>
    </row>
    <row r="486" spans="1:41" x14ac:dyDescent="0.35">
      <c r="A486" s="71" t="str">
        <f>A483</f>
        <v>default</v>
      </c>
      <c r="B486" s="72" t="s">
        <v>12</v>
      </c>
      <c r="C486" s="73" t="s">
        <v>41</v>
      </c>
      <c r="D486" s="73"/>
      <c r="E486" s="73" t="s">
        <v>82</v>
      </c>
      <c r="F486" s="73" t="s">
        <v>82</v>
      </c>
      <c r="G486" s="73" t="s">
        <v>82</v>
      </c>
      <c r="H486" s="73" t="s">
        <v>82</v>
      </c>
      <c r="I486" s="73" t="s">
        <v>82</v>
      </c>
      <c r="J486" s="73" t="s">
        <v>82</v>
      </c>
      <c r="K486" s="73" t="s">
        <v>53</v>
      </c>
      <c r="L486" s="73" t="str">
        <f t="shared" ref="L486:AE486" si="393">K486</f>
        <v>overnight</v>
      </c>
      <c r="M486" s="73" t="str">
        <f t="shared" si="393"/>
        <v>overnight</v>
      </c>
      <c r="N486" s="73" t="str">
        <f t="shared" si="393"/>
        <v>overnight</v>
      </c>
      <c r="O486" s="73" t="str">
        <f t="shared" si="393"/>
        <v>overnight</v>
      </c>
      <c r="P486" s="73" t="str">
        <f t="shared" si="393"/>
        <v>overnight</v>
      </c>
      <c r="Q486" s="73" t="str">
        <f t="shared" si="393"/>
        <v>overnight</v>
      </c>
      <c r="R486" s="73" t="str">
        <f t="shared" si="393"/>
        <v>overnight</v>
      </c>
      <c r="S486" s="73" t="str">
        <f t="shared" si="393"/>
        <v>overnight</v>
      </c>
      <c r="T486" s="73" t="str">
        <f t="shared" si="393"/>
        <v>overnight</v>
      </c>
      <c r="U486" s="73" t="str">
        <f t="shared" si="393"/>
        <v>overnight</v>
      </c>
      <c r="V486" s="73" t="str">
        <f t="shared" si="393"/>
        <v>overnight</v>
      </c>
      <c r="W486" s="73" t="str">
        <f t="shared" si="393"/>
        <v>overnight</v>
      </c>
      <c r="X486" s="73" t="str">
        <f t="shared" si="393"/>
        <v>overnight</v>
      </c>
      <c r="Y486" s="73" t="str">
        <f t="shared" si="393"/>
        <v>overnight</v>
      </c>
      <c r="Z486" s="73" t="str">
        <f t="shared" si="393"/>
        <v>overnight</v>
      </c>
      <c r="AA486" s="73" t="str">
        <f t="shared" si="393"/>
        <v>overnight</v>
      </c>
      <c r="AB486" s="73" t="str">
        <f t="shared" si="393"/>
        <v>overnight</v>
      </c>
      <c r="AC486" s="73" t="str">
        <f t="shared" si="393"/>
        <v>overnight</v>
      </c>
      <c r="AD486" s="73" t="str">
        <f t="shared" si="393"/>
        <v>overnight</v>
      </c>
      <c r="AE486" s="73" t="str">
        <f t="shared" si="393"/>
        <v>overnight</v>
      </c>
      <c r="AF486" s="85" t="str">
        <f t="shared" ref="AF486:AO486" si="394">AE486</f>
        <v>overnight</v>
      </c>
      <c r="AG486" s="85" t="str">
        <f t="shared" si="394"/>
        <v>overnight</v>
      </c>
      <c r="AH486" s="85" t="str">
        <f t="shared" si="394"/>
        <v>overnight</v>
      </c>
      <c r="AI486" s="85" t="str">
        <f t="shared" si="394"/>
        <v>overnight</v>
      </c>
      <c r="AJ486" s="85" t="str">
        <f t="shared" si="394"/>
        <v>overnight</v>
      </c>
      <c r="AK486" s="85" t="str">
        <f t="shared" si="394"/>
        <v>overnight</v>
      </c>
      <c r="AL486" s="85" t="str">
        <f t="shared" si="394"/>
        <v>overnight</v>
      </c>
      <c r="AM486" s="85" t="str">
        <f t="shared" si="394"/>
        <v>overnight</v>
      </c>
      <c r="AN486" s="85" t="str">
        <f t="shared" si="394"/>
        <v>overnight</v>
      </c>
      <c r="AO486" s="85" t="str">
        <f t="shared" si="394"/>
        <v>overnight</v>
      </c>
    </row>
    <row r="487" spans="1:41" x14ac:dyDescent="0.35">
      <c r="A487" s="71" t="str">
        <f>A483</f>
        <v>default</v>
      </c>
      <c r="B487" s="68" t="s">
        <v>13</v>
      </c>
      <c r="C487" s="75" t="s">
        <v>41</v>
      </c>
      <c r="D487" s="75"/>
      <c r="E487" s="75" t="s">
        <v>82</v>
      </c>
      <c r="F487" s="75" t="s">
        <v>82</v>
      </c>
      <c r="G487" s="75" t="s">
        <v>82</v>
      </c>
      <c r="H487" s="75" t="s">
        <v>82</v>
      </c>
      <c r="I487" s="75" t="s">
        <v>82</v>
      </c>
      <c r="J487" s="75" t="s">
        <v>82</v>
      </c>
      <c r="K487" s="75" t="s">
        <v>53</v>
      </c>
      <c r="L487" s="75" t="str">
        <f t="shared" ref="L487:AE487" si="395">K487</f>
        <v>overnight</v>
      </c>
      <c r="M487" s="75" t="str">
        <f t="shared" si="395"/>
        <v>overnight</v>
      </c>
      <c r="N487" s="75" t="str">
        <f t="shared" si="395"/>
        <v>overnight</v>
      </c>
      <c r="O487" s="75" t="str">
        <f t="shared" si="395"/>
        <v>overnight</v>
      </c>
      <c r="P487" s="75" t="str">
        <f t="shared" si="395"/>
        <v>overnight</v>
      </c>
      <c r="Q487" s="75" t="str">
        <f t="shared" si="395"/>
        <v>overnight</v>
      </c>
      <c r="R487" s="75" t="str">
        <f t="shared" si="395"/>
        <v>overnight</v>
      </c>
      <c r="S487" s="75" t="str">
        <f t="shared" si="395"/>
        <v>overnight</v>
      </c>
      <c r="T487" s="75" t="str">
        <f t="shared" si="395"/>
        <v>overnight</v>
      </c>
      <c r="U487" s="75" t="str">
        <f t="shared" si="395"/>
        <v>overnight</v>
      </c>
      <c r="V487" s="75" t="str">
        <f t="shared" si="395"/>
        <v>overnight</v>
      </c>
      <c r="W487" s="75" t="str">
        <f t="shared" si="395"/>
        <v>overnight</v>
      </c>
      <c r="X487" s="75" t="str">
        <f t="shared" si="395"/>
        <v>overnight</v>
      </c>
      <c r="Y487" s="75" t="str">
        <f t="shared" si="395"/>
        <v>overnight</v>
      </c>
      <c r="Z487" s="75" t="str">
        <f t="shared" si="395"/>
        <v>overnight</v>
      </c>
      <c r="AA487" s="75" t="str">
        <f t="shared" si="395"/>
        <v>overnight</v>
      </c>
      <c r="AB487" s="75" t="str">
        <f t="shared" si="395"/>
        <v>overnight</v>
      </c>
      <c r="AC487" s="75" t="str">
        <f t="shared" si="395"/>
        <v>overnight</v>
      </c>
      <c r="AD487" s="75" t="str">
        <f t="shared" si="395"/>
        <v>overnight</v>
      </c>
      <c r="AE487" s="75" t="str">
        <f t="shared" si="395"/>
        <v>overnight</v>
      </c>
      <c r="AF487" s="85" t="str">
        <f t="shared" ref="AF487:AO487" si="396">AE487</f>
        <v>overnight</v>
      </c>
      <c r="AG487" s="85" t="str">
        <f t="shared" si="396"/>
        <v>overnight</v>
      </c>
      <c r="AH487" s="85" t="str">
        <f t="shared" si="396"/>
        <v>overnight</v>
      </c>
      <c r="AI487" s="85" t="str">
        <f t="shared" si="396"/>
        <v>overnight</v>
      </c>
      <c r="AJ487" s="85" t="str">
        <f t="shared" si="396"/>
        <v>overnight</v>
      </c>
      <c r="AK487" s="85" t="str">
        <f t="shared" si="396"/>
        <v>overnight</v>
      </c>
      <c r="AL487" s="85" t="str">
        <f t="shared" si="396"/>
        <v>overnight</v>
      </c>
      <c r="AM487" s="85" t="str">
        <f t="shared" si="396"/>
        <v>overnight</v>
      </c>
      <c r="AN487" s="85" t="str">
        <f t="shared" si="396"/>
        <v>overnight</v>
      </c>
      <c r="AO487" s="85" t="str">
        <f t="shared" si="396"/>
        <v>overnight</v>
      </c>
    </row>
    <row r="488" spans="1:41" x14ac:dyDescent="0.35">
      <c r="A488" s="71" t="str">
        <f>A484</f>
        <v>default</v>
      </c>
      <c r="B488" s="72" t="s">
        <v>14</v>
      </c>
      <c r="C488" s="73" t="s">
        <v>41</v>
      </c>
      <c r="D488" s="73"/>
      <c r="E488" s="73" t="s">
        <v>82</v>
      </c>
      <c r="F488" s="73" t="s">
        <v>82</v>
      </c>
      <c r="G488" s="73" t="s">
        <v>82</v>
      </c>
      <c r="H488" s="73" t="s">
        <v>82</v>
      </c>
      <c r="I488" s="73" t="s">
        <v>82</v>
      </c>
      <c r="J488" s="73" t="s">
        <v>82</v>
      </c>
      <c r="K488" s="73" t="s">
        <v>53</v>
      </c>
      <c r="L488" s="73" t="str">
        <f t="shared" ref="L488:AE488" si="397">K488</f>
        <v>overnight</v>
      </c>
      <c r="M488" s="73" t="str">
        <f t="shared" si="397"/>
        <v>overnight</v>
      </c>
      <c r="N488" s="73" t="str">
        <f t="shared" si="397"/>
        <v>overnight</v>
      </c>
      <c r="O488" s="73" t="str">
        <f t="shared" si="397"/>
        <v>overnight</v>
      </c>
      <c r="P488" s="73" t="str">
        <f t="shared" si="397"/>
        <v>overnight</v>
      </c>
      <c r="Q488" s="73" t="str">
        <f t="shared" si="397"/>
        <v>overnight</v>
      </c>
      <c r="R488" s="73" t="str">
        <f t="shared" si="397"/>
        <v>overnight</v>
      </c>
      <c r="S488" s="73" t="str">
        <f t="shared" si="397"/>
        <v>overnight</v>
      </c>
      <c r="T488" s="73" t="str">
        <f t="shared" si="397"/>
        <v>overnight</v>
      </c>
      <c r="U488" s="73" t="str">
        <f t="shared" si="397"/>
        <v>overnight</v>
      </c>
      <c r="V488" s="73" t="str">
        <f t="shared" si="397"/>
        <v>overnight</v>
      </c>
      <c r="W488" s="73" t="str">
        <f t="shared" si="397"/>
        <v>overnight</v>
      </c>
      <c r="X488" s="73" t="str">
        <f t="shared" si="397"/>
        <v>overnight</v>
      </c>
      <c r="Y488" s="73" t="str">
        <f t="shared" si="397"/>
        <v>overnight</v>
      </c>
      <c r="Z488" s="73" t="str">
        <f t="shared" si="397"/>
        <v>overnight</v>
      </c>
      <c r="AA488" s="73" t="str">
        <f t="shared" si="397"/>
        <v>overnight</v>
      </c>
      <c r="AB488" s="73" t="str">
        <f t="shared" si="397"/>
        <v>overnight</v>
      </c>
      <c r="AC488" s="73" t="str">
        <f t="shared" si="397"/>
        <v>overnight</v>
      </c>
      <c r="AD488" s="73" t="str">
        <f t="shared" si="397"/>
        <v>overnight</v>
      </c>
      <c r="AE488" s="73" t="str">
        <f t="shared" si="397"/>
        <v>overnight</v>
      </c>
      <c r="AF488" s="85" t="str">
        <f t="shared" ref="AF488:AO488" si="398">AE488</f>
        <v>overnight</v>
      </c>
      <c r="AG488" s="85" t="str">
        <f t="shared" si="398"/>
        <v>overnight</v>
      </c>
      <c r="AH488" s="85" t="str">
        <f t="shared" si="398"/>
        <v>overnight</v>
      </c>
      <c r="AI488" s="85" t="str">
        <f t="shared" si="398"/>
        <v>overnight</v>
      </c>
      <c r="AJ488" s="85" t="str">
        <f t="shared" si="398"/>
        <v>overnight</v>
      </c>
      <c r="AK488" s="85" t="str">
        <f t="shared" si="398"/>
        <v>overnight</v>
      </c>
      <c r="AL488" s="85" t="str">
        <f t="shared" si="398"/>
        <v>overnight</v>
      </c>
      <c r="AM488" s="85" t="str">
        <f t="shared" si="398"/>
        <v>overnight</v>
      </c>
      <c r="AN488" s="85" t="str">
        <f t="shared" si="398"/>
        <v>overnight</v>
      </c>
      <c r="AO488" s="85" t="str">
        <f t="shared" si="398"/>
        <v>overnight</v>
      </c>
    </row>
    <row r="489" spans="1:41" x14ac:dyDescent="0.35">
      <c r="A489" s="71" t="s">
        <v>53</v>
      </c>
      <c r="B489" s="68" t="s">
        <v>30</v>
      </c>
      <c r="C489" s="75" t="s">
        <v>41</v>
      </c>
      <c r="D489" s="75"/>
      <c r="E489" s="75" t="s">
        <v>53</v>
      </c>
      <c r="F489" s="75" t="s">
        <v>53</v>
      </c>
      <c r="G489" s="75" t="s">
        <v>53</v>
      </c>
      <c r="H489" s="75" t="s">
        <v>53</v>
      </c>
      <c r="I489" s="75" t="s">
        <v>53</v>
      </c>
      <c r="J489" s="75" t="s">
        <v>53</v>
      </c>
      <c r="K489" s="75" t="s">
        <v>53</v>
      </c>
      <c r="L489" s="75" t="s">
        <v>53</v>
      </c>
      <c r="M489" s="75" t="s">
        <v>53</v>
      </c>
      <c r="N489" s="75" t="s">
        <v>53</v>
      </c>
      <c r="O489" s="75" t="s">
        <v>53</v>
      </c>
      <c r="P489" s="75" t="s">
        <v>53</v>
      </c>
      <c r="Q489" s="75" t="s">
        <v>53</v>
      </c>
      <c r="R489" s="75" t="s">
        <v>53</v>
      </c>
      <c r="S489" s="75" t="s">
        <v>53</v>
      </c>
      <c r="T489" s="75" t="s">
        <v>53</v>
      </c>
      <c r="U489" s="75" t="s">
        <v>53</v>
      </c>
      <c r="V489" s="75" t="s">
        <v>53</v>
      </c>
      <c r="W489" s="75" t="s">
        <v>53</v>
      </c>
      <c r="X489" s="75" t="s">
        <v>53</v>
      </c>
      <c r="Y489" s="75" t="s">
        <v>53</v>
      </c>
      <c r="Z489" s="75" t="s">
        <v>53</v>
      </c>
      <c r="AA489" s="75" t="s">
        <v>53</v>
      </c>
      <c r="AB489" s="75" t="s">
        <v>53</v>
      </c>
      <c r="AC489" s="75" t="s">
        <v>53</v>
      </c>
      <c r="AD489" s="75" t="s">
        <v>53</v>
      </c>
      <c r="AE489" s="75" t="s">
        <v>53</v>
      </c>
      <c r="AF489" s="85" t="str">
        <f t="shared" ref="AF489:AO489" si="399">AE489</f>
        <v>overnight</v>
      </c>
      <c r="AG489" s="85" t="str">
        <f t="shared" si="399"/>
        <v>overnight</v>
      </c>
      <c r="AH489" s="85" t="str">
        <f t="shared" si="399"/>
        <v>overnight</v>
      </c>
      <c r="AI489" s="85" t="str">
        <f t="shared" si="399"/>
        <v>overnight</v>
      </c>
      <c r="AJ489" s="85" t="str">
        <f t="shared" si="399"/>
        <v>overnight</v>
      </c>
      <c r="AK489" s="85" t="str">
        <f t="shared" si="399"/>
        <v>overnight</v>
      </c>
      <c r="AL489" s="85" t="str">
        <f t="shared" si="399"/>
        <v>overnight</v>
      </c>
      <c r="AM489" s="85" t="str">
        <f t="shared" si="399"/>
        <v>overnight</v>
      </c>
      <c r="AN489" s="85" t="str">
        <f t="shared" si="399"/>
        <v>overnight</v>
      </c>
      <c r="AO489" s="85" t="str">
        <f t="shared" si="399"/>
        <v>overnight</v>
      </c>
    </row>
    <row r="490" spans="1:41" x14ac:dyDescent="0.35">
      <c r="A490" s="71" t="s">
        <v>53</v>
      </c>
      <c r="B490" s="72" t="s">
        <v>31</v>
      </c>
      <c r="C490" s="73" t="s">
        <v>41</v>
      </c>
      <c r="D490" s="73"/>
      <c r="E490" s="73" t="s">
        <v>53</v>
      </c>
      <c r="F490" s="73" t="s">
        <v>53</v>
      </c>
      <c r="G490" s="73" t="s">
        <v>53</v>
      </c>
      <c r="H490" s="73" t="s">
        <v>53</v>
      </c>
      <c r="I490" s="73" t="s">
        <v>53</v>
      </c>
      <c r="J490" s="73" t="s">
        <v>53</v>
      </c>
      <c r="K490" s="73" t="s">
        <v>53</v>
      </c>
      <c r="L490" s="73" t="s">
        <v>53</v>
      </c>
      <c r="M490" s="73" t="s">
        <v>53</v>
      </c>
      <c r="N490" s="73" t="s">
        <v>53</v>
      </c>
      <c r="O490" s="73" t="s">
        <v>53</v>
      </c>
      <c r="P490" s="73" t="s">
        <v>53</v>
      </c>
      <c r="Q490" s="73" t="s">
        <v>53</v>
      </c>
      <c r="R490" s="73" t="s">
        <v>53</v>
      </c>
      <c r="S490" s="73" t="s">
        <v>53</v>
      </c>
      <c r="T490" s="73" t="s">
        <v>53</v>
      </c>
      <c r="U490" s="73" t="s">
        <v>53</v>
      </c>
      <c r="V490" s="73" t="s">
        <v>53</v>
      </c>
      <c r="W490" s="73" t="s">
        <v>53</v>
      </c>
      <c r="X490" s="73" t="s">
        <v>53</v>
      </c>
      <c r="Y490" s="73" t="s">
        <v>53</v>
      </c>
      <c r="Z490" s="73" t="s">
        <v>53</v>
      </c>
      <c r="AA490" s="73" t="s">
        <v>53</v>
      </c>
      <c r="AB490" s="73" t="s">
        <v>53</v>
      </c>
      <c r="AC490" s="73" t="s">
        <v>53</v>
      </c>
      <c r="AD490" s="73" t="s">
        <v>53</v>
      </c>
      <c r="AE490" s="73" t="s">
        <v>53</v>
      </c>
      <c r="AF490" s="85" t="str">
        <f t="shared" ref="AF490:AO490" si="400">AE490</f>
        <v>overnight</v>
      </c>
      <c r="AG490" s="85" t="str">
        <f t="shared" si="400"/>
        <v>overnight</v>
      </c>
      <c r="AH490" s="85" t="str">
        <f t="shared" si="400"/>
        <v>overnight</v>
      </c>
      <c r="AI490" s="85" t="str">
        <f t="shared" si="400"/>
        <v>overnight</v>
      </c>
      <c r="AJ490" s="85" t="str">
        <f t="shared" si="400"/>
        <v>overnight</v>
      </c>
      <c r="AK490" s="85" t="str">
        <f t="shared" si="400"/>
        <v>overnight</v>
      </c>
      <c r="AL490" s="85" t="str">
        <f t="shared" si="400"/>
        <v>overnight</v>
      </c>
      <c r="AM490" s="85" t="str">
        <f t="shared" si="400"/>
        <v>overnight</v>
      </c>
      <c r="AN490" s="85" t="str">
        <f t="shared" si="400"/>
        <v>overnight</v>
      </c>
      <c r="AO490" s="85" t="str">
        <f t="shared" si="400"/>
        <v>overnight</v>
      </c>
    </row>
    <row r="491" spans="1:41" x14ac:dyDescent="0.35">
      <c r="A491" s="71" t="str">
        <f>A489</f>
        <v>overnight</v>
      </c>
      <c r="B491" s="68" t="s">
        <v>32</v>
      </c>
      <c r="C491" s="75" t="s">
        <v>41</v>
      </c>
      <c r="D491" s="75"/>
      <c r="E491" s="75" t="s">
        <v>53</v>
      </c>
      <c r="F491" s="75" t="s">
        <v>53</v>
      </c>
      <c r="G491" s="75" t="s">
        <v>53</v>
      </c>
      <c r="H491" s="75" t="s">
        <v>53</v>
      </c>
      <c r="I491" s="75" t="s">
        <v>53</v>
      </c>
      <c r="J491" s="75" t="s">
        <v>53</v>
      </c>
      <c r="K491" s="75" t="s">
        <v>53</v>
      </c>
      <c r="L491" s="75" t="s">
        <v>53</v>
      </c>
      <c r="M491" s="75" t="s">
        <v>53</v>
      </c>
      <c r="N491" s="75" t="s">
        <v>53</v>
      </c>
      <c r="O491" s="75" t="s">
        <v>53</v>
      </c>
      <c r="P491" s="75" t="s">
        <v>53</v>
      </c>
      <c r="Q491" s="75" t="s">
        <v>53</v>
      </c>
      <c r="R491" s="75" t="s">
        <v>53</v>
      </c>
      <c r="S491" s="75" t="s">
        <v>53</v>
      </c>
      <c r="T491" s="75" t="s">
        <v>53</v>
      </c>
      <c r="U491" s="75" t="s">
        <v>53</v>
      </c>
      <c r="V491" s="75" t="s">
        <v>53</v>
      </c>
      <c r="W491" s="75" t="s">
        <v>53</v>
      </c>
      <c r="X491" s="75" t="s">
        <v>53</v>
      </c>
      <c r="Y491" s="75" t="s">
        <v>53</v>
      </c>
      <c r="Z491" s="75" t="s">
        <v>53</v>
      </c>
      <c r="AA491" s="75" t="s">
        <v>53</v>
      </c>
      <c r="AB491" s="75" t="s">
        <v>53</v>
      </c>
      <c r="AC491" s="75" t="s">
        <v>53</v>
      </c>
      <c r="AD491" s="75" t="s">
        <v>53</v>
      </c>
      <c r="AE491" s="75" t="s">
        <v>53</v>
      </c>
      <c r="AF491" s="85" t="str">
        <f t="shared" ref="AF491:AO491" si="401">AE491</f>
        <v>overnight</v>
      </c>
      <c r="AG491" s="85" t="str">
        <f t="shared" si="401"/>
        <v>overnight</v>
      </c>
      <c r="AH491" s="85" t="str">
        <f t="shared" si="401"/>
        <v>overnight</v>
      </c>
      <c r="AI491" s="85" t="str">
        <f t="shared" si="401"/>
        <v>overnight</v>
      </c>
      <c r="AJ491" s="85" t="str">
        <f t="shared" si="401"/>
        <v>overnight</v>
      </c>
      <c r="AK491" s="85" t="str">
        <f t="shared" si="401"/>
        <v>overnight</v>
      </c>
      <c r="AL491" s="85" t="str">
        <f t="shared" si="401"/>
        <v>overnight</v>
      </c>
      <c r="AM491" s="85" t="str">
        <f t="shared" si="401"/>
        <v>overnight</v>
      </c>
      <c r="AN491" s="85" t="str">
        <f t="shared" si="401"/>
        <v>overnight</v>
      </c>
      <c r="AO491" s="85" t="str">
        <f t="shared" si="401"/>
        <v>overnight</v>
      </c>
    </row>
    <row r="492" spans="1:41" x14ac:dyDescent="0.35">
      <c r="A492" s="71" t="str">
        <f t="shared" ref="A492:A507" si="402">A491</f>
        <v>overnight</v>
      </c>
      <c r="B492" s="72" t="s">
        <v>33</v>
      </c>
      <c r="C492" s="73" t="s">
        <v>41</v>
      </c>
      <c r="D492" s="73"/>
      <c r="E492" s="73" t="s">
        <v>53</v>
      </c>
      <c r="F492" s="73" t="s">
        <v>53</v>
      </c>
      <c r="G492" s="73" t="s">
        <v>53</v>
      </c>
      <c r="H492" s="73" t="s">
        <v>53</v>
      </c>
      <c r="I492" s="73" t="s">
        <v>53</v>
      </c>
      <c r="J492" s="73" t="s">
        <v>53</v>
      </c>
      <c r="K492" s="73" t="s">
        <v>53</v>
      </c>
      <c r="L492" s="73" t="s">
        <v>53</v>
      </c>
      <c r="M492" s="73" t="s">
        <v>53</v>
      </c>
      <c r="N492" s="73" t="s">
        <v>53</v>
      </c>
      <c r="O492" s="73" t="s">
        <v>53</v>
      </c>
      <c r="P492" s="73" t="s">
        <v>53</v>
      </c>
      <c r="Q492" s="73" t="s">
        <v>53</v>
      </c>
      <c r="R492" s="73" t="s">
        <v>53</v>
      </c>
      <c r="S492" s="73" t="s">
        <v>53</v>
      </c>
      <c r="T492" s="73" t="s">
        <v>53</v>
      </c>
      <c r="U492" s="73" t="s">
        <v>53</v>
      </c>
      <c r="V492" s="73" t="s">
        <v>53</v>
      </c>
      <c r="W492" s="73" t="s">
        <v>53</v>
      </c>
      <c r="X492" s="73" t="s">
        <v>53</v>
      </c>
      <c r="Y492" s="73" t="s">
        <v>53</v>
      </c>
      <c r="Z492" s="73" t="s">
        <v>53</v>
      </c>
      <c r="AA492" s="73" t="s">
        <v>53</v>
      </c>
      <c r="AB492" s="73" t="s">
        <v>53</v>
      </c>
      <c r="AC492" s="73" t="s">
        <v>53</v>
      </c>
      <c r="AD492" s="73" t="s">
        <v>53</v>
      </c>
      <c r="AE492" s="73" t="s">
        <v>53</v>
      </c>
      <c r="AF492" s="85" t="str">
        <f t="shared" ref="AF492:AO492" si="403">AE492</f>
        <v>overnight</v>
      </c>
      <c r="AG492" s="85" t="str">
        <f t="shared" si="403"/>
        <v>overnight</v>
      </c>
      <c r="AH492" s="85" t="str">
        <f t="shared" si="403"/>
        <v>overnight</v>
      </c>
      <c r="AI492" s="85" t="str">
        <f t="shared" si="403"/>
        <v>overnight</v>
      </c>
      <c r="AJ492" s="85" t="str">
        <f t="shared" si="403"/>
        <v>overnight</v>
      </c>
      <c r="AK492" s="85" t="str">
        <f t="shared" si="403"/>
        <v>overnight</v>
      </c>
      <c r="AL492" s="85" t="str">
        <f t="shared" si="403"/>
        <v>overnight</v>
      </c>
      <c r="AM492" s="85" t="str">
        <f t="shared" si="403"/>
        <v>overnight</v>
      </c>
      <c r="AN492" s="85" t="str">
        <f t="shared" si="403"/>
        <v>overnight</v>
      </c>
      <c r="AO492" s="85" t="str">
        <f t="shared" si="403"/>
        <v>overnight</v>
      </c>
    </row>
    <row r="493" spans="1:41" x14ac:dyDescent="0.35">
      <c r="A493" s="71" t="str">
        <f t="shared" si="402"/>
        <v>overnight</v>
      </c>
      <c r="B493" s="68" t="s">
        <v>54</v>
      </c>
      <c r="C493" s="75" t="s">
        <v>41</v>
      </c>
      <c r="D493" s="75"/>
      <c r="E493" s="75" t="s">
        <v>53</v>
      </c>
      <c r="F493" s="75" t="s">
        <v>53</v>
      </c>
      <c r="G493" s="75" t="s">
        <v>53</v>
      </c>
      <c r="H493" s="75" t="s">
        <v>53</v>
      </c>
      <c r="I493" s="75" t="s">
        <v>53</v>
      </c>
      <c r="J493" s="75" t="s">
        <v>53</v>
      </c>
      <c r="K493" s="75" t="s">
        <v>53</v>
      </c>
      <c r="L493" s="75" t="s">
        <v>53</v>
      </c>
      <c r="M493" s="75" t="s">
        <v>53</v>
      </c>
      <c r="N493" s="75" t="s">
        <v>53</v>
      </c>
      <c r="O493" s="75" t="s">
        <v>53</v>
      </c>
      <c r="P493" s="75" t="s">
        <v>53</v>
      </c>
      <c r="Q493" s="75" t="s">
        <v>53</v>
      </c>
      <c r="R493" s="75" t="s">
        <v>53</v>
      </c>
      <c r="S493" s="75" t="s">
        <v>53</v>
      </c>
      <c r="T493" s="75" t="s">
        <v>53</v>
      </c>
      <c r="U493" s="75" t="s">
        <v>53</v>
      </c>
      <c r="V493" s="75" t="s">
        <v>53</v>
      </c>
      <c r="W493" s="75" t="s">
        <v>53</v>
      </c>
      <c r="X493" s="75" t="s">
        <v>53</v>
      </c>
      <c r="Y493" s="75" t="s">
        <v>53</v>
      </c>
      <c r="Z493" s="75" t="s">
        <v>53</v>
      </c>
      <c r="AA493" s="75" t="s">
        <v>53</v>
      </c>
      <c r="AB493" s="75" t="s">
        <v>53</v>
      </c>
      <c r="AC493" s="75" t="s">
        <v>53</v>
      </c>
      <c r="AD493" s="75" t="s">
        <v>53</v>
      </c>
      <c r="AE493" s="75" t="s">
        <v>53</v>
      </c>
      <c r="AF493" s="85" t="str">
        <f t="shared" ref="AF493:AO493" si="404">AE493</f>
        <v>overnight</v>
      </c>
      <c r="AG493" s="85" t="str">
        <f t="shared" si="404"/>
        <v>overnight</v>
      </c>
      <c r="AH493" s="85" t="str">
        <f t="shared" si="404"/>
        <v>overnight</v>
      </c>
      <c r="AI493" s="85" t="str">
        <f t="shared" si="404"/>
        <v>overnight</v>
      </c>
      <c r="AJ493" s="85" t="str">
        <f t="shared" si="404"/>
        <v>overnight</v>
      </c>
      <c r="AK493" s="85" t="str">
        <f t="shared" si="404"/>
        <v>overnight</v>
      </c>
      <c r="AL493" s="85" t="str">
        <f t="shared" si="404"/>
        <v>overnight</v>
      </c>
      <c r="AM493" s="85" t="str">
        <f t="shared" si="404"/>
        <v>overnight</v>
      </c>
      <c r="AN493" s="85" t="str">
        <f t="shared" si="404"/>
        <v>overnight</v>
      </c>
      <c r="AO493" s="85" t="str">
        <f t="shared" si="404"/>
        <v>overnight</v>
      </c>
    </row>
    <row r="494" spans="1:41" x14ac:dyDescent="0.35">
      <c r="A494" s="71" t="str">
        <f t="shared" si="402"/>
        <v>overnight</v>
      </c>
      <c r="B494" s="72" t="s">
        <v>55</v>
      </c>
      <c r="C494" s="73" t="s">
        <v>41</v>
      </c>
      <c r="D494" s="73"/>
      <c r="E494" s="73" t="s">
        <v>53</v>
      </c>
      <c r="F494" s="73" t="s">
        <v>53</v>
      </c>
      <c r="G494" s="73" t="s">
        <v>53</v>
      </c>
      <c r="H494" s="73" t="s">
        <v>53</v>
      </c>
      <c r="I494" s="73" t="s">
        <v>53</v>
      </c>
      <c r="J494" s="73" t="s">
        <v>53</v>
      </c>
      <c r="K494" s="73" t="s">
        <v>53</v>
      </c>
      <c r="L494" s="73" t="s">
        <v>53</v>
      </c>
      <c r="M494" s="73" t="s">
        <v>53</v>
      </c>
      <c r="N494" s="73" t="s">
        <v>53</v>
      </c>
      <c r="O494" s="73" t="s">
        <v>53</v>
      </c>
      <c r="P494" s="73" t="s">
        <v>53</v>
      </c>
      <c r="Q494" s="73" t="s">
        <v>53</v>
      </c>
      <c r="R494" s="73" t="s">
        <v>53</v>
      </c>
      <c r="S494" s="73" t="s">
        <v>53</v>
      </c>
      <c r="T494" s="73" t="s">
        <v>53</v>
      </c>
      <c r="U494" s="73" t="s">
        <v>53</v>
      </c>
      <c r="V494" s="73" t="s">
        <v>53</v>
      </c>
      <c r="W494" s="73" t="s">
        <v>53</v>
      </c>
      <c r="X494" s="73" t="s">
        <v>53</v>
      </c>
      <c r="Y494" s="73" t="s">
        <v>53</v>
      </c>
      <c r="Z494" s="73" t="s">
        <v>53</v>
      </c>
      <c r="AA494" s="73" t="s">
        <v>53</v>
      </c>
      <c r="AB494" s="73" t="s">
        <v>53</v>
      </c>
      <c r="AC494" s="73" t="s">
        <v>53</v>
      </c>
      <c r="AD494" s="73" t="s">
        <v>53</v>
      </c>
      <c r="AE494" s="73" t="s">
        <v>53</v>
      </c>
      <c r="AF494" s="85" t="str">
        <f t="shared" ref="AF494:AO494" si="405">AE494</f>
        <v>overnight</v>
      </c>
      <c r="AG494" s="85" t="str">
        <f t="shared" si="405"/>
        <v>overnight</v>
      </c>
      <c r="AH494" s="85" t="str">
        <f t="shared" si="405"/>
        <v>overnight</v>
      </c>
      <c r="AI494" s="85" t="str">
        <f t="shared" si="405"/>
        <v>overnight</v>
      </c>
      <c r="AJ494" s="85" t="str">
        <f t="shared" si="405"/>
        <v>overnight</v>
      </c>
      <c r="AK494" s="85" t="str">
        <f t="shared" si="405"/>
        <v>overnight</v>
      </c>
      <c r="AL494" s="85" t="str">
        <f t="shared" si="405"/>
        <v>overnight</v>
      </c>
      <c r="AM494" s="85" t="str">
        <f t="shared" si="405"/>
        <v>overnight</v>
      </c>
      <c r="AN494" s="85" t="str">
        <f t="shared" si="405"/>
        <v>overnight</v>
      </c>
      <c r="AO494" s="85" t="str">
        <f t="shared" si="405"/>
        <v>overnight</v>
      </c>
    </row>
    <row r="495" spans="1:41" x14ac:dyDescent="0.35">
      <c r="A495" s="71" t="str">
        <f t="shared" si="402"/>
        <v>overnight</v>
      </c>
      <c r="B495" s="68" t="s">
        <v>56</v>
      </c>
      <c r="C495" s="75" t="s">
        <v>41</v>
      </c>
      <c r="D495" s="75"/>
      <c r="E495" s="75" t="s">
        <v>53</v>
      </c>
      <c r="F495" s="75" t="s">
        <v>53</v>
      </c>
      <c r="G495" s="75" t="s">
        <v>53</v>
      </c>
      <c r="H495" s="75" t="s">
        <v>53</v>
      </c>
      <c r="I495" s="75" t="s">
        <v>53</v>
      </c>
      <c r="J495" s="75" t="s">
        <v>53</v>
      </c>
      <c r="K495" s="75" t="s">
        <v>53</v>
      </c>
      <c r="L495" s="75" t="s">
        <v>53</v>
      </c>
      <c r="M495" s="75" t="s">
        <v>53</v>
      </c>
      <c r="N495" s="75" t="s">
        <v>53</v>
      </c>
      <c r="O495" s="75" t="s">
        <v>53</v>
      </c>
      <c r="P495" s="75" t="s">
        <v>53</v>
      </c>
      <c r="Q495" s="75" t="s">
        <v>53</v>
      </c>
      <c r="R495" s="75" t="s">
        <v>53</v>
      </c>
      <c r="S495" s="75" t="s">
        <v>53</v>
      </c>
      <c r="T495" s="75" t="s">
        <v>53</v>
      </c>
      <c r="U495" s="75" t="s">
        <v>53</v>
      </c>
      <c r="V495" s="75" t="s">
        <v>53</v>
      </c>
      <c r="W495" s="75" t="s">
        <v>53</v>
      </c>
      <c r="X495" s="75" t="s">
        <v>53</v>
      </c>
      <c r="Y495" s="75" t="s">
        <v>53</v>
      </c>
      <c r="Z495" s="75" t="s">
        <v>53</v>
      </c>
      <c r="AA495" s="75" t="s">
        <v>53</v>
      </c>
      <c r="AB495" s="75" t="s">
        <v>53</v>
      </c>
      <c r="AC495" s="75" t="s">
        <v>53</v>
      </c>
      <c r="AD495" s="75" t="s">
        <v>53</v>
      </c>
      <c r="AE495" s="75" t="s">
        <v>53</v>
      </c>
      <c r="AF495" s="85" t="str">
        <f t="shared" ref="AF495:AO495" si="406">AE495</f>
        <v>overnight</v>
      </c>
      <c r="AG495" s="85" t="str">
        <f t="shared" si="406"/>
        <v>overnight</v>
      </c>
      <c r="AH495" s="85" t="str">
        <f t="shared" si="406"/>
        <v>overnight</v>
      </c>
      <c r="AI495" s="85" t="str">
        <f t="shared" si="406"/>
        <v>overnight</v>
      </c>
      <c r="AJ495" s="85" t="str">
        <f t="shared" si="406"/>
        <v>overnight</v>
      </c>
      <c r="AK495" s="85" t="str">
        <f t="shared" si="406"/>
        <v>overnight</v>
      </c>
      <c r="AL495" s="85" t="str">
        <f t="shared" si="406"/>
        <v>overnight</v>
      </c>
      <c r="AM495" s="85" t="str">
        <f t="shared" si="406"/>
        <v>overnight</v>
      </c>
      <c r="AN495" s="85" t="str">
        <f t="shared" si="406"/>
        <v>overnight</v>
      </c>
      <c r="AO495" s="85" t="str">
        <f t="shared" si="406"/>
        <v>overnight</v>
      </c>
    </row>
    <row r="496" spans="1:41" x14ac:dyDescent="0.35">
      <c r="A496" s="71" t="str">
        <f t="shared" si="402"/>
        <v>overnight</v>
      </c>
      <c r="B496" s="72" t="s">
        <v>57</v>
      </c>
      <c r="C496" s="73" t="s">
        <v>41</v>
      </c>
      <c r="D496" s="73"/>
      <c r="E496" s="73" t="s">
        <v>53</v>
      </c>
      <c r="F496" s="73" t="s">
        <v>53</v>
      </c>
      <c r="G496" s="73" t="s">
        <v>53</v>
      </c>
      <c r="H496" s="73" t="s">
        <v>53</v>
      </c>
      <c r="I496" s="73" t="s">
        <v>53</v>
      </c>
      <c r="J496" s="73" t="s">
        <v>53</v>
      </c>
      <c r="K496" s="73" t="s">
        <v>53</v>
      </c>
      <c r="L496" s="73" t="s">
        <v>53</v>
      </c>
      <c r="M496" s="73" t="s">
        <v>53</v>
      </c>
      <c r="N496" s="73" t="s">
        <v>53</v>
      </c>
      <c r="O496" s="73" t="s">
        <v>53</v>
      </c>
      <c r="P496" s="73" t="s">
        <v>53</v>
      </c>
      <c r="Q496" s="73" t="s">
        <v>53</v>
      </c>
      <c r="R496" s="73" t="s">
        <v>53</v>
      </c>
      <c r="S496" s="73" t="s">
        <v>53</v>
      </c>
      <c r="T496" s="73" t="s">
        <v>53</v>
      </c>
      <c r="U496" s="73" t="s">
        <v>53</v>
      </c>
      <c r="V496" s="73" t="s">
        <v>53</v>
      </c>
      <c r="W496" s="73" t="s">
        <v>53</v>
      </c>
      <c r="X496" s="73" t="s">
        <v>53</v>
      </c>
      <c r="Y496" s="73" t="s">
        <v>53</v>
      </c>
      <c r="Z496" s="73" t="s">
        <v>53</v>
      </c>
      <c r="AA496" s="73" t="s">
        <v>53</v>
      </c>
      <c r="AB496" s="73" t="s">
        <v>53</v>
      </c>
      <c r="AC496" s="73" t="s">
        <v>53</v>
      </c>
      <c r="AD496" s="73" t="s">
        <v>53</v>
      </c>
      <c r="AE496" s="73" t="s">
        <v>53</v>
      </c>
      <c r="AF496" s="85" t="str">
        <f t="shared" ref="AF496:AO496" si="407">AE496</f>
        <v>overnight</v>
      </c>
      <c r="AG496" s="85" t="str">
        <f t="shared" si="407"/>
        <v>overnight</v>
      </c>
      <c r="AH496" s="85" t="str">
        <f t="shared" si="407"/>
        <v>overnight</v>
      </c>
      <c r="AI496" s="85" t="str">
        <f t="shared" si="407"/>
        <v>overnight</v>
      </c>
      <c r="AJ496" s="85" t="str">
        <f t="shared" si="407"/>
        <v>overnight</v>
      </c>
      <c r="AK496" s="85" t="str">
        <f t="shared" si="407"/>
        <v>overnight</v>
      </c>
      <c r="AL496" s="85" t="str">
        <f t="shared" si="407"/>
        <v>overnight</v>
      </c>
      <c r="AM496" s="85" t="str">
        <f t="shared" si="407"/>
        <v>overnight</v>
      </c>
      <c r="AN496" s="85" t="str">
        <f t="shared" si="407"/>
        <v>overnight</v>
      </c>
      <c r="AO496" s="85" t="str">
        <f t="shared" si="407"/>
        <v>overnight</v>
      </c>
    </row>
    <row r="497" spans="1:41" x14ac:dyDescent="0.35">
      <c r="A497" s="71" t="str">
        <f t="shared" si="402"/>
        <v>overnight</v>
      </c>
      <c r="B497" s="68" t="s">
        <v>25</v>
      </c>
      <c r="C497" s="75" t="s">
        <v>41</v>
      </c>
      <c r="D497" s="75"/>
      <c r="E497" s="75" t="s">
        <v>53</v>
      </c>
      <c r="F497" s="75" t="s">
        <v>53</v>
      </c>
      <c r="G497" s="75" t="s">
        <v>53</v>
      </c>
      <c r="H497" s="75" t="s">
        <v>53</v>
      </c>
      <c r="I497" s="75" t="s">
        <v>53</v>
      </c>
      <c r="J497" s="75" t="s">
        <v>53</v>
      </c>
      <c r="K497" s="75" t="s">
        <v>53</v>
      </c>
      <c r="L497" s="75" t="s">
        <v>53</v>
      </c>
      <c r="M497" s="75" t="s">
        <v>53</v>
      </c>
      <c r="N497" s="75" t="s">
        <v>53</v>
      </c>
      <c r="O497" s="75" t="s">
        <v>53</v>
      </c>
      <c r="P497" s="75" t="s">
        <v>53</v>
      </c>
      <c r="Q497" s="75" t="s">
        <v>53</v>
      </c>
      <c r="R497" s="75" t="s">
        <v>53</v>
      </c>
      <c r="S497" s="75" t="s">
        <v>53</v>
      </c>
      <c r="T497" s="75" t="s">
        <v>53</v>
      </c>
      <c r="U497" s="75" t="s">
        <v>53</v>
      </c>
      <c r="V497" s="75" t="s">
        <v>53</v>
      </c>
      <c r="W497" s="75" t="s">
        <v>53</v>
      </c>
      <c r="X497" s="75" t="s">
        <v>53</v>
      </c>
      <c r="Y497" s="75" t="s">
        <v>53</v>
      </c>
      <c r="Z497" s="75" t="s">
        <v>53</v>
      </c>
      <c r="AA497" s="75" t="s">
        <v>53</v>
      </c>
      <c r="AB497" s="75" t="s">
        <v>53</v>
      </c>
      <c r="AC497" s="75" t="s">
        <v>53</v>
      </c>
      <c r="AD497" s="75" t="s">
        <v>53</v>
      </c>
      <c r="AE497" s="75" t="s">
        <v>53</v>
      </c>
      <c r="AF497" s="85" t="str">
        <f t="shared" ref="AF497:AO497" si="408">AE497</f>
        <v>overnight</v>
      </c>
      <c r="AG497" s="85" t="str">
        <f t="shared" si="408"/>
        <v>overnight</v>
      </c>
      <c r="AH497" s="85" t="str">
        <f t="shared" si="408"/>
        <v>overnight</v>
      </c>
      <c r="AI497" s="85" t="str">
        <f t="shared" si="408"/>
        <v>overnight</v>
      </c>
      <c r="AJ497" s="85" t="str">
        <f t="shared" si="408"/>
        <v>overnight</v>
      </c>
      <c r="AK497" s="85" t="str">
        <f t="shared" si="408"/>
        <v>overnight</v>
      </c>
      <c r="AL497" s="85" t="str">
        <f t="shared" si="408"/>
        <v>overnight</v>
      </c>
      <c r="AM497" s="85" t="str">
        <f t="shared" si="408"/>
        <v>overnight</v>
      </c>
      <c r="AN497" s="85" t="str">
        <f t="shared" si="408"/>
        <v>overnight</v>
      </c>
      <c r="AO497" s="85" t="str">
        <f t="shared" si="408"/>
        <v>overnight</v>
      </c>
    </row>
    <row r="498" spans="1:41" x14ac:dyDescent="0.35">
      <c r="A498" s="71" t="str">
        <f t="shared" si="402"/>
        <v>overnight</v>
      </c>
      <c r="B498" s="72" t="s">
        <v>26</v>
      </c>
      <c r="C498" s="73" t="s">
        <v>41</v>
      </c>
      <c r="D498" s="73"/>
      <c r="E498" s="73" t="s">
        <v>53</v>
      </c>
      <c r="F498" s="73" t="s">
        <v>53</v>
      </c>
      <c r="G498" s="73" t="s">
        <v>53</v>
      </c>
      <c r="H498" s="73" t="s">
        <v>53</v>
      </c>
      <c r="I498" s="73" t="s">
        <v>53</v>
      </c>
      <c r="J498" s="73" t="s">
        <v>53</v>
      </c>
      <c r="K498" s="73" t="s">
        <v>53</v>
      </c>
      <c r="L498" s="73" t="s">
        <v>53</v>
      </c>
      <c r="M498" s="73" t="s">
        <v>53</v>
      </c>
      <c r="N498" s="73" t="s">
        <v>53</v>
      </c>
      <c r="O498" s="73" t="s">
        <v>53</v>
      </c>
      <c r="P498" s="73" t="s">
        <v>53</v>
      </c>
      <c r="Q498" s="73" t="s">
        <v>53</v>
      </c>
      <c r="R498" s="73" t="s">
        <v>53</v>
      </c>
      <c r="S498" s="73" t="s">
        <v>53</v>
      </c>
      <c r="T498" s="73" t="s">
        <v>53</v>
      </c>
      <c r="U498" s="73" t="s">
        <v>53</v>
      </c>
      <c r="V498" s="73" t="s">
        <v>53</v>
      </c>
      <c r="W498" s="73" t="s">
        <v>53</v>
      </c>
      <c r="X498" s="73" t="s">
        <v>53</v>
      </c>
      <c r="Y498" s="73" t="s">
        <v>53</v>
      </c>
      <c r="Z498" s="73" t="s">
        <v>53</v>
      </c>
      <c r="AA498" s="73" t="s">
        <v>53</v>
      </c>
      <c r="AB498" s="73" t="s">
        <v>53</v>
      </c>
      <c r="AC498" s="73" t="s">
        <v>53</v>
      </c>
      <c r="AD498" s="73" t="s">
        <v>53</v>
      </c>
      <c r="AE498" s="73" t="s">
        <v>53</v>
      </c>
      <c r="AF498" s="85" t="str">
        <f t="shared" ref="AF498:AO498" si="409">AE498</f>
        <v>overnight</v>
      </c>
      <c r="AG498" s="85" t="str">
        <f t="shared" si="409"/>
        <v>overnight</v>
      </c>
      <c r="AH498" s="85" t="str">
        <f t="shared" si="409"/>
        <v>overnight</v>
      </c>
      <c r="AI498" s="85" t="str">
        <f t="shared" si="409"/>
        <v>overnight</v>
      </c>
      <c r="AJ498" s="85" t="str">
        <f t="shared" si="409"/>
        <v>overnight</v>
      </c>
      <c r="AK498" s="85" t="str">
        <f t="shared" si="409"/>
        <v>overnight</v>
      </c>
      <c r="AL498" s="85" t="str">
        <f t="shared" si="409"/>
        <v>overnight</v>
      </c>
      <c r="AM498" s="85" t="str">
        <f t="shared" si="409"/>
        <v>overnight</v>
      </c>
      <c r="AN498" s="85" t="str">
        <f t="shared" si="409"/>
        <v>overnight</v>
      </c>
      <c r="AO498" s="85" t="str">
        <f t="shared" si="409"/>
        <v>overnight</v>
      </c>
    </row>
    <row r="499" spans="1:41" x14ac:dyDescent="0.35">
      <c r="A499" s="71" t="str">
        <f t="shared" si="402"/>
        <v>overnight</v>
      </c>
      <c r="B499" s="68" t="s">
        <v>23</v>
      </c>
      <c r="C499" s="75" t="s">
        <v>41</v>
      </c>
      <c r="D499" s="75"/>
      <c r="E499" s="75" t="s">
        <v>53</v>
      </c>
      <c r="F499" s="75" t="s">
        <v>53</v>
      </c>
      <c r="G499" s="75" t="s">
        <v>53</v>
      </c>
      <c r="H499" s="75" t="s">
        <v>53</v>
      </c>
      <c r="I499" s="75" t="s">
        <v>53</v>
      </c>
      <c r="J499" s="75" t="s">
        <v>53</v>
      </c>
      <c r="K499" s="75" t="s">
        <v>53</v>
      </c>
      <c r="L499" s="75" t="s">
        <v>53</v>
      </c>
      <c r="M499" s="75" t="s">
        <v>53</v>
      </c>
      <c r="N499" s="75" t="s">
        <v>53</v>
      </c>
      <c r="O499" s="75" t="s">
        <v>53</v>
      </c>
      <c r="P499" s="75" t="s">
        <v>53</v>
      </c>
      <c r="Q499" s="75" t="s">
        <v>53</v>
      </c>
      <c r="R499" s="75" t="s">
        <v>53</v>
      </c>
      <c r="S499" s="75" t="s">
        <v>53</v>
      </c>
      <c r="T499" s="75" t="s">
        <v>53</v>
      </c>
      <c r="U499" s="75" t="s">
        <v>53</v>
      </c>
      <c r="V499" s="75" t="s">
        <v>53</v>
      </c>
      <c r="W499" s="75" t="s">
        <v>53</v>
      </c>
      <c r="X499" s="75" t="s">
        <v>53</v>
      </c>
      <c r="Y499" s="75" t="s">
        <v>53</v>
      </c>
      <c r="Z499" s="75" t="s">
        <v>53</v>
      </c>
      <c r="AA499" s="75" t="s">
        <v>53</v>
      </c>
      <c r="AB499" s="75" t="s">
        <v>53</v>
      </c>
      <c r="AC499" s="75" t="s">
        <v>53</v>
      </c>
      <c r="AD499" s="75" t="s">
        <v>53</v>
      </c>
      <c r="AE499" s="75" t="s">
        <v>53</v>
      </c>
      <c r="AF499" s="85" t="str">
        <f t="shared" ref="AF499:AO499" si="410">AE499</f>
        <v>overnight</v>
      </c>
      <c r="AG499" s="85" t="str">
        <f t="shared" si="410"/>
        <v>overnight</v>
      </c>
      <c r="AH499" s="85" t="str">
        <f t="shared" si="410"/>
        <v>overnight</v>
      </c>
      <c r="AI499" s="85" t="str">
        <f t="shared" si="410"/>
        <v>overnight</v>
      </c>
      <c r="AJ499" s="85" t="str">
        <f t="shared" si="410"/>
        <v>overnight</v>
      </c>
      <c r="AK499" s="85" t="str">
        <f t="shared" si="410"/>
        <v>overnight</v>
      </c>
      <c r="AL499" s="85" t="str">
        <f t="shared" si="410"/>
        <v>overnight</v>
      </c>
      <c r="AM499" s="85" t="str">
        <f t="shared" si="410"/>
        <v>overnight</v>
      </c>
      <c r="AN499" s="85" t="str">
        <f t="shared" si="410"/>
        <v>overnight</v>
      </c>
      <c r="AO499" s="85" t="str">
        <f t="shared" si="410"/>
        <v>overnight</v>
      </c>
    </row>
    <row r="500" spans="1:41" x14ac:dyDescent="0.35">
      <c r="A500" s="71" t="str">
        <f t="shared" si="402"/>
        <v>overnight</v>
      </c>
      <c r="B500" s="72" t="s">
        <v>24</v>
      </c>
      <c r="C500" s="73" t="s">
        <v>41</v>
      </c>
      <c r="D500" s="73"/>
      <c r="E500" s="73" t="s">
        <v>53</v>
      </c>
      <c r="F500" s="73" t="s">
        <v>53</v>
      </c>
      <c r="G500" s="73" t="s">
        <v>53</v>
      </c>
      <c r="H500" s="73" t="s">
        <v>53</v>
      </c>
      <c r="I500" s="73" t="s">
        <v>53</v>
      </c>
      <c r="J500" s="73" t="s">
        <v>53</v>
      </c>
      <c r="K500" s="73" t="s">
        <v>53</v>
      </c>
      <c r="L500" s="73" t="s">
        <v>53</v>
      </c>
      <c r="M500" s="73" t="s">
        <v>53</v>
      </c>
      <c r="N500" s="73" t="s">
        <v>53</v>
      </c>
      <c r="O500" s="73" t="s">
        <v>53</v>
      </c>
      <c r="P500" s="73" t="s">
        <v>53</v>
      </c>
      <c r="Q500" s="73" t="s">
        <v>53</v>
      </c>
      <c r="R500" s="73" t="s">
        <v>53</v>
      </c>
      <c r="S500" s="73" t="s">
        <v>53</v>
      </c>
      <c r="T500" s="73" t="s">
        <v>53</v>
      </c>
      <c r="U500" s="73" t="s">
        <v>53</v>
      </c>
      <c r="V500" s="73" t="s">
        <v>53</v>
      </c>
      <c r="W500" s="73" t="s">
        <v>53</v>
      </c>
      <c r="X500" s="73" t="s">
        <v>53</v>
      </c>
      <c r="Y500" s="73" t="s">
        <v>53</v>
      </c>
      <c r="Z500" s="73" t="s">
        <v>53</v>
      </c>
      <c r="AA500" s="73" t="s">
        <v>53</v>
      </c>
      <c r="AB500" s="73" t="s">
        <v>53</v>
      </c>
      <c r="AC500" s="73" t="s">
        <v>53</v>
      </c>
      <c r="AD500" s="73" t="s">
        <v>53</v>
      </c>
      <c r="AE500" s="73" t="s">
        <v>53</v>
      </c>
      <c r="AF500" s="85" t="str">
        <f t="shared" ref="AF500:AO500" si="411">AE500</f>
        <v>overnight</v>
      </c>
      <c r="AG500" s="85" t="str">
        <f t="shared" si="411"/>
        <v>overnight</v>
      </c>
      <c r="AH500" s="85" t="str">
        <f t="shared" si="411"/>
        <v>overnight</v>
      </c>
      <c r="AI500" s="85" t="str">
        <f t="shared" si="411"/>
        <v>overnight</v>
      </c>
      <c r="AJ500" s="85" t="str">
        <f t="shared" si="411"/>
        <v>overnight</v>
      </c>
      <c r="AK500" s="85" t="str">
        <f t="shared" si="411"/>
        <v>overnight</v>
      </c>
      <c r="AL500" s="85" t="str">
        <f t="shared" si="411"/>
        <v>overnight</v>
      </c>
      <c r="AM500" s="85" t="str">
        <f t="shared" si="411"/>
        <v>overnight</v>
      </c>
      <c r="AN500" s="85" t="str">
        <f t="shared" si="411"/>
        <v>overnight</v>
      </c>
      <c r="AO500" s="85" t="str">
        <f t="shared" si="411"/>
        <v>overnight</v>
      </c>
    </row>
    <row r="501" spans="1:41" x14ac:dyDescent="0.35">
      <c r="A501" s="71" t="str">
        <f t="shared" si="402"/>
        <v>overnight</v>
      </c>
      <c r="B501" s="68" t="s">
        <v>17</v>
      </c>
      <c r="C501" s="75" t="s">
        <v>41</v>
      </c>
      <c r="D501" s="75"/>
      <c r="E501" s="75" t="s">
        <v>53</v>
      </c>
      <c r="F501" s="75" t="s">
        <v>53</v>
      </c>
      <c r="G501" s="75" t="s">
        <v>53</v>
      </c>
      <c r="H501" s="75" t="s">
        <v>53</v>
      </c>
      <c r="I501" s="75" t="s">
        <v>53</v>
      </c>
      <c r="J501" s="75" t="s">
        <v>53</v>
      </c>
      <c r="K501" s="75" t="s">
        <v>53</v>
      </c>
      <c r="L501" s="75" t="s">
        <v>53</v>
      </c>
      <c r="M501" s="75" t="s">
        <v>53</v>
      </c>
      <c r="N501" s="75" t="s">
        <v>53</v>
      </c>
      <c r="O501" s="75" t="s">
        <v>53</v>
      </c>
      <c r="P501" s="75" t="s">
        <v>53</v>
      </c>
      <c r="Q501" s="75" t="s">
        <v>53</v>
      </c>
      <c r="R501" s="75" t="s">
        <v>53</v>
      </c>
      <c r="S501" s="75" t="s">
        <v>53</v>
      </c>
      <c r="T501" s="75" t="s">
        <v>53</v>
      </c>
      <c r="U501" s="75" t="s">
        <v>53</v>
      </c>
      <c r="V501" s="75" t="s">
        <v>53</v>
      </c>
      <c r="W501" s="75" t="s">
        <v>53</v>
      </c>
      <c r="X501" s="75" t="s">
        <v>53</v>
      </c>
      <c r="Y501" s="75" t="s">
        <v>53</v>
      </c>
      <c r="Z501" s="75" t="s">
        <v>53</v>
      </c>
      <c r="AA501" s="75" t="s">
        <v>53</v>
      </c>
      <c r="AB501" s="75" t="s">
        <v>53</v>
      </c>
      <c r="AC501" s="75" t="s">
        <v>53</v>
      </c>
      <c r="AD501" s="75" t="s">
        <v>53</v>
      </c>
      <c r="AE501" s="75" t="s">
        <v>53</v>
      </c>
      <c r="AF501" s="85" t="str">
        <f t="shared" ref="AF501:AO501" si="412">AE501</f>
        <v>overnight</v>
      </c>
      <c r="AG501" s="85" t="str">
        <f t="shared" si="412"/>
        <v>overnight</v>
      </c>
      <c r="AH501" s="85" t="str">
        <f t="shared" si="412"/>
        <v>overnight</v>
      </c>
      <c r="AI501" s="85" t="str">
        <f t="shared" si="412"/>
        <v>overnight</v>
      </c>
      <c r="AJ501" s="85" t="str">
        <f t="shared" si="412"/>
        <v>overnight</v>
      </c>
      <c r="AK501" s="85" t="str">
        <f t="shared" si="412"/>
        <v>overnight</v>
      </c>
      <c r="AL501" s="85" t="str">
        <f t="shared" si="412"/>
        <v>overnight</v>
      </c>
      <c r="AM501" s="85" t="str">
        <f t="shared" si="412"/>
        <v>overnight</v>
      </c>
      <c r="AN501" s="85" t="str">
        <f t="shared" si="412"/>
        <v>overnight</v>
      </c>
      <c r="AO501" s="85" t="str">
        <f t="shared" si="412"/>
        <v>overnight</v>
      </c>
    </row>
    <row r="502" spans="1:41" x14ac:dyDescent="0.35">
      <c r="A502" s="71" t="str">
        <f t="shared" si="402"/>
        <v>overnight</v>
      </c>
      <c r="B502" s="72" t="s">
        <v>18</v>
      </c>
      <c r="C502" s="73" t="s">
        <v>41</v>
      </c>
      <c r="D502" s="73"/>
      <c r="E502" s="73" t="s">
        <v>53</v>
      </c>
      <c r="F502" s="73" t="s">
        <v>53</v>
      </c>
      <c r="G502" s="73" t="s">
        <v>53</v>
      </c>
      <c r="H502" s="73" t="s">
        <v>53</v>
      </c>
      <c r="I502" s="73" t="s">
        <v>53</v>
      </c>
      <c r="J502" s="73" t="s">
        <v>53</v>
      </c>
      <c r="K502" s="73" t="s">
        <v>53</v>
      </c>
      <c r="L502" s="73" t="s">
        <v>53</v>
      </c>
      <c r="M502" s="73" t="s">
        <v>53</v>
      </c>
      <c r="N502" s="73" t="s">
        <v>53</v>
      </c>
      <c r="O502" s="73" t="s">
        <v>53</v>
      </c>
      <c r="P502" s="73" t="s">
        <v>53</v>
      </c>
      <c r="Q502" s="73" t="s">
        <v>53</v>
      </c>
      <c r="R502" s="73" t="s">
        <v>53</v>
      </c>
      <c r="S502" s="73" t="s">
        <v>53</v>
      </c>
      <c r="T502" s="73" t="s">
        <v>53</v>
      </c>
      <c r="U502" s="73" t="s">
        <v>53</v>
      </c>
      <c r="V502" s="73" t="s">
        <v>53</v>
      </c>
      <c r="W502" s="73" t="s">
        <v>53</v>
      </c>
      <c r="X502" s="73" t="s">
        <v>53</v>
      </c>
      <c r="Y502" s="73" t="s">
        <v>53</v>
      </c>
      <c r="Z502" s="73" t="s">
        <v>53</v>
      </c>
      <c r="AA502" s="73" t="s">
        <v>53</v>
      </c>
      <c r="AB502" s="73" t="s">
        <v>53</v>
      </c>
      <c r="AC502" s="73" t="s">
        <v>53</v>
      </c>
      <c r="AD502" s="73" t="s">
        <v>53</v>
      </c>
      <c r="AE502" s="73" t="s">
        <v>53</v>
      </c>
      <c r="AF502" s="85" t="str">
        <f t="shared" ref="AF502:AO502" si="413">AE502</f>
        <v>overnight</v>
      </c>
      <c r="AG502" s="85" t="str">
        <f t="shared" si="413"/>
        <v>overnight</v>
      </c>
      <c r="AH502" s="85" t="str">
        <f t="shared" si="413"/>
        <v>overnight</v>
      </c>
      <c r="AI502" s="85" t="str">
        <f t="shared" si="413"/>
        <v>overnight</v>
      </c>
      <c r="AJ502" s="85" t="str">
        <f t="shared" si="413"/>
        <v>overnight</v>
      </c>
      <c r="AK502" s="85" t="str">
        <f t="shared" si="413"/>
        <v>overnight</v>
      </c>
      <c r="AL502" s="85" t="str">
        <f t="shared" si="413"/>
        <v>overnight</v>
      </c>
      <c r="AM502" s="85" t="str">
        <f t="shared" si="413"/>
        <v>overnight</v>
      </c>
      <c r="AN502" s="85" t="str">
        <f t="shared" si="413"/>
        <v>overnight</v>
      </c>
      <c r="AO502" s="85" t="str">
        <f t="shared" si="413"/>
        <v>overnight</v>
      </c>
    </row>
    <row r="503" spans="1:41" x14ac:dyDescent="0.35">
      <c r="A503" s="71" t="str">
        <f t="shared" si="402"/>
        <v>overnight</v>
      </c>
      <c r="B503" s="68" t="s">
        <v>19</v>
      </c>
      <c r="C503" s="75" t="s">
        <v>41</v>
      </c>
      <c r="D503" s="75"/>
      <c r="E503" s="75" t="s">
        <v>53</v>
      </c>
      <c r="F503" s="75" t="s">
        <v>53</v>
      </c>
      <c r="G503" s="75" t="s">
        <v>53</v>
      </c>
      <c r="H503" s="75" t="s">
        <v>53</v>
      </c>
      <c r="I503" s="75" t="s">
        <v>53</v>
      </c>
      <c r="J503" s="75" t="s">
        <v>53</v>
      </c>
      <c r="K503" s="75" t="s">
        <v>53</v>
      </c>
      <c r="L503" s="75" t="s">
        <v>53</v>
      </c>
      <c r="M503" s="75" t="s">
        <v>53</v>
      </c>
      <c r="N503" s="75" t="s">
        <v>53</v>
      </c>
      <c r="O503" s="75" t="s">
        <v>53</v>
      </c>
      <c r="P503" s="75" t="s">
        <v>53</v>
      </c>
      <c r="Q503" s="75" t="s">
        <v>53</v>
      </c>
      <c r="R503" s="75" t="s">
        <v>53</v>
      </c>
      <c r="S503" s="75" t="s">
        <v>53</v>
      </c>
      <c r="T503" s="75" t="s">
        <v>53</v>
      </c>
      <c r="U503" s="75" t="s">
        <v>53</v>
      </c>
      <c r="V503" s="75" t="s">
        <v>53</v>
      </c>
      <c r="W503" s="75" t="s">
        <v>53</v>
      </c>
      <c r="X503" s="75" t="s">
        <v>53</v>
      </c>
      <c r="Y503" s="75" t="s">
        <v>53</v>
      </c>
      <c r="Z503" s="75" t="s">
        <v>53</v>
      </c>
      <c r="AA503" s="75" t="s">
        <v>53</v>
      </c>
      <c r="AB503" s="75" t="s">
        <v>53</v>
      </c>
      <c r="AC503" s="75" t="s">
        <v>53</v>
      </c>
      <c r="AD503" s="75" t="s">
        <v>53</v>
      </c>
      <c r="AE503" s="75" t="s">
        <v>53</v>
      </c>
      <c r="AF503" s="85" t="str">
        <f t="shared" ref="AF503:AO503" si="414">AE503</f>
        <v>overnight</v>
      </c>
      <c r="AG503" s="85" t="str">
        <f t="shared" si="414"/>
        <v>overnight</v>
      </c>
      <c r="AH503" s="85" t="str">
        <f t="shared" si="414"/>
        <v>overnight</v>
      </c>
      <c r="AI503" s="85" t="str">
        <f t="shared" si="414"/>
        <v>overnight</v>
      </c>
      <c r="AJ503" s="85" t="str">
        <f t="shared" si="414"/>
        <v>overnight</v>
      </c>
      <c r="AK503" s="85" t="str">
        <f t="shared" si="414"/>
        <v>overnight</v>
      </c>
      <c r="AL503" s="85" t="str">
        <f t="shared" si="414"/>
        <v>overnight</v>
      </c>
      <c r="AM503" s="85" t="str">
        <f t="shared" si="414"/>
        <v>overnight</v>
      </c>
      <c r="AN503" s="85" t="str">
        <f t="shared" si="414"/>
        <v>overnight</v>
      </c>
      <c r="AO503" s="85" t="str">
        <f t="shared" si="414"/>
        <v>overnight</v>
      </c>
    </row>
    <row r="504" spans="1:41" x14ac:dyDescent="0.35">
      <c r="A504" s="71" t="str">
        <f t="shared" si="402"/>
        <v>overnight</v>
      </c>
      <c r="B504" s="72" t="s">
        <v>20</v>
      </c>
      <c r="C504" s="73" t="s">
        <v>41</v>
      </c>
      <c r="D504" s="73"/>
      <c r="E504" s="73" t="s">
        <v>53</v>
      </c>
      <c r="F504" s="73" t="s">
        <v>53</v>
      </c>
      <c r="G504" s="73" t="s">
        <v>53</v>
      </c>
      <c r="H504" s="73" t="s">
        <v>53</v>
      </c>
      <c r="I504" s="73" t="s">
        <v>53</v>
      </c>
      <c r="J504" s="73" t="s">
        <v>53</v>
      </c>
      <c r="K504" s="73" t="s">
        <v>53</v>
      </c>
      <c r="L504" s="73" t="s">
        <v>53</v>
      </c>
      <c r="M504" s="73" t="s">
        <v>53</v>
      </c>
      <c r="N504" s="73" t="s">
        <v>53</v>
      </c>
      <c r="O504" s="73" t="s">
        <v>53</v>
      </c>
      <c r="P504" s="73" t="s">
        <v>53</v>
      </c>
      <c r="Q504" s="73" t="s">
        <v>53</v>
      </c>
      <c r="R504" s="73" t="s">
        <v>53</v>
      </c>
      <c r="S504" s="73" t="s">
        <v>53</v>
      </c>
      <c r="T504" s="73" t="s">
        <v>53</v>
      </c>
      <c r="U504" s="73" t="s">
        <v>53</v>
      </c>
      <c r="V504" s="73" t="s">
        <v>53</v>
      </c>
      <c r="W504" s="73" t="s">
        <v>53</v>
      </c>
      <c r="X504" s="73" t="s">
        <v>53</v>
      </c>
      <c r="Y504" s="73" t="s">
        <v>53</v>
      </c>
      <c r="Z504" s="73" t="s">
        <v>53</v>
      </c>
      <c r="AA504" s="73" t="s">
        <v>53</v>
      </c>
      <c r="AB504" s="73" t="s">
        <v>53</v>
      </c>
      <c r="AC504" s="73" t="s">
        <v>53</v>
      </c>
      <c r="AD504" s="73" t="s">
        <v>53</v>
      </c>
      <c r="AE504" s="73" t="s">
        <v>53</v>
      </c>
      <c r="AF504" s="85" t="str">
        <f t="shared" ref="AF504:AO504" si="415">AE504</f>
        <v>overnight</v>
      </c>
      <c r="AG504" s="85" t="str">
        <f t="shared" si="415"/>
        <v>overnight</v>
      </c>
      <c r="AH504" s="85" t="str">
        <f t="shared" si="415"/>
        <v>overnight</v>
      </c>
      <c r="AI504" s="85" t="str">
        <f t="shared" si="415"/>
        <v>overnight</v>
      </c>
      <c r="AJ504" s="85" t="str">
        <f t="shared" si="415"/>
        <v>overnight</v>
      </c>
      <c r="AK504" s="85" t="str">
        <f t="shared" si="415"/>
        <v>overnight</v>
      </c>
      <c r="AL504" s="85" t="str">
        <f t="shared" si="415"/>
        <v>overnight</v>
      </c>
      <c r="AM504" s="85" t="str">
        <f t="shared" si="415"/>
        <v>overnight</v>
      </c>
      <c r="AN504" s="85" t="str">
        <f t="shared" si="415"/>
        <v>overnight</v>
      </c>
      <c r="AO504" s="85" t="str">
        <f t="shared" si="415"/>
        <v>overnight</v>
      </c>
    </row>
    <row r="505" spans="1:41" x14ac:dyDescent="0.35">
      <c r="A505" s="71" t="str">
        <f t="shared" si="402"/>
        <v>overnight</v>
      </c>
      <c r="B505" s="68" t="s">
        <v>21</v>
      </c>
      <c r="C505" s="75" t="s">
        <v>41</v>
      </c>
      <c r="D505" s="75"/>
      <c r="E505" s="75" t="s">
        <v>53</v>
      </c>
      <c r="F505" s="75" t="s">
        <v>53</v>
      </c>
      <c r="G505" s="75" t="s">
        <v>53</v>
      </c>
      <c r="H505" s="75" t="s">
        <v>53</v>
      </c>
      <c r="I505" s="75" t="s">
        <v>53</v>
      </c>
      <c r="J505" s="75" t="s">
        <v>53</v>
      </c>
      <c r="K505" s="75" t="s">
        <v>53</v>
      </c>
      <c r="L505" s="75" t="s">
        <v>53</v>
      </c>
      <c r="M505" s="75" t="s">
        <v>53</v>
      </c>
      <c r="N505" s="75" t="s">
        <v>53</v>
      </c>
      <c r="O505" s="75" t="s">
        <v>53</v>
      </c>
      <c r="P505" s="75" t="s">
        <v>53</v>
      </c>
      <c r="Q505" s="75" t="s">
        <v>53</v>
      </c>
      <c r="R505" s="75" t="s">
        <v>53</v>
      </c>
      <c r="S505" s="75" t="s">
        <v>53</v>
      </c>
      <c r="T505" s="75" t="s">
        <v>53</v>
      </c>
      <c r="U505" s="75" t="s">
        <v>53</v>
      </c>
      <c r="V505" s="75" t="s">
        <v>53</v>
      </c>
      <c r="W505" s="75" t="s">
        <v>53</v>
      </c>
      <c r="X505" s="75" t="s">
        <v>53</v>
      </c>
      <c r="Y505" s="75" t="s">
        <v>53</v>
      </c>
      <c r="Z505" s="75" t="s">
        <v>53</v>
      </c>
      <c r="AA505" s="75" t="s">
        <v>53</v>
      </c>
      <c r="AB505" s="75" t="s">
        <v>53</v>
      </c>
      <c r="AC505" s="75" t="s">
        <v>53</v>
      </c>
      <c r="AD505" s="75" t="s">
        <v>53</v>
      </c>
      <c r="AE505" s="75" t="s">
        <v>53</v>
      </c>
      <c r="AF505" s="85" t="str">
        <f t="shared" ref="AF505:AO505" si="416">AE505</f>
        <v>overnight</v>
      </c>
      <c r="AG505" s="85" t="str">
        <f t="shared" si="416"/>
        <v>overnight</v>
      </c>
      <c r="AH505" s="85" t="str">
        <f t="shared" si="416"/>
        <v>overnight</v>
      </c>
      <c r="AI505" s="85" t="str">
        <f t="shared" si="416"/>
        <v>overnight</v>
      </c>
      <c r="AJ505" s="85" t="str">
        <f t="shared" si="416"/>
        <v>overnight</v>
      </c>
      <c r="AK505" s="85" t="str">
        <f t="shared" si="416"/>
        <v>overnight</v>
      </c>
      <c r="AL505" s="85" t="str">
        <f t="shared" si="416"/>
        <v>overnight</v>
      </c>
      <c r="AM505" s="85" t="str">
        <f t="shared" si="416"/>
        <v>overnight</v>
      </c>
      <c r="AN505" s="85" t="str">
        <f t="shared" si="416"/>
        <v>overnight</v>
      </c>
      <c r="AO505" s="85" t="str">
        <f t="shared" si="416"/>
        <v>overnight</v>
      </c>
    </row>
    <row r="506" spans="1:41" x14ac:dyDescent="0.35">
      <c r="A506" s="71" t="str">
        <f t="shared" si="402"/>
        <v>overnight</v>
      </c>
      <c r="B506" s="72" t="s">
        <v>22</v>
      </c>
      <c r="C506" s="73" t="s">
        <v>41</v>
      </c>
      <c r="D506" s="73"/>
      <c r="E506" s="73" t="s">
        <v>53</v>
      </c>
      <c r="F506" s="73" t="s">
        <v>53</v>
      </c>
      <c r="G506" s="73" t="s">
        <v>53</v>
      </c>
      <c r="H506" s="73" t="s">
        <v>53</v>
      </c>
      <c r="I506" s="73" t="s">
        <v>53</v>
      </c>
      <c r="J506" s="73" t="s">
        <v>53</v>
      </c>
      <c r="K506" s="73" t="s">
        <v>53</v>
      </c>
      <c r="L506" s="73" t="s">
        <v>53</v>
      </c>
      <c r="M506" s="73" t="s">
        <v>53</v>
      </c>
      <c r="N506" s="73" t="s">
        <v>53</v>
      </c>
      <c r="O506" s="73" t="s">
        <v>53</v>
      </c>
      <c r="P506" s="73" t="s">
        <v>53</v>
      </c>
      <c r="Q506" s="73" t="s">
        <v>53</v>
      </c>
      <c r="R506" s="73" t="s">
        <v>53</v>
      </c>
      <c r="S506" s="73" t="s">
        <v>53</v>
      </c>
      <c r="T506" s="73" t="s">
        <v>53</v>
      </c>
      <c r="U506" s="73" t="s">
        <v>53</v>
      </c>
      <c r="V506" s="73" t="s">
        <v>53</v>
      </c>
      <c r="W506" s="73" t="s">
        <v>53</v>
      </c>
      <c r="X506" s="73" t="s">
        <v>53</v>
      </c>
      <c r="Y506" s="73" t="s">
        <v>53</v>
      </c>
      <c r="Z506" s="73" t="s">
        <v>53</v>
      </c>
      <c r="AA506" s="73" t="s">
        <v>53</v>
      </c>
      <c r="AB506" s="73" t="s">
        <v>53</v>
      </c>
      <c r="AC506" s="73" t="s">
        <v>53</v>
      </c>
      <c r="AD506" s="73" t="s">
        <v>53</v>
      </c>
      <c r="AE506" s="73" t="s">
        <v>53</v>
      </c>
      <c r="AF506" s="85" t="str">
        <f t="shared" ref="AF506:AO506" si="417">AE506</f>
        <v>overnight</v>
      </c>
      <c r="AG506" s="85" t="str">
        <f t="shared" si="417"/>
        <v>overnight</v>
      </c>
      <c r="AH506" s="85" t="str">
        <f t="shared" si="417"/>
        <v>overnight</v>
      </c>
      <c r="AI506" s="85" t="str">
        <f t="shared" si="417"/>
        <v>overnight</v>
      </c>
      <c r="AJ506" s="85" t="str">
        <f t="shared" si="417"/>
        <v>overnight</v>
      </c>
      <c r="AK506" s="85" t="str">
        <f t="shared" si="417"/>
        <v>overnight</v>
      </c>
      <c r="AL506" s="85" t="str">
        <f t="shared" si="417"/>
        <v>overnight</v>
      </c>
      <c r="AM506" s="85" t="str">
        <f t="shared" si="417"/>
        <v>overnight</v>
      </c>
      <c r="AN506" s="85" t="str">
        <f t="shared" si="417"/>
        <v>overnight</v>
      </c>
      <c r="AO506" s="85" t="str">
        <f t="shared" si="417"/>
        <v>overnight</v>
      </c>
    </row>
    <row r="507" spans="1:41" x14ac:dyDescent="0.35">
      <c r="A507" s="71" t="str">
        <f t="shared" si="402"/>
        <v>overnight</v>
      </c>
      <c r="B507" s="72" t="s">
        <v>117</v>
      </c>
      <c r="C507" s="73" t="s">
        <v>41</v>
      </c>
      <c r="D507" s="73"/>
      <c r="E507" s="73" t="s">
        <v>53</v>
      </c>
      <c r="F507" s="73" t="s">
        <v>53</v>
      </c>
      <c r="G507" s="73" t="s">
        <v>53</v>
      </c>
      <c r="H507" s="73" t="s">
        <v>53</v>
      </c>
      <c r="I507" s="73" t="s">
        <v>53</v>
      </c>
      <c r="J507" s="73" t="s">
        <v>53</v>
      </c>
      <c r="K507" s="73" t="s">
        <v>53</v>
      </c>
      <c r="L507" s="73" t="s">
        <v>53</v>
      </c>
      <c r="M507" s="73" t="s">
        <v>53</v>
      </c>
      <c r="N507" s="73" t="s">
        <v>53</v>
      </c>
      <c r="O507" s="73" t="s">
        <v>53</v>
      </c>
      <c r="P507" s="73" t="s">
        <v>53</v>
      </c>
      <c r="Q507" s="73" t="s">
        <v>53</v>
      </c>
      <c r="R507" s="73" t="s">
        <v>53</v>
      </c>
      <c r="S507" s="73" t="s">
        <v>53</v>
      </c>
      <c r="T507" s="73" t="s">
        <v>53</v>
      </c>
      <c r="U507" s="73" t="s">
        <v>53</v>
      </c>
      <c r="V507" s="73" t="s">
        <v>53</v>
      </c>
      <c r="W507" s="73" t="s">
        <v>53</v>
      </c>
      <c r="X507" s="73" t="s">
        <v>53</v>
      </c>
      <c r="Y507" s="73" t="s">
        <v>53</v>
      </c>
      <c r="Z507" s="73" t="s">
        <v>53</v>
      </c>
      <c r="AA507" s="73" t="s">
        <v>53</v>
      </c>
      <c r="AB507" s="73" t="s">
        <v>53</v>
      </c>
      <c r="AC507" s="73" t="s">
        <v>53</v>
      </c>
      <c r="AD507" s="73" t="s">
        <v>53</v>
      </c>
      <c r="AE507" s="73" t="s">
        <v>53</v>
      </c>
      <c r="AF507" s="85" t="str">
        <f t="shared" ref="AF507" si="418">AE507</f>
        <v>overnight</v>
      </c>
      <c r="AG507" s="85" t="str">
        <f t="shared" ref="AG507" si="419">AF507</f>
        <v>overnight</v>
      </c>
      <c r="AH507" s="85" t="str">
        <f t="shared" ref="AH507" si="420">AG507</f>
        <v>overnight</v>
      </c>
      <c r="AI507" s="85" t="str">
        <f t="shared" ref="AI507" si="421">AH507</f>
        <v>overnight</v>
      </c>
      <c r="AJ507" s="85" t="str">
        <f t="shared" ref="AJ507" si="422">AI507</f>
        <v>overnight</v>
      </c>
      <c r="AK507" s="85" t="str">
        <f t="shared" ref="AK507" si="423">AJ507</f>
        <v>overnight</v>
      </c>
      <c r="AL507" s="85" t="str">
        <f t="shared" ref="AL507" si="424">AK507</f>
        <v>overnight</v>
      </c>
      <c r="AM507" s="85" t="str">
        <f t="shared" ref="AM507" si="425">AL507</f>
        <v>overnight</v>
      </c>
      <c r="AN507" s="85" t="str">
        <f t="shared" ref="AN507" si="426">AM507</f>
        <v>overnight</v>
      </c>
      <c r="AO507" s="85" t="str">
        <f t="shared" ref="AO507" si="427">AN507</f>
        <v>overnight</v>
      </c>
    </row>
    <row r="508" spans="1:41" x14ac:dyDescent="0.35">
      <c r="A508" s="71" t="str">
        <f>A504</f>
        <v>overnight</v>
      </c>
      <c r="B508" s="68" t="s">
        <v>15</v>
      </c>
      <c r="C508" s="75" t="s">
        <v>41</v>
      </c>
      <c r="D508" s="75"/>
      <c r="E508" s="75" t="s">
        <v>53</v>
      </c>
      <c r="F508" s="75" t="s">
        <v>53</v>
      </c>
      <c r="G508" s="75" t="s">
        <v>53</v>
      </c>
      <c r="H508" s="75" t="s">
        <v>53</v>
      </c>
      <c r="I508" s="75" t="s">
        <v>53</v>
      </c>
      <c r="J508" s="75" t="s">
        <v>53</v>
      </c>
      <c r="K508" s="75" t="s">
        <v>53</v>
      </c>
      <c r="L508" s="75" t="s">
        <v>53</v>
      </c>
      <c r="M508" s="75" t="s">
        <v>53</v>
      </c>
      <c r="N508" s="75" t="s">
        <v>53</v>
      </c>
      <c r="O508" s="75" t="s">
        <v>53</v>
      </c>
      <c r="P508" s="75" t="s">
        <v>53</v>
      </c>
      <c r="Q508" s="75" t="s">
        <v>53</v>
      </c>
      <c r="R508" s="75" t="s">
        <v>53</v>
      </c>
      <c r="S508" s="75" t="s">
        <v>53</v>
      </c>
      <c r="T508" s="75" t="s">
        <v>53</v>
      </c>
      <c r="U508" s="75" t="s">
        <v>53</v>
      </c>
      <c r="V508" s="75" t="s">
        <v>53</v>
      </c>
      <c r="W508" s="75" t="s">
        <v>53</v>
      </c>
      <c r="X508" s="75" t="s">
        <v>53</v>
      </c>
      <c r="Y508" s="75" t="s">
        <v>53</v>
      </c>
      <c r="Z508" s="75" t="s">
        <v>53</v>
      </c>
      <c r="AA508" s="75" t="s">
        <v>53</v>
      </c>
      <c r="AB508" s="75" t="s">
        <v>53</v>
      </c>
      <c r="AC508" s="75" t="s">
        <v>53</v>
      </c>
      <c r="AD508" s="75" t="s">
        <v>53</v>
      </c>
      <c r="AE508" s="75" t="s">
        <v>53</v>
      </c>
      <c r="AF508" s="85" t="str">
        <f t="shared" ref="AF508:AO508" si="428">AE508</f>
        <v>overnight</v>
      </c>
      <c r="AG508" s="85" t="str">
        <f t="shared" si="428"/>
        <v>overnight</v>
      </c>
      <c r="AH508" s="85" t="str">
        <f t="shared" si="428"/>
        <v>overnight</v>
      </c>
      <c r="AI508" s="85" t="str">
        <f t="shared" si="428"/>
        <v>overnight</v>
      </c>
      <c r="AJ508" s="85" t="str">
        <f t="shared" si="428"/>
        <v>overnight</v>
      </c>
      <c r="AK508" s="85" t="str">
        <f t="shared" si="428"/>
        <v>overnight</v>
      </c>
      <c r="AL508" s="85" t="str">
        <f t="shared" si="428"/>
        <v>overnight</v>
      </c>
      <c r="AM508" s="85" t="str">
        <f t="shared" si="428"/>
        <v>overnight</v>
      </c>
      <c r="AN508" s="85" t="str">
        <f t="shared" si="428"/>
        <v>overnight</v>
      </c>
      <c r="AO508" s="85" t="str">
        <f t="shared" si="428"/>
        <v>overnight</v>
      </c>
    </row>
    <row r="509" spans="1:41" x14ac:dyDescent="0.35">
      <c r="A509" s="71" t="str">
        <f>A508</f>
        <v>overnight</v>
      </c>
      <c r="B509" s="72" t="s">
        <v>28</v>
      </c>
      <c r="C509" s="73" t="s">
        <v>41</v>
      </c>
      <c r="D509" s="73"/>
      <c r="E509" s="73" t="s">
        <v>53</v>
      </c>
      <c r="F509" s="73" t="s">
        <v>53</v>
      </c>
      <c r="G509" s="73" t="s">
        <v>53</v>
      </c>
      <c r="H509" s="73" t="s">
        <v>53</v>
      </c>
      <c r="I509" s="73" t="s">
        <v>53</v>
      </c>
      <c r="J509" s="73" t="s">
        <v>53</v>
      </c>
      <c r="K509" s="73" t="s">
        <v>53</v>
      </c>
      <c r="L509" s="73" t="s">
        <v>53</v>
      </c>
      <c r="M509" s="73" t="s">
        <v>53</v>
      </c>
      <c r="N509" s="73" t="s">
        <v>53</v>
      </c>
      <c r="O509" s="73" t="s">
        <v>53</v>
      </c>
      <c r="P509" s="73" t="s">
        <v>53</v>
      </c>
      <c r="Q509" s="73" t="s">
        <v>53</v>
      </c>
      <c r="R509" s="73" t="s">
        <v>53</v>
      </c>
      <c r="S509" s="73" t="s">
        <v>53</v>
      </c>
      <c r="T509" s="73" t="s">
        <v>53</v>
      </c>
      <c r="U509" s="73" t="s">
        <v>53</v>
      </c>
      <c r="V509" s="73" t="s">
        <v>53</v>
      </c>
      <c r="W509" s="73" t="s">
        <v>53</v>
      </c>
      <c r="X509" s="73" t="s">
        <v>53</v>
      </c>
      <c r="Y509" s="73" t="s">
        <v>53</v>
      </c>
      <c r="Z509" s="73" t="s">
        <v>53</v>
      </c>
      <c r="AA509" s="73" t="s">
        <v>53</v>
      </c>
      <c r="AB509" s="73" t="s">
        <v>53</v>
      </c>
      <c r="AC509" s="73" t="s">
        <v>53</v>
      </c>
      <c r="AD509" s="73" t="s">
        <v>53</v>
      </c>
      <c r="AE509" s="73" t="s">
        <v>53</v>
      </c>
      <c r="AF509" s="85" t="str">
        <f t="shared" ref="AF509:AO509" si="429">AE509</f>
        <v>overnight</v>
      </c>
      <c r="AG509" s="85" t="str">
        <f t="shared" si="429"/>
        <v>overnight</v>
      </c>
      <c r="AH509" s="85" t="str">
        <f t="shared" si="429"/>
        <v>overnight</v>
      </c>
      <c r="AI509" s="85" t="str">
        <f t="shared" si="429"/>
        <v>overnight</v>
      </c>
      <c r="AJ509" s="85" t="str">
        <f t="shared" si="429"/>
        <v>overnight</v>
      </c>
      <c r="AK509" s="85" t="str">
        <f t="shared" si="429"/>
        <v>overnight</v>
      </c>
      <c r="AL509" s="85" t="str">
        <f t="shared" si="429"/>
        <v>overnight</v>
      </c>
      <c r="AM509" s="85" t="str">
        <f t="shared" si="429"/>
        <v>overnight</v>
      </c>
      <c r="AN509" s="85" t="str">
        <f t="shared" si="429"/>
        <v>overnight</v>
      </c>
      <c r="AO509" s="85" t="str">
        <f t="shared" si="429"/>
        <v>overnight</v>
      </c>
    </row>
    <row r="510" spans="1:41" x14ac:dyDescent="0.35">
      <c r="A510" s="71" t="str">
        <f>A509</f>
        <v>overnight</v>
      </c>
      <c r="B510" s="68" t="s">
        <v>10</v>
      </c>
      <c r="C510" s="75" t="s">
        <v>41</v>
      </c>
      <c r="D510" s="75"/>
      <c r="E510" s="75" t="s">
        <v>53</v>
      </c>
      <c r="F510" s="75" t="s">
        <v>53</v>
      </c>
      <c r="G510" s="75" t="s">
        <v>53</v>
      </c>
      <c r="H510" s="75" t="s">
        <v>53</v>
      </c>
      <c r="I510" s="75" t="s">
        <v>53</v>
      </c>
      <c r="J510" s="75" t="s">
        <v>53</v>
      </c>
      <c r="K510" s="75" t="s">
        <v>53</v>
      </c>
      <c r="L510" s="75" t="s">
        <v>53</v>
      </c>
      <c r="M510" s="75" t="s">
        <v>53</v>
      </c>
      <c r="N510" s="75" t="s">
        <v>53</v>
      </c>
      <c r="O510" s="75" t="s">
        <v>53</v>
      </c>
      <c r="P510" s="75" t="s">
        <v>53</v>
      </c>
      <c r="Q510" s="75" t="s">
        <v>53</v>
      </c>
      <c r="R510" s="75" t="s">
        <v>53</v>
      </c>
      <c r="S510" s="75" t="s">
        <v>53</v>
      </c>
      <c r="T510" s="75" t="s">
        <v>53</v>
      </c>
      <c r="U510" s="75" t="s">
        <v>53</v>
      </c>
      <c r="V510" s="75" t="s">
        <v>53</v>
      </c>
      <c r="W510" s="75" t="s">
        <v>53</v>
      </c>
      <c r="X510" s="75" t="s">
        <v>53</v>
      </c>
      <c r="Y510" s="75" t="s">
        <v>53</v>
      </c>
      <c r="Z510" s="75" t="s">
        <v>53</v>
      </c>
      <c r="AA510" s="75" t="s">
        <v>53</v>
      </c>
      <c r="AB510" s="75" t="s">
        <v>53</v>
      </c>
      <c r="AC510" s="75" t="s">
        <v>53</v>
      </c>
      <c r="AD510" s="75" t="s">
        <v>53</v>
      </c>
      <c r="AE510" s="75" t="s">
        <v>53</v>
      </c>
      <c r="AF510" s="85" t="str">
        <f t="shared" ref="AF510:AO510" si="430">AE510</f>
        <v>overnight</v>
      </c>
      <c r="AG510" s="85" t="str">
        <f t="shared" si="430"/>
        <v>overnight</v>
      </c>
      <c r="AH510" s="85" t="str">
        <f t="shared" si="430"/>
        <v>overnight</v>
      </c>
      <c r="AI510" s="85" t="str">
        <f t="shared" si="430"/>
        <v>overnight</v>
      </c>
      <c r="AJ510" s="85" t="str">
        <f t="shared" si="430"/>
        <v>overnight</v>
      </c>
      <c r="AK510" s="85" t="str">
        <f t="shared" si="430"/>
        <v>overnight</v>
      </c>
      <c r="AL510" s="85" t="str">
        <f t="shared" si="430"/>
        <v>overnight</v>
      </c>
      <c r="AM510" s="85" t="str">
        <f t="shared" si="430"/>
        <v>overnight</v>
      </c>
      <c r="AN510" s="85" t="str">
        <f t="shared" si="430"/>
        <v>overnight</v>
      </c>
      <c r="AO510" s="85" t="str">
        <f t="shared" si="430"/>
        <v>overnight</v>
      </c>
    </row>
    <row r="511" spans="1:41" x14ac:dyDescent="0.35">
      <c r="A511" s="71" t="str">
        <f>A510</f>
        <v>overnight</v>
      </c>
      <c r="B511" s="72" t="s">
        <v>11</v>
      </c>
      <c r="C511" s="73" t="s">
        <v>41</v>
      </c>
      <c r="D511" s="73"/>
      <c r="E511" s="73" t="s">
        <v>53</v>
      </c>
      <c r="F511" s="73" t="s">
        <v>53</v>
      </c>
      <c r="G511" s="73" t="s">
        <v>53</v>
      </c>
      <c r="H511" s="73" t="s">
        <v>53</v>
      </c>
      <c r="I511" s="73" t="s">
        <v>53</v>
      </c>
      <c r="J511" s="73" t="s">
        <v>53</v>
      </c>
      <c r="K511" s="73" t="s">
        <v>53</v>
      </c>
      <c r="L511" s="73" t="s">
        <v>53</v>
      </c>
      <c r="M511" s="73" t="s">
        <v>53</v>
      </c>
      <c r="N511" s="73" t="s">
        <v>53</v>
      </c>
      <c r="O511" s="73" t="s">
        <v>53</v>
      </c>
      <c r="P511" s="73" t="s">
        <v>53</v>
      </c>
      <c r="Q511" s="73" t="s">
        <v>53</v>
      </c>
      <c r="R511" s="73" t="s">
        <v>53</v>
      </c>
      <c r="S511" s="73" t="s">
        <v>53</v>
      </c>
      <c r="T511" s="73" t="s">
        <v>53</v>
      </c>
      <c r="U511" s="73" t="s">
        <v>53</v>
      </c>
      <c r="V511" s="73" t="s">
        <v>53</v>
      </c>
      <c r="W511" s="73" t="s">
        <v>53</v>
      </c>
      <c r="X511" s="73" t="s">
        <v>53</v>
      </c>
      <c r="Y511" s="73" t="s">
        <v>53</v>
      </c>
      <c r="Z511" s="73" t="s">
        <v>53</v>
      </c>
      <c r="AA511" s="73" t="s">
        <v>53</v>
      </c>
      <c r="AB511" s="73" t="s">
        <v>53</v>
      </c>
      <c r="AC511" s="73" t="s">
        <v>53</v>
      </c>
      <c r="AD511" s="73" t="s">
        <v>53</v>
      </c>
      <c r="AE511" s="73" t="s">
        <v>53</v>
      </c>
      <c r="AF511" s="85" t="str">
        <f t="shared" ref="AF511:AO511" si="431">AE511</f>
        <v>overnight</v>
      </c>
      <c r="AG511" s="85" t="str">
        <f t="shared" si="431"/>
        <v>overnight</v>
      </c>
      <c r="AH511" s="85" t="str">
        <f t="shared" si="431"/>
        <v>overnight</v>
      </c>
      <c r="AI511" s="85" t="str">
        <f t="shared" si="431"/>
        <v>overnight</v>
      </c>
      <c r="AJ511" s="85" t="str">
        <f t="shared" si="431"/>
        <v>overnight</v>
      </c>
      <c r="AK511" s="85" t="str">
        <f t="shared" si="431"/>
        <v>overnight</v>
      </c>
      <c r="AL511" s="85" t="str">
        <f t="shared" si="431"/>
        <v>overnight</v>
      </c>
      <c r="AM511" s="85" t="str">
        <f t="shared" si="431"/>
        <v>overnight</v>
      </c>
      <c r="AN511" s="85" t="str">
        <f t="shared" si="431"/>
        <v>overnight</v>
      </c>
      <c r="AO511" s="85" t="str">
        <f t="shared" si="431"/>
        <v>overnight</v>
      </c>
    </row>
    <row r="512" spans="1:41" x14ac:dyDescent="0.35">
      <c r="A512" s="71" t="str">
        <f>A511</f>
        <v>overnight</v>
      </c>
      <c r="B512" s="68" t="s">
        <v>8</v>
      </c>
      <c r="C512" s="75" t="s">
        <v>41</v>
      </c>
      <c r="D512" s="75"/>
      <c r="E512" s="75" t="s">
        <v>53</v>
      </c>
      <c r="F512" s="75" t="s">
        <v>53</v>
      </c>
      <c r="G512" s="75" t="s">
        <v>53</v>
      </c>
      <c r="H512" s="75" t="s">
        <v>53</v>
      </c>
      <c r="I512" s="75" t="s">
        <v>53</v>
      </c>
      <c r="J512" s="75" t="s">
        <v>53</v>
      </c>
      <c r="K512" s="75" t="s">
        <v>53</v>
      </c>
      <c r="L512" s="75" t="s">
        <v>53</v>
      </c>
      <c r="M512" s="75" t="s">
        <v>53</v>
      </c>
      <c r="N512" s="75" t="s">
        <v>53</v>
      </c>
      <c r="O512" s="75" t="s">
        <v>53</v>
      </c>
      <c r="P512" s="75" t="s">
        <v>53</v>
      </c>
      <c r="Q512" s="75" t="s">
        <v>53</v>
      </c>
      <c r="R512" s="75" t="s">
        <v>53</v>
      </c>
      <c r="S512" s="75" t="s">
        <v>53</v>
      </c>
      <c r="T512" s="75" t="s">
        <v>53</v>
      </c>
      <c r="U512" s="75" t="s">
        <v>53</v>
      </c>
      <c r="V512" s="75" t="s">
        <v>53</v>
      </c>
      <c r="W512" s="75" t="s">
        <v>53</v>
      </c>
      <c r="X512" s="75" t="s">
        <v>53</v>
      </c>
      <c r="Y512" s="75" t="s">
        <v>53</v>
      </c>
      <c r="Z512" s="75" t="s">
        <v>53</v>
      </c>
      <c r="AA512" s="75" t="s">
        <v>53</v>
      </c>
      <c r="AB512" s="75" t="s">
        <v>53</v>
      </c>
      <c r="AC512" s="75" t="s">
        <v>53</v>
      </c>
      <c r="AD512" s="75" t="s">
        <v>53</v>
      </c>
      <c r="AE512" s="75" t="s">
        <v>53</v>
      </c>
      <c r="AF512" s="85" t="str">
        <f t="shared" ref="AF512:AO512" si="432">AE512</f>
        <v>overnight</v>
      </c>
      <c r="AG512" s="85" t="str">
        <f t="shared" si="432"/>
        <v>overnight</v>
      </c>
      <c r="AH512" s="85" t="str">
        <f t="shared" si="432"/>
        <v>overnight</v>
      </c>
      <c r="AI512" s="85" t="str">
        <f t="shared" si="432"/>
        <v>overnight</v>
      </c>
      <c r="AJ512" s="85" t="str">
        <f t="shared" si="432"/>
        <v>overnight</v>
      </c>
      <c r="AK512" s="85" t="str">
        <f t="shared" si="432"/>
        <v>overnight</v>
      </c>
      <c r="AL512" s="85" t="str">
        <f t="shared" si="432"/>
        <v>overnight</v>
      </c>
      <c r="AM512" s="85" t="str">
        <f t="shared" si="432"/>
        <v>overnight</v>
      </c>
      <c r="AN512" s="85" t="str">
        <f t="shared" si="432"/>
        <v>overnight</v>
      </c>
      <c r="AO512" s="85" t="str">
        <f t="shared" si="432"/>
        <v>overnight</v>
      </c>
    </row>
    <row r="513" spans="1:41" x14ac:dyDescent="0.35">
      <c r="A513" s="71" t="str">
        <f>A512</f>
        <v>overnight</v>
      </c>
      <c r="B513" s="72" t="s">
        <v>12</v>
      </c>
      <c r="C513" s="73" t="s">
        <v>41</v>
      </c>
      <c r="D513" s="73"/>
      <c r="E513" s="73" t="s">
        <v>53</v>
      </c>
      <c r="F513" s="73" t="s">
        <v>53</v>
      </c>
      <c r="G513" s="73" t="s">
        <v>53</v>
      </c>
      <c r="H513" s="73" t="s">
        <v>53</v>
      </c>
      <c r="I513" s="73" t="s">
        <v>53</v>
      </c>
      <c r="J513" s="73" t="s">
        <v>53</v>
      </c>
      <c r="K513" s="73" t="s">
        <v>53</v>
      </c>
      <c r="L513" s="73" t="s">
        <v>53</v>
      </c>
      <c r="M513" s="73" t="s">
        <v>53</v>
      </c>
      <c r="N513" s="73" t="s">
        <v>53</v>
      </c>
      <c r="O513" s="73" t="s">
        <v>53</v>
      </c>
      <c r="P513" s="73" t="s">
        <v>53</v>
      </c>
      <c r="Q513" s="73" t="s">
        <v>53</v>
      </c>
      <c r="R513" s="73" t="s">
        <v>53</v>
      </c>
      <c r="S513" s="73" t="s">
        <v>53</v>
      </c>
      <c r="T513" s="73" t="s">
        <v>53</v>
      </c>
      <c r="U513" s="73" t="s">
        <v>53</v>
      </c>
      <c r="V513" s="73" t="s">
        <v>53</v>
      </c>
      <c r="W513" s="73" t="s">
        <v>53</v>
      </c>
      <c r="X513" s="73" t="s">
        <v>53</v>
      </c>
      <c r="Y513" s="73" t="s">
        <v>53</v>
      </c>
      <c r="Z513" s="73" t="s">
        <v>53</v>
      </c>
      <c r="AA513" s="73" t="s">
        <v>53</v>
      </c>
      <c r="AB513" s="73" t="s">
        <v>53</v>
      </c>
      <c r="AC513" s="73" t="s">
        <v>53</v>
      </c>
      <c r="AD513" s="73" t="s">
        <v>53</v>
      </c>
      <c r="AE513" s="73" t="s">
        <v>53</v>
      </c>
      <c r="AF513" s="85" t="str">
        <f t="shared" ref="AF513:AO513" si="433">AE513</f>
        <v>overnight</v>
      </c>
      <c r="AG513" s="85" t="str">
        <f t="shared" si="433"/>
        <v>overnight</v>
      </c>
      <c r="AH513" s="85" t="str">
        <f t="shared" si="433"/>
        <v>overnight</v>
      </c>
      <c r="AI513" s="85" t="str">
        <f t="shared" si="433"/>
        <v>overnight</v>
      </c>
      <c r="AJ513" s="85" t="str">
        <f t="shared" si="433"/>
        <v>overnight</v>
      </c>
      <c r="AK513" s="85" t="str">
        <f t="shared" si="433"/>
        <v>overnight</v>
      </c>
      <c r="AL513" s="85" t="str">
        <f t="shared" si="433"/>
        <v>overnight</v>
      </c>
      <c r="AM513" s="85" t="str">
        <f t="shared" si="433"/>
        <v>overnight</v>
      </c>
      <c r="AN513" s="85" t="str">
        <f t="shared" si="433"/>
        <v>overnight</v>
      </c>
      <c r="AO513" s="85" t="str">
        <f t="shared" si="433"/>
        <v>overnight</v>
      </c>
    </row>
    <row r="514" spans="1:41" x14ac:dyDescent="0.35">
      <c r="A514" s="71" t="str">
        <f>A512</f>
        <v>overnight</v>
      </c>
      <c r="B514" s="68" t="s">
        <v>13</v>
      </c>
      <c r="C514" s="75" t="s">
        <v>41</v>
      </c>
      <c r="D514" s="75"/>
      <c r="E514" s="75" t="s">
        <v>53</v>
      </c>
      <c r="F514" s="75" t="s">
        <v>53</v>
      </c>
      <c r="G514" s="75" t="s">
        <v>53</v>
      </c>
      <c r="H514" s="75" t="s">
        <v>53</v>
      </c>
      <c r="I514" s="75" t="s">
        <v>53</v>
      </c>
      <c r="J514" s="75" t="s">
        <v>53</v>
      </c>
      <c r="K514" s="75" t="s">
        <v>53</v>
      </c>
      <c r="L514" s="75" t="s">
        <v>53</v>
      </c>
      <c r="M514" s="75" t="s">
        <v>53</v>
      </c>
      <c r="N514" s="75" t="s">
        <v>53</v>
      </c>
      <c r="O514" s="75" t="s">
        <v>53</v>
      </c>
      <c r="P514" s="75" t="s">
        <v>53</v>
      </c>
      <c r="Q514" s="75" t="s">
        <v>53</v>
      </c>
      <c r="R514" s="75" t="s">
        <v>53</v>
      </c>
      <c r="S514" s="75" t="s">
        <v>53</v>
      </c>
      <c r="T514" s="75" t="s">
        <v>53</v>
      </c>
      <c r="U514" s="75" t="s">
        <v>53</v>
      </c>
      <c r="V514" s="75" t="s">
        <v>53</v>
      </c>
      <c r="W514" s="75" t="s">
        <v>53</v>
      </c>
      <c r="X514" s="75" t="s">
        <v>53</v>
      </c>
      <c r="Y514" s="75" t="s">
        <v>53</v>
      </c>
      <c r="Z514" s="75" t="s">
        <v>53</v>
      </c>
      <c r="AA514" s="75" t="s">
        <v>53</v>
      </c>
      <c r="AB514" s="75" t="s">
        <v>53</v>
      </c>
      <c r="AC514" s="75" t="s">
        <v>53</v>
      </c>
      <c r="AD514" s="75" t="s">
        <v>53</v>
      </c>
      <c r="AE514" s="75" t="s">
        <v>53</v>
      </c>
      <c r="AF514" s="85" t="str">
        <f t="shared" ref="AF514:AO514" si="434">AE514</f>
        <v>overnight</v>
      </c>
      <c r="AG514" s="85" t="str">
        <f t="shared" si="434"/>
        <v>overnight</v>
      </c>
      <c r="AH514" s="85" t="str">
        <f t="shared" si="434"/>
        <v>overnight</v>
      </c>
      <c r="AI514" s="85" t="str">
        <f t="shared" si="434"/>
        <v>overnight</v>
      </c>
      <c r="AJ514" s="85" t="str">
        <f t="shared" si="434"/>
        <v>overnight</v>
      </c>
      <c r="AK514" s="85" t="str">
        <f t="shared" si="434"/>
        <v>overnight</v>
      </c>
      <c r="AL514" s="85" t="str">
        <f t="shared" si="434"/>
        <v>overnight</v>
      </c>
      <c r="AM514" s="85" t="str">
        <f t="shared" si="434"/>
        <v>overnight</v>
      </c>
      <c r="AN514" s="85" t="str">
        <f t="shared" si="434"/>
        <v>overnight</v>
      </c>
      <c r="AO514" s="85" t="str">
        <f t="shared" si="434"/>
        <v>overnight</v>
      </c>
    </row>
    <row r="515" spans="1:41" x14ac:dyDescent="0.35">
      <c r="A515" s="71" t="str">
        <f>A514</f>
        <v>overnight</v>
      </c>
      <c r="B515" s="72" t="s">
        <v>14</v>
      </c>
      <c r="C515" s="73" t="s">
        <v>41</v>
      </c>
      <c r="D515" s="73"/>
      <c r="E515" s="75" t="s">
        <v>53</v>
      </c>
      <c r="F515" s="75" t="s">
        <v>53</v>
      </c>
      <c r="G515" s="75" t="s">
        <v>53</v>
      </c>
      <c r="H515" s="75" t="s">
        <v>53</v>
      </c>
      <c r="I515" s="75" t="s">
        <v>53</v>
      </c>
      <c r="J515" s="75" t="s">
        <v>53</v>
      </c>
      <c r="K515" s="75" t="s">
        <v>53</v>
      </c>
      <c r="L515" s="75" t="s">
        <v>53</v>
      </c>
      <c r="M515" s="75" t="s">
        <v>53</v>
      </c>
      <c r="N515" s="75" t="s">
        <v>53</v>
      </c>
      <c r="O515" s="75" t="s">
        <v>53</v>
      </c>
      <c r="P515" s="75" t="s">
        <v>53</v>
      </c>
      <c r="Q515" s="75" t="s">
        <v>53</v>
      </c>
      <c r="R515" s="75" t="s">
        <v>53</v>
      </c>
      <c r="S515" s="75" t="s">
        <v>53</v>
      </c>
      <c r="T515" s="75" t="s">
        <v>53</v>
      </c>
      <c r="U515" s="75" t="s">
        <v>53</v>
      </c>
      <c r="V515" s="75" t="s">
        <v>53</v>
      </c>
      <c r="W515" s="75" t="s">
        <v>53</v>
      </c>
      <c r="X515" s="75" t="s">
        <v>53</v>
      </c>
      <c r="Y515" s="75" t="s">
        <v>53</v>
      </c>
      <c r="Z515" s="75" t="s">
        <v>53</v>
      </c>
      <c r="AA515" s="75" t="s">
        <v>53</v>
      </c>
      <c r="AB515" s="75" t="s">
        <v>53</v>
      </c>
      <c r="AC515" s="75" t="s">
        <v>53</v>
      </c>
      <c r="AD515" s="75" t="s">
        <v>53</v>
      </c>
      <c r="AE515" s="75" t="s">
        <v>53</v>
      </c>
      <c r="AF515" s="85" t="str">
        <f t="shared" ref="AF515:AO515" si="435">AE515</f>
        <v>overnight</v>
      </c>
      <c r="AG515" s="85" t="str">
        <f t="shared" si="435"/>
        <v>overnight</v>
      </c>
      <c r="AH515" s="85" t="str">
        <f t="shared" si="435"/>
        <v>overnight</v>
      </c>
      <c r="AI515" s="85" t="str">
        <f t="shared" si="435"/>
        <v>overnight</v>
      </c>
      <c r="AJ515" s="85" t="str">
        <f t="shared" si="435"/>
        <v>overnight</v>
      </c>
      <c r="AK515" s="85" t="str">
        <f t="shared" si="435"/>
        <v>overnight</v>
      </c>
      <c r="AL515" s="85" t="str">
        <f t="shared" si="435"/>
        <v>overnight</v>
      </c>
      <c r="AM515" s="85" t="str">
        <f t="shared" si="435"/>
        <v>overnight</v>
      </c>
      <c r="AN515" s="85" t="str">
        <f t="shared" si="435"/>
        <v>overnight</v>
      </c>
      <c r="AO515" s="85" t="str">
        <f t="shared" si="435"/>
        <v>overnight</v>
      </c>
    </row>
    <row r="516" spans="1:41" x14ac:dyDescent="0.35">
      <c r="A516" s="186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  <c r="AB516" s="187"/>
      <c r="AC516" s="187"/>
      <c r="AD516" s="187"/>
      <c r="AE516" s="187"/>
      <c r="AF516" s="187"/>
      <c r="AG516" s="187"/>
      <c r="AH516" s="187"/>
      <c r="AI516" s="187"/>
      <c r="AJ516" s="187"/>
      <c r="AK516" s="187"/>
      <c r="AL516" s="187"/>
      <c r="AM516" s="187"/>
      <c r="AN516" s="187"/>
      <c r="AO516" s="187"/>
    </row>
    <row r="517" spans="1:41" x14ac:dyDescent="0.35">
      <c r="A517" s="186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  <c r="AB517" s="187"/>
      <c r="AC517" s="187"/>
      <c r="AD517" s="187"/>
      <c r="AE517" s="187"/>
      <c r="AF517" s="187"/>
      <c r="AG517" s="187"/>
      <c r="AH517" s="187"/>
      <c r="AI517" s="187"/>
      <c r="AJ517" s="187"/>
      <c r="AK517" s="187"/>
      <c r="AL517" s="187"/>
      <c r="AM517" s="187"/>
      <c r="AN517" s="187"/>
      <c r="AO517" s="187"/>
    </row>
    <row r="518" spans="1:41" x14ac:dyDescent="0.35">
      <c r="A518" s="186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  <c r="AB518" s="187"/>
      <c r="AC518" s="187"/>
      <c r="AD518" s="187"/>
      <c r="AE518" s="187"/>
      <c r="AF518" s="187"/>
      <c r="AG518" s="187"/>
      <c r="AH518" s="187"/>
      <c r="AI518" s="187"/>
      <c r="AJ518" s="187"/>
      <c r="AK518" s="187"/>
      <c r="AL518" s="187"/>
      <c r="AM518" s="187"/>
      <c r="AN518" s="187"/>
      <c r="AO518" s="187"/>
    </row>
  </sheetData>
  <autoFilter ref="A1:C515" xr:uid="{00000000-0009-0000-0000-000002000000}"/>
  <phoneticPr fontId="12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27"/>
  <sheetViews>
    <sheetView zoomScale="85" zoomScaleNormal="85" workbookViewId="0">
      <pane ySplit="1" topLeftCell="A95" activePane="bottomLeft" state="frozen"/>
      <selection pane="bottomLeft" activeCell="L130" sqref="L130"/>
    </sheetView>
  </sheetViews>
  <sheetFormatPr defaultColWidth="8.6328125" defaultRowHeight="14.5" x14ac:dyDescent="0.35"/>
  <cols>
    <col min="1" max="1" width="38.81640625" customWidth="1"/>
    <col min="2" max="2" width="13.6328125" style="18" customWidth="1"/>
    <col min="3" max="3" width="14.453125" style="18" customWidth="1"/>
    <col min="4" max="4" width="14.36328125" style="18" customWidth="1"/>
    <col min="5" max="5" width="19.453125" style="8" customWidth="1"/>
    <col min="6" max="6" width="16.453125" style="8" customWidth="1"/>
    <col min="7" max="9" width="5.6328125" style="8" hidden="1" customWidth="1"/>
    <col min="10" max="10" width="5.81640625" style="8" hidden="1" customWidth="1"/>
    <col min="11" max="11" width="6" style="8" hidden="1" customWidth="1"/>
    <col min="12" max="15" width="6" style="8" customWidth="1"/>
    <col min="16" max="21" width="7.08984375" style="8" customWidth="1"/>
    <col min="22" max="22" width="7" style="8" customWidth="1"/>
    <col min="23" max="26" width="8.08984375" style="8" customWidth="1"/>
    <col min="27" max="27" width="6.453125" style="8" customWidth="1"/>
    <col min="28" max="36" width="8.08984375" style="8" customWidth="1"/>
    <col min="37" max="37" width="7.6328125" style="8" customWidth="1"/>
  </cols>
  <sheetData>
    <row r="1" spans="1:47" ht="20.25" customHeight="1" x14ac:dyDescent="0.35">
      <c r="A1" s="2" t="s">
        <v>34</v>
      </c>
      <c r="B1" s="19" t="s">
        <v>83</v>
      </c>
      <c r="C1" s="19" t="s">
        <v>84</v>
      </c>
      <c r="D1" s="19" t="s">
        <v>0</v>
      </c>
      <c r="E1" s="3" t="s">
        <v>1</v>
      </c>
      <c r="F1" s="3" t="s">
        <v>2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3">
        <f t="shared" ref="AL1:AU1" si="0">AK1+1</f>
        <v>2051</v>
      </c>
      <c r="AM1" s="3">
        <f t="shared" si="0"/>
        <v>2052</v>
      </c>
      <c r="AN1" s="3">
        <f t="shared" si="0"/>
        <v>2053</v>
      </c>
      <c r="AO1" s="3">
        <f t="shared" si="0"/>
        <v>2054</v>
      </c>
      <c r="AP1" s="3">
        <f t="shared" si="0"/>
        <v>2055</v>
      </c>
      <c r="AQ1" s="3">
        <f t="shared" si="0"/>
        <v>2056</v>
      </c>
      <c r="AR1" s="3">
        <f t="shared" si="0"/>
        <v>2057</v>
      </c>
      <c r="AS1" s="3">
        <f t="shared" si="0"/>
        <v>2058</v>
      </c>
      <c r="AT1" s="3">
        <f t="shared" si="0"/>
        <v>2059</v>
      </c>
      <c r="AU1" s="3">
        <f t="shared" si="0"/>
        <v>2060</v>
      </c>
    </row>
    <row r="2" spans="1:47" ht="15.5" x14ac:dyDescent="0.35">
      <c r="A2" s="170" t="s">
        <v>87</v>
      </c>
      <c r="B2" s="28">
        <v>1</v>
      </c>
      <c r="C2" s="28" t="s">
        <v>85</v>
      </c>
      <c r="D2" s="28" t="s">
        <v>7</v>
      </c>
      <c r="E2" s="15" t="s">
        <v>10</v>
      </c>
      <c r="F2" s="15" t="s">
        <v>9</v>
      </c>
      <c r="G2" s="22"/>
      <c r="H2" s="22"/>
      <c r="I2" s="22"/>
      <c r="J2" s="22"/>
      <c r="K2" s="22"/>
      <c r="L2" s="22" t="s">
        <v>86</v>
      </c>
      <c r="M2" s="22" t="s">
        <v>86</v>
      </c>
      <c r="N2" s="22" t="s">
        <v>86</v>
      </c>
      <c r="O2" s="22" t="s">
        <v>86</v>
      </c>
      <c r="P2" s="22" t="s">
        <v>86</v>
      </c>
      <c r="Q2" s="22" t="s">
        <v>86</v>
      </c>
      <c r="R2" s="22" t="s">
        <v>86</v>
      </c>
      <c r="S2" s="22" t="s">
        <v>86</v>
      </c>
      <c r="T2" s="22" t="s">
        <v>86</v>
      </c>
      <c r="U2" s="22" t="s">
        <v>86</v>
      </c>
      <c r="V2" s="22" t="s">
        <v>86</v>
      </c>
      <c r="W2" s="22" t="s">
        <v>86</v>
      </c>
      <c r="X2" s="22" t="s">
        <v>86</v>
      </c>
      <c r="Y2" s="22" t="s">
        <v>86</v>
      </c>
      <c r="Z2" s="22" t="s">
        <v>86</v>
      </c>
      <c r="AA2" s="22" t="s">
        <v>86</v>
      </c>
      <c r="AB2" s="22" t="s">
        <v>86</v>
      </c>
      <c r="AC2" s="22" t="s">
        <v>86</v>
      </c>
      <c r="AD2" s="22" t="s">
        <v>86</v>
      </c>
      <c r="AE2" s="22" t="s">
        <v>86</v>
      </c>
      <c r="AF2" s="22" t="s">
        <v>86</v>
      </c>
      <c r="AG2" s="22" t="s">
        <v>86</v>
      </c>
      <c r="AH2" s="22" t="s">
        <v>86</v>
      </c>
      <c r="AI2" s="22" t="s">
        <v>86</v>
      </c>
      <c r="AJ2" s="22" t="s">
        <v>86</v>
      </c>
      <c r="AK2" s="22" t="s">
        <v>86</v>
      </c>
      <c r="AL2" s="22" t="str">
        <f t="shared" ref="AL2:AU2" si="1">AK2</f>
        <v>unc</v>
      </c>
      <c r="AM2" s="22" t="str">
        <f t="shared" si="1"/>
        <v>unc</v>
      </c>
      <c r="AN2" s="22" t="str">
        <f t="shared" si="1"/>
        <v>unc</v>
      </c>
      <c r="AO2" s="22" t="str">
        <f t="shared" si="1"/>
        <v>unc</v>
      </c>
      <c r="AP2" s="22" t="str">
        <f t="shared" si="1"/>
        <v>unc</v>
      </c>
      <c r="AQ2" s="22" t="str">
        <f t="shared" si="1"/>
        <v>unc</v>
      </c>
      <c r="AR2" s="22" t="str">
        <f t="shared" si="1"/>
        <v>unc</v>
      </c>
      <c r="AS2" s="22" t="str">
        <f t="shared" si="1"/>
        <v>unc</v>
      </c>
      <c r="AT2" s="22" t="str">
        <f t="shared" si="1"/>
        <v>unc</v>
      </c>
      <c r="AU2" s="22" t="str">
        <f t="shared" si="1"/>
        <v>unc</v>
      </c>
    </row>
    <row r="3" spans="1:47" ht="15.5" x14ac:dyDescent="0.35">
      <c r="A3" s="170" t="str">
        <f t="shared" ref="A3:A14" si="2">A2</f>
        <v>LEAST_CNST</v>
      </c>
      <c r="B3" s="29">
        <v>1</v>
      </c>
      <c r="C3" s="29" t="s">
        <v>85</v>
      </c>
      <c r="D3" s="29" t="s">
        <v>7</v>
      </c>
      <c r="E3" s="14" t="s">
        <v>11</v>
      </c>
      <c r="F3" s="14" t="s">
        <v>9</v>
      </c>
      <c r="G3" s="22"/>
      <c r="H3" s="22"/>
      <c r="I3" s="22"/>
      <c r="J3" s="22"/>
      <c r="K3" s="22"/>
      <c r="L3" s="22" t="s">
        <v>86</v>
      </c>
      <c r="M3" s="22" t="s">
        <v>86</v>
      </c>
      <c r="N3" s="22" t="s">
        <v>86</v>
      </c>
      <c r="O3" s="22" t="s">
        <v>86</v>
      </c>
      <c r="P3" s="22" t="s">
        <v>86</v>
      </c>
      <c r="Q3" s="22" t="s">
        <v>86</v>
      </c>
      <c r="R3" s="22" t="s">
        <v>86</v>
      </c>
      <c r="S3" s="22" t="str">
        <f t="shared" ref="S3:AK3" si="3">R3</f>
        <v>unc</v>
      </c>
      <c r="T3" s="22" t="str">
        <f t="shared" si="3"/>
        <v>unc</v>
      </c>
      <c r="U3" s="22" t="str">
        <f t="shared" si="3"/>
        <v>unc</v>
      </c>
      <c r="V3" s="22" t="str">
        <f t="shared" si="3"/>
        <v>unc</v>
      </c>
      <c r="W3" s="22" t="str">
        <f t="shared" si="3"/>
        <v>unc</v>
      </c>
      <c r="X3" s="22" t="str">
        <f t="shared" si="3"/>
        <v>unc</v>
      </c>
      <c r="Y3" s="22" t="str">
        <f t="shared" si="3"/>
        <v>unc</v>
      </c>
      <c r="Z3" s="22" t="str">
        <f t="shared" si="3"/>
        <v>unc</v>
      </c>
      <c r="AA3" s="22" t="str">
        <f t="shared" si="3"/>
        <v>unc</v>
      </c>
      <c r="AB3" s="22" t="str">
        <f t="shared" si="3"/>
        <v>unc</v>
      </c>
      <c r="AC3" s="22" t="str">
        <f t="shared" si="3"/>
        <v>unc</v>
      </c>
      <c r="AD3" s="22" t="str">
        <f t="shared" si="3"/>
        <v>unc</v>
      </c>
      <c r="AE3" s="22" t="str">
        <f t="shared" si="3"/>
        <v>unc</v>
      </c>
      <c r="AF3" s="22" t="str">
        <f t="shared" si="3"/>
        <v>unc</v>
      </c>
      <c r="AG3" s="22" t="str">
        <f t="shared" si="3"/>
        <v>unc</v>
      </c>
      <c r="AH3" s="22" t="str">
        <f t="shared" si="3"/>
        <v>unc</v>
      </c>
      <c r="AI3" s="22" t="str">
        <f t="shared" si="3"/>
        <v>unc</v>
      </c>
      <c r="AJ3" s="22" t="str">
        <f t="shared" si="3"/>
        <v>unc</v>
      </c>
      <c r="AK3" s="22" t="str">
        <f t="shared" si="3"/>
        <v>unc</v>
      </c>
      <c r="AL3" s="22" t="str">
        <f t="shared" ref="AL3:AU3" si="4">AK3</f>
        <v>unc</v>
      </c>
      <c r="AM3" s="22" t="str">
        <f t="shared" si="4"/>
        <v>unc</v>
      </c>
      <c r="AN3" s="22" t="str">
        <f t="shared" si="4"/>
        <v>unc</v>
      </c>
      <c r="AO3" s="22" t="str">
        <f t="shared" si="4"/>
        <v>unc</v>
      </c>
      <c r="AP3" s="22" t="str">
        <f t="shared" si="4"/>
        <v>unc</v>
      </c>
      <c r="AQ3" s="22" t="str">
        <f t="shared" si="4"/>
        <v>unc</v>
      </c>
      <c r="AR3" s="22" t="str">
        <f t="shared" si="4"/>
        <v>unc</v>
      </c>
      <c r="AS3" s="22" t="str">
        <f t="shared" si="4"/>
        <v>unc</v>
      </c>
      <c r="AT3" s="22" t="str">
        <f t="shared" si="4"/>
        <v>unc</v>
      </c>
      <c r="AU3" s="22" t="str">
        <f t="shared" si="4"/>
        <v>unc</v>
      </c>
    </row>
    <row r="4" spans="1:47" ht="15.5" x14ac:dyDescent="0.35">
      <c r="A4" s="170" t="str">
        <f t="shared" si="2"/>
        <v>LEAST_CNST</v>
      </c>
      <c r="B4" s="28">
        <v>1</v>
      </c>
      <c r="C4" s="28" t="s">
        <v>85</v>
      </c>
      <c r="D4" s="28" t="s">
        <v>7</v>
      </c>
      <c r="E4" s="15" t="s">
        <v>8</v>
      </c>
      <c r="F4" s="15" t="s">
        <v>9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f>min_total_installed!G2</f>
        <v>4624</v>
      </c>
      <c r="M4" s="22">
        <f>min_total_installed!H2</f>
        <v>5299</v>
      </c>
      <c r="N4" s="22">
        <f>min_total_installed!I2</f>
        <v>5974</v>
      </c>
      <c r="O4" s="22">
        <f>min_total_installed!J2</f>
        <v>6649</v>
      </c>
      <c r="P4" s="22">
        <f>min_total_installed!K2</f>
        <v>7324</v>
      </c>
      <c r="Q4" s="22">
        <f>min_total_installed!L2</f>
        <v>7999</v>
      </c>
      <c r="R4" s="22">
        <f>min_total_installed!M2</f>
        <v>8674</v>
      </c>
      <c r="S4" s="22">
        <f>min_total_installed!N2</f>
        <v>9349</v>
      </c>
      <c r="T4" s="22">
        <f>min_total_installed!O2</f>
        <v>10024</v>
      </c>
      <c r="U4" s="22">
        <f>min_total_installed!P2</f>
        <v>10699</v>
      </c>
      <c r="V4" s="22">
        <f>min_total_installed!Q2</f>
        <v>11374</v>
      </c>
      <c r="W4" s="22">
        <f>min_total_installed!R2</f>
        <v>11374</v>
      </c>
      <c r="X4" s="22">
        <f>min_total_installed!S2</f>
        <v>11374</v>
      </c>
      <c r="Y4" s="22">
        <f>min_total_installed!T2</f>
        <v>11374</v>
      </c>
      <c r="Z4" s="22">
        <f>min_total_installed!U2</f>
        <v>11374</v>
      </c>
      <c r="AA4" s="22">
        <f>min_total_installed!V2</f>
        <v>11374</v>
      </c>
      <c r="AB4" s="22">
        <f>min_total_installed!W2</f>
        <v>11374</v>
      </c>
      <c r="AC4" s="22">
        <f>min_total_installed!X2</f>
        <v>11374</v>
      </c>
      <c r="AD4" s="22">
        <f>min_total_installed!Y2</f>
        <v>11374</v>
      </c>
      <c r="AE4" s="22">
        <f>min_total_installed!Z2</f>
        <v>11374</v>
      </c>
      <c r="AF4" s="22">
        <f>min_total_installed!AA2</f>
        <v>11374</v>
      </c>
      <c r="AG4" s="22">
        <f>min_total_installed!AB2</f>
        <v>11374</v>
      </c>
      <c r="AH4" s="22">
        <f>min_total_installed!AC2</f>
        <v>11374</v>
      </c>
      <c r="AI4" s="22">
        <f>min_total_installed!AD2</f>
        <v>11374</v>
      </c>
      <c r="AJ4" s="22">
        <f>min_total_installed!AE2</f>
        <v>11374</v>
      </c>
      <c r="AK4" s="22">
        <f>min_total_installed!AF2</f>
        <v>11374</v>
      </c>
      <c r="AL4" s="22">
        <f>min_total_installed!AG2</f>
        <v>11374</v>
      </c>
      <c r="AM4" s="22">
        <f>min_total_installed!AH2</f>
        <v>11374</v>
      </c>
      <c r="AN4" s="22">
        <f>min_total_installed!AI2</f>
        <v>11374</v>
      </c>
      <c r="AO4" s="22">
        <f>min_total_installed!AJ2</f>
        <v>11374</v>
      </c>
      <c r="AP4" s="22">
        <f>min_total_installed!AK2</f>
        <v>11374</v>
      </c>
      <c r="AQ4" s="22">
        <f>min_total_installed!AL2</f>
        <v>11374</v>
      </c>
      <c r="AR4" s="22">
        <f>min_total_installed!AM2</f>
        <v>11374</v>
      </c>
      <c r="AS4" s="22">
        <f>min_total_installed!AN2</f>
        <v>11374</v>
      </c>
      <c r="AT4" s="22">
        <f>min_total_installed!AO2</f>
        <v>11374</v>
      </c>
      <c r="AU4" s="22">
        <f>min_total_installed!AP2</f>
        <v>11374</v>
      </c>
    </row>
    <row r="5" spans="1:47" ht="15.5" x14ac:dyDescent="0.35">
      <c r="A5" s="170" t="str">
        <f t="shared" si="2"/>
        <v>LEAST_CNST</v>
      </c>
      <c r="B5" s="29">
        <v>1</v>
      </c>
      <c r="C5" s="29" t="s">
        <v>85</v>
      </c>
      <c r="D5" s="29" t="s">
        <v>7</v>
      </c>
      <c r="E5" s="14" t="s">
        <v>12</v>
      </c>
      <c r="F5" s="14" t="s">
        <v>9</v>
      </c>
      <c r="G5" s="22"/>
      <c r="H5" s="22"/>
      <c r="I5" s="22"/>
      <c r="J5" s="22"/>
      <c r="K5" s="22"/>
      <c r="L5" s="22" t="s">
        <v>86</v>
      </c>
      <c r="M5" s="22" t="s">
        <v>86</v>
      </c>
      <c r="N5" s="22" t="s">
        <v>86</v>
      </c>
      <c r="O5" s="22" t="s">
        <v>86</v>
      </c>
      <c r="P5" s="22" t="s">
        <v>86</v>
      </c>
      <c r="Q5" s="22" t="s">
        <v>86</v>
      </c>
      <c r="R5" s="22" t="s">
        <v>86</v>
      </c>
      <c r="S5" s="22" t="str">
        <f t="shared" ref="S5:U15" si="5">R5</f>
        <v>unc</v>
      </c>
      <c r="T5" s="22" t="str">
        <f t="shared" si="5"/>
        <v>unc</v>
      </c>
      <c r="U5" s="22" t="str">
        <f t="shared" si="5"/>
        <v>unc</v>
      </c>
      <c r="V5" s="22" t="str">
        <f t="shared" ref="V5:AK5" si="6">U5</f>
        <v>unc</v>
      </c>
      <c r="W5" s="22" t="str">
        <f t="shared" si="6"/>
        <v>unc</v>
      </c>
      <c r="X5" s="22" t="str">
        <f t="shared" si="6"/>
        <v>unc</v>
      </c>
      <c r="Y5" s="22" t="str">
        <f t="shared" si="6"/>
        <v>unc</v>
      </c>
      <c r="Z5" s="22" t="str">
        <f t="shared" si="6"/>
        <v>unc</v>
      </c>
      <c r="AA5" s="22" t="str">
        <f t="shared" si="6"/>
        <v>unc</v>
      </c>
      <c r="AB5" s="22" t="str">
        <f t="shared" si="6"/>
        <v>unc</v>
      </c>
      <c r="AC5" s="22" t="str">
        <f t="shared" si="6"/>
        <v>unc</v>
      </c>
      <c r="AD5" s="22" t="str">
        <f t="shared" si="6"/>
        <v>unc</v>
      </c>
      <c r="AE5" s="22" t="str">
        <f t="shared" si="6"/>
        <v>unc</v>
      </c>
      <c r="AF5" s="22" t="str">
        <f t="shared" si="6"/>
        <v>unc</v>
      </c>
      <c r="AG5" s="22" t="str">
        <f t="shared" si="6"/>
        <v>unc</v>
      </c>
      <c r="AH5" s="22" t="str">
        <f t="shared" si="6"/>
        <v>unc</v>
      </c>
      <c r="AI5" s="22" t="str">
        <f t="shared" si="6"/>
        <v>unc</v>
      </c>
      <c r="AJ5" s="22" t="str">
        <f t="shared" si="6"/>
        <v>unc</v>
      </c>
      <c r="AK5" s="22" t="str">
        <f t="shared" si="6"/>
        <v>unc</v>
      </c>
      <c r="AL5" s="22" t="str">
        <f t="shared" ref="AL5:AU5" si="7">AK5</f>
        <v>unc</v>
      </c>
      <c r="AM5" s="22" t="str">
        <f t="shared" si="7"/>
        <v>unc</v>
      </c>
      <c r="AN5" s="22" t="str">
        <f t="shared" si="7"/>
        <v>unc</v>
      </c>
      <c r="AO5" s="22" t="str">
        <f t="shared" si="7"/>
        <v>unc</v>
      </c>
      <c r="AP5" s="22" t="str">
        <f t="shared" si="7"/>
        <v>unc</v>
      </c>
      <c r="AQ5" s="22" t="str">
        <f t="shared" si="7"/>
        <v>unc</v>
      </c>
      <c r="AR5" s="22" t="str">
        <f t="shared" si="7"/>
        <v>unc</v>
      </c>
      <c r="AS5" s="22" t="str">
        <f t="shared" si="7"/>
        <v>unc</v>
      </c>
      <c r="AT5" s="22" t="str">
        <f t="shared" si="7"/>
        <v>unc</v>
      </c>
      <c r="AU5" s="22" t="str">
        <f t="shared" si="7"/>
        <v>unc</v>
      </c>
    </row>
    <row r="6" spans="1:47" ht="15.5" x14ac:dyDescent="0.35">
      <c r="A6" s="170" t="str">
        <f t="shared" si="2"/>
        <v>LEAST_CNST</v>
      </c>
      <c r="B6" s="28">
        <v>1</v>
      </c>
      <c r="C6" s="28" t="s">
        <v>85</v>
      </c>
      <c r="D6" s="28" t="s">
        <v>7</v>
      </c>
      <c r="E6" s="15" t="s">
        <v>13</v>
      </c>
      <c r="F6" s="15" t="s">
        <v>9</v>
      </c>
      <c r="G6" s="22"/>
      <c r="H6" s="22"/>
      <c r="I6" s="22"/>
      <c r="J6" s="22"/>
      <c r="K6" s="22"/>
      <c r="L6" s="22" t="s">
        <v>86</v>
      </c>
      <c r="M6" s="22" t="s">
        <v>86</v>
      </c>
      <c r="N6" s="22" t="s">
        <v>86</v>
      </c>
      <c r="O6" s="22" t="s">
        <v>86</v>
      </c>
      <c r="P6" s="22" t="s">
        <v>86</v>
      </c>
      <c r="Q6" s="22">
        <v>11000</v>
      </c>
      <c r="R6" s="22" t="s">
        <v>86</v>
      </c>
      <c r="S6" s="22" t="str">
        <f t="shared" si="5"/>
        <v>unc</v>
      </c>
      <c r="T6" s="22" t="str">
        <f t="shared" si="5"/>
        <v>unc</v>
      </c>
      <c r="U6" s="22" t="str">
        <f t="shared" si="5"/>
        <v>unc</v>
      </c>
      <c r="V6" s="22" t="str">
        <f t="shared" ref="V6:AK6" si="8">U6</f>
        <v>unc</v>
      </c>
      <c r="W6" s="22" t="str">
        <f t="shared" si="8"/>
        <v>unc</v>
      </c>
      <c r="X6" s="22" t="str">
        <f t="shared" si="8"/>
        <v>unc</v>
      </c>
      <c r="Y6" s="22" t="str">
        <f t="shared" si="8"/>
        <v>unc</v>
      </c>
      <c r="Z6" s="22" t="str">
        <f t="shared" si="8"/>
        <v>unc</v>
      </c>
      <c r="AA6" s="22" t="str">
        <f t="shared" si="8"/>
        <v>unc</v>
      </c>
      <c r="AB6" s="22" t="str">
        <f t="shared" si="8"/>
        <v>unc</v>
      </c>
      <c r="AC6" s="22" t="str">
        <f t="shared" si="8"/>
        <v>unc</v>
      </c>
      <c r="AD6" s="22" t="str">
        <f t="shared" si="8"/>
        <v>unc</v>
      </c>
      <c r="AE6" s="22" t="str">
        <f t="shared" si="8"/>
        <v>unc</v>
      </c>
      <c r="AF6" s="22" t="str">
        <f t="shared" si="8"/>
        <v>unc</v>
      </c>
      <c r="AG6" s="22" t="str">
        <f t="shared" si="8"/>
        <v>unc</v>
      </c>
      <c r="AH6" s="22" t="str">
        <f t="shared" si="8"/>
        <v>unc</v>
      </c>
      <c r="AI6" s="22" t="str">
        <f t="shared" si="8"/>
        <v>unc</v>
      </c>
      <c r="AJ6" s="22" t="str">
        <f t="shared" si="8"/>
        <v>unc</v>
      </c>
      <c r="AK6" s="22" t="str">
        <f t="shared" si="8"/>
        <v>unc</v>
      </c>
      <c r="AL6" s="22" t="str">
        <f t="shared" ref="AL6:AU6" si="9">AK6</f>
        <v>unc</v>
      </c>
      <c r="AM6" s="22" t="str">
        <f t="shared" si="9"/>
        <v>unc</v>
      </c>
      <c r="AN6" s="22" t="str">
        <f t="shared" si="9"/>
        <v>unc</v>
      </c>
      <c r="AO6" s="22" t="str">
        <f t="shared" si="9"/>
        <v>unc</v>
      </c>
      <c r="AP6" s="22" t="str">
        <f t="shared" si="9"/>
        <v>unc</v>
      </c>
      <c r="AQ6" s="22" t="str">
        <f t="shared" si="9"/>
        <v>unc</v>
      </c>
      <c r="AR6" s="22" t="str">
        <f t="shared" si="9"/>
        <v>unc</v>
      </c>
      <c r="AS6" s="22" t="str">
        <f t="shared" si="9"/>
        <v>unc</v>
      </c>
      <c r="AT6" s="22" t="str">
        <f t="shared" si="9"/>
        <v>unc</v>
      </c>
      <c r="AU6" s="22" t="str">
        <f t="shared" si="9"/>
        <v>unc</v>
      </c>
    </row>
    <row r="7" spans="1:47" ht="15.5" x14ac:dyDescent="0.35">
      <c r="A7" s="170" t="str">
        <f t="shared" si="2"/>
        <v>LEAST_CNST</v>
      </c>
      <c r="B7" s="29">
        <v>1</v>
      </c>
      <c r="C7" s="29" t="s">
        <v>85</v>
      </c>
      <c r="D7" s="29" t="s">
        <v>7</v>
      </c>
      <c r="E7" s="14" t="s">
        <v>14</v>
      </c>
      <c r="F7" s="14" t="s">
        <v>9</v>
      </c>
      <c r="G7" s="22"/>
      <c r="H7" s="22"/>
      <c r="I7" s="22"/>
      <c r="J7" s="22"/>
      <c r="K7" s="22"/>
      <c r="L7" s="22" t="s">
        <v>86</v>
      </c>
      <c r="M7" s="22" t="s">
        <v>86</v>
      </c>
      <c r="N7" s="22" t="s">
        <v>86</v>
      </c>
      <c r="O7" s="22" t="s">
        <v>86</v>
      </c>
      <c r="P7" s="22" t="s">
        <v>86</v>
      </c>
      <c r="Q7" s="22" t="s">
        <v>86</v>
      </c>
      <c r="R7" s="22" t="s">
        <v>86</v>
      </c>
      <c r="S7" s="22" t="str">
        <f t="shared" si="5"/>
        <v>unc</v>
      </c>
      <c r="T7" s="22" t="str">
        <f t="shared" si="5"/>
        <v>unc</v>
      </c>
      <c r="U7" s="22" t="str">
        <f t="shared" si="5"/>
        <v>unc</v>
      </c>
      <c r="V7" s="22" t="str">
        <f t="shared" ref="V7:AK7" si="10">U7</f>
        <v>unc</v>
      </c>
      <c r="W7" s="22" t="str">
        <f t="shared" si="10"/>
        <v>unc</v>
      </c>
      <c r="X7" s="22" t="str">
        <f t="shared" si="10"/>
        <v>unc</v>
      </c>
      <c r="Y7" s="22" t="str">
        <f t="shared" si="10"/>
        <v>unc</v>
      </c>
      <c r="Z7" s="22" t="str">
        <f t="shared" si="10"/>
        <v>unc</v>
      </c>
      <c r="AA7" s="22" t="str">
        <f t="shared" si="10"/>
        <v>unc</v>
      </c>
      <c r="AB7" s="22" t="str">
        <f t="shared" si="10"/>
        <v>unc</v>
      </c>
      <c r="AC7" s="22" t="str">
        <f t="shared" si="10"/>
        <v>unc</v>
      </c>
      <c r="AD7" s="22" t="str">
        <f t="shared" si="10"/>
        <v>unc</v>
      </c>
      <c r="AE7" s="22" t="str">
        <f t="shared" si="10"/>
        <v>unc</v>
      </c>
      <c r="AF7" s="22" t="str">
        <f t="shared" si="10"/>
        <v>unc</v>
      </c>
      <c r="AG7" s="22" t="str">
        <f t="shared" si="10"/>
        <v>unc</v>
      </c>
      <c r="AH7" s="22" t="str">
        <f t="shared" si="10"/>
        <v>unc</v>
      </c>
      <c r="AI7" s="22" t="str">
        <f t="shared" si="10"/>
        <v>unc</v>
      </c>
      <c r="AJ7" s="22" t="str">
        <f t="shared" si="10"/>
        <v>unc</v>
      </c>
      <c r="AK7" s="22" t="str">
        <f t="shared" si="10"/>
        <v>unc</v>
      </c>
      <c r="AL7" s="22" t="str">
        <f t="shared" ref="AL7:AU7" si="11">AK7</f>
        <v>unc</v>
      </c>
      <c r="AM7" s="22" t="str">
        <f t="shared" si="11"/>
        <v>unc</v>
      </c>
      <c r="AN7" s="22" t="str">
        <f t="shared" si="11"/>
        <v>unc</v>
      </c>
      <c r="AO7" s="22" t="str">
        <f t="shared" si="11"/>
        <v>unc</v>
      </c>
      <c r="AP7" s="22" t="str">
        <f t="shared" si="11"/>
        <v>unc</v>
      </c>
      <c r="AQ7" s="22" t="str">
        <f t="shared" si="11"/>
        <v>unc</v>
      </c>
      <c r="AR7" s="22" t="str">
        <f t="shared" si="11"/>
        <v>unc</v>
      </c>
      <c r="AS7" s="22" t="str">
        <f t="shared" si="11"/>
        <v>unc</v>
      </c>
      <c r="AT7" s="22" t="str">
        <f t="shared" si="11"/>
        <v>unc</v>
      </c>
      <c r="AU7" s="22" t="str">
        <f t="shared" si="11"/>
        <v>unc</v>
      </c>
    </row>
    <row r="8" spans="1:47" ht="15.5" x14ac:dyDescent="0.35">
      <c r="A8" s="170" t="str">
        <f t="shared" si="2"/>
        <v>LEAST_CNST</v>
      </c>
      <c r="B8" s="28">
        <v>1</v>
      </c>
      <c r="C8" s="28" t="s">
        <v>85</v>
      </c>
      <c r="D8" s="28" t="s">
        <v>7</v>
      </c>
      <c r="E8" s="15" t="s">
        <v>15</v>
      </c>
      <c r="F8" s="15" t="s">
        <v>16</v>
      </c>
      <c r="G8" s="22"/>
      <c r="H8" s="22"/>
      <c r="I8" s="22"/>
      <c r="J8" s="22"/>
      <c r="K8" s="22"/>
      <c r="L8" s="22" t="s">
        <v>86</v>
      </c>
      <c r="M8" s="22" t="s">
        <v>86</v>
      </c>
      <c r="N8" s="22" t="s">
        <v>86</v>
      </c>
      <c r="O8" s="22" t="s">
        <v>86</v>
      </c>
      <c r="P8" s="22" t="s">
        <v>86</v>
      </c>
      <c r="Q8" s="22" t="s">
        <v>86</v>
      </c>
      <c r="R8" s="22" t="s">
        <v>86</v>
      </c>
      <c r="S8" s="22" t="str">
        <f t="shared" si="5"/>
        <v>unc</v>
      </c>
      <c r="T8" s="22" t="str">
        <f t="shared" si="5"/>
        <v>unc</v>
      </c>
      <c r="U8" s="22" t="str">
        <f t="shared" si="5"/>
        <v>unc</v>
      </c>
      <c r="V8" s="22" t="str">
        <f t="shared" ref="V8:AK8" si="12">U8</f>
        <v>unc</v>
      </c>
      <c r="W8" s="22" t="str">
        <f t="shared" si="12"/>
        <v>unc</v>
      </c>
      <c r="X8" s="22" t="str">
        <f t="shared" si="12"/>
        <v>unc</v>
      </c>
      <c r="Y8" s="22" t="str">
        <f t="shared" si="12"/>
        <v>unc</v>
      </c>
      <c r="Z8" s="22" t="str">
        <f t="shared" si="12"/>
        <v>unc</v>
      </c>
      <c r="AA8" s="22" t="str">
        <f t="shared" si="12"/>
        <v>unc</v>
      </c>
      <c r="AB8" s="22" t="str">
        <f t="shared" si="12"/>
        <v>unc</v>
      </c>
      <c r="AC8" s="22" t="str">
        <f t="shared" si="12"/>
        <v>unc</v>
      </c>
      <c r="AD8" s="22" t="str">
        <f t="shared" si="12"/>
        <v>unc</v>
      </c>
      <c r="AE8" s="22" t="str">
        <f t="shared" si="12"/>
        <v>unc</v>
      </c>
      <c r="AF8" s="22" t="str">
        <f t="shared" si="12"/>
        <v>unc</v>
      </c>
      <c r="AG8" s="22" t="str">
        <f t="shared" si="12"/>
        <v>unc</v>
      </c>
      <c r="AH8" s="22" t="str">
        <f t="shared" si="12"/>
        <v>unc</v>
      </c>
      <c r="AI8" s="22" t="str">
        <f t="shared" si="12"/>
        <v>unc</v>
      </c>
      <c r="AJ8" s="22" t="str">
        <f t="shared" si="12"/>
        <v>unc</v>
      </c>
      <c r="AK8" s="22" t="str">
        <f t="shared" si="12"/>
        <v>unc</v>
      </c>
      <c r="AL8" s="22" t="str">
        <f t="shared" ref="AL8:AU8" si="13">AK8</f>
        <v>unc</v>
      </c>
      <c r="AM8" s="22" t="str">
        <f t="shared" si="13"/>
        <v>unc</v>
      </c>
      <c r="AN8" s="22" t="str">
        <f t="shared" si="13"/>
        <v>unc</v>
      </c>
      <c r="AO8" s="22" t="str">
        <f t="shared" si="13"/>
        <v>unc</v>
      </c>
      <c r="AP8" s="22" t="str">
        <f t="shared" si="13"/>
        <v>unc</v>
      </c>
      <c r="AQ8" s="22" t="str">
        <f t="shared" si="13"/>
        <v>unc</v>
      </c>
      <c r="AR8" s="22" t="str">
        <f t="shared" si="13"/>
        <v>unc</v>
      </c>
      <c r="AS8" s="22" t="str">
        <f t="shared" si="13"/>
        <v>unc</v>
      </c>
      <c r="AT8" s="22" t="str">
        <f t="shared" si="13"/>
        <v>unc</v>
      </c>
      <c r="AU8" s="22" t="str">
        <f t="shared" si="13"/>
        <v>unc</v>
      </c>
    </row>
    <row r="9" spans="1:47" ht="15.5" x14ac:dyDescent="0.35">
      <c r="A9" s="170" t="str">
        <f t="shared" si="2"/>
        <v>LEAST_CNST</v>
      </c>
      <c r="B9" s="29">
        <v>1</v>
      </c>
      <c r="C9" s="29" t="s">
        <v>85</v>
      </c>
      <c r="D9" s="29" t="s">
        <v>7</v>
      </c>
      <c r="E9" s="14" t="s">
        <v>17</v>
      </c>
      <c r="F9" s="14" t="s">
        <v>16</v>
      </c>
      <c r="G9" s="22"/>
      <c r="H9" s="22"/>
      <c r="I9" s="22"/>
      <c r="J9" s="22"/>
      <c r="K9" s="22"/>
      <c r="L9" s="22" t="s">
        <v>86</v>
      </c>
      <c r="M9" s="22" t="s">
        <v>86</v>
      </c>
      <c r="N9" s="22" t="s">
        <v>86</v>
      </c>
      <c r="O9" s="22" t="s">
        <v>86</v>
      </c>
      <c r="P9" s="22" t="s">
        <v>86</v>
      </c>
      <c r="Q9" s="22" t="s">
        <v>86</v>
      </c>
      <c r="R9" s="22" t="s">
        <v>86</v>
      </c>
      <c r="S9" s="22" t="str">
        <f t="shared" si="5"/>
        <v>unc</v>
      </c>
      <c r="T9" s="22" t="str">
        <f t="shared" si="5"/>
        <v>unc</v>
      </c>
      <c r="U9" s="22" t="str">
        <f t="shared" si="5"/>
        <v>unc</v>
      </c>
      <c r="V9" s="22" t="str">
        <f t="shared" ref="V9:AK9" si="14">U9</f>
        <v>unc</v>
      </c>
      <c r="W9" s="22" t="str">
        <f t="shared" si="14"/>
        <v>unc</v>
      </c>
      <c r="X9" s="22" t="str">
        <f t="shared" si="14"/>
        <v>unc</v>
      </c>
      <c r="Y9" s="22" t="str">
        <f t="shared" si="14"/>
        <v>unc</v>
      </c>
      <c r="Z9" s="22" t="str">
        <f t="shared" si="14"/>
        <v>unc</v>
      </c>
      <c r="AA9" s="22" t="str">
        <f t="shared" si="14"/>
        <v>unc</v>
      </c>
      <c r="AB9" s="22" t="str">
        <f t="shared" si="14"/>
        <v>unc</v>
      </c>
      <c r="AC9" s="22" t="str">
        <f t="shared" si="14"/>
        <v>unc</v>
      </c>
      <c r="AD9" s="22" t="str">
        <f t="shared" si="14"/>
        <v>unc</v>
      </c>
      <c r="AE9" s="22" t="str">
        <f t="shared" si="14"/>
        <v>unc</v>
      </c>
      <c r="AF9" s="22" t="str">
        <f t="shared" si="14"/>
        <v>unc</v>
      </c>
      <c r="AG9" s="22" t="str">
        <f t="shared" si="14"/>
        <v>unc</v>
      </c>
      <c r="AH9" s="22" t="str">
        <f t="shared" si="14"/>
        <v>unc</v>
      </c>
      <c r="AI9" s="22" t="str">
        <f t="shared" si="14"/>
        <v>unc</v>
      </c>
      <c r="AJ9" s="22" t="str">
        <f t="shared" si="14"/>
        <v>unc</v>
      </c>
      <c r="AK9" s="22" t="str">
        <f t="shared" si="14"/>
        <v>unc</v>
      </c>
      <c r="AL9" s="22" t="str">
        <f t="shared" ref="AL9:AU9" si="15">AK9</f>
        <v>unc</v>
      </c>
      <c r="AM9" s="22" t="str">
        <f t="shared" si="15"/>
        <v>unc</v>
      </c>
      <c r="AN9" s="22" t="str">
        <f t="shared" si="15"/>
        <v>unc</v>
      </c>
      <c r="AO9" s="22" t="str">
        <f t="shared" si="15"/>
        <v>unc</v>
      </c>
      <c r="AP9" s="22" t="str">
        <f t="shared" si="15"/>
        <v>unc</v>
      </c>
      <c r="AQ9" s="22" t="str">
        <f t="shared" si="15"/>
        <v>unc</v>
      </c>
      <c r="AR9" s="22" t="str">
        <f t="shared" si="15"/>
        <v>unc</v>
      </c>
      <c r="AS9" s="22" t="str">
        <f t="shared" si="15"/>
        <v>unc</v>
      </c>
      <c r="AT9" s="22" t="str">
        <f t="shared" si="15"/>
        <v>unc</v>
      </c>
      <c r="AU9" s="22" t="str">
        <f t="shared" si="15"/>
        <v>unc</v>
      </c>
    </row>
    <row r="10" spans="1:47" ht="15.5" x14ac:dyDescent="0.35">
      <c r="A10" s="170" t="str">
        <f t="shared" si="2"/>
        <v>LEAST_CNST</v>
      </c>
      <c r="B10" s="28">
        <v>1</v>
      </c>
      <c r="C10" s="28" t="s">
        <v>85</v>
      </c>
      <c r="D10" s="28" t="s">
        <v>7</v>
      </c>
      <c r="E10" s="15" t="s">
        <v>18</v>
      </c>
      <c r="F10" s="15" t="s">
        <v>16</v>
      </c>
      <c r="G10" s="22"/>
      <c r="H10" s="22"/>
      <c r="I10" s="22"/>
      <c r="J10" s="22"/>
      <c r="K10" s="22"/>
      <c r="L10" s="22" t="s">
        <v>86</v>
      </c>
      <c r="M10" s="22" t="s">
        <v>86</v>
      </c>
      <c r="N10" s="22" t="s">
        <v>86</v>
      </c>
      <c r="O10" s="22" t="s">
        <v>86</v>
      </c>
      <c r="P10" s="22" t="s">
        <v>86</v>
      </c>
      <c r="Q10" s="22" t="s">
        <v>86</v>
      </c>
      <c r="R10" s="22" t="s">
        <v>86</v>
      </c>
      <c r="S10" s="22" t="str">
        <f t="shared" si="5"/>
        <v>unc</v>
      </c>
      <c r="T10" s="22" t="str">
        <f t="shared" si="5"/>
        <v>unc</v>
      </c>
      <c r="U10" s="22" t="str">
        <f t="shared" si="5"/>
        <v>unc</v>
      </c>
      <c r="V10" s="22" t="str">
        <f t="shared" ref="V10:AK10" si="16">U10</f>
        <v>unc</v>
      </c>
      <c r="W10" s="22" t="str">
        <f t="shared" si="16"/>
        <v>unc</v>
      </c>
      <c r="X10" s="22" t="str">
        <f t="shared" si="16"/>
        <v>unc</v>
      </c>
      <c r="Y10" s="22" t="str">
        <f t="shared" si="16"/>
        <v>unc</v>
      </c>
      <c r="Z10" s="22" t="str">
        <f t="shared" si="16"/>
        <v>unc</v>
      </c>
      <c r="AA10" s="22" t="str">
        <f t="shared" si="16"/>
        <v>unc</v>
      </c>
      <c r="AB10" s="22" t="str">
        <f t="shared" si="16"/>
        <v>unc</v>
      </c>
      <c r="AC10" s="22" t="str">
        <f t="shared" si="16"/>
        <v>unc</v>
      </c>
      <c r="AD10" s="22" t="str">
        <f t="shared" si="16"/>
        <v>unc</v>
      </c>
      <c r="AE10" s="22" t="str">
        <f t="shared" si="16"/>
        <v>unc</v>
      </c>
      <c r="AF10" s="22" t="str">
        <f t="shared" si="16"/>
        <v>unc</v>
      </c>
      <c r="AG10" s="22" t="str">
        <f t="shared" si="16"/>
        <v>unc</v>
      </c>
      <c r="AH10" s="22" t="str">
        <f t="shared" si="16"/>
        <v>unc</v>
      </c>
      <c r="AI10" s="22" t="str">
        <f t="shared" si="16"/>
        <v>unc</v>
      </c>
      <c r="AJ10" s="22" t="str">
        <f t="shared" si="16"/>
        <v>unc</v>
      </c>
      <c r="AK10" s="22" t="str">
        <f t="shared" si="16"/>
        <v>unc</v>
      </c>
      <c r="AL10" s="22" t="str">
        <f t="shared" ref="AL10:AU10" si="17">AK10</f>
        <v>unc</v>
      </c>
      <c r="AM10" s="22" t="str">
        <f t="shared" si="17"/>
        <v>unc</v>
      </c>
      <c r="AN10" s="22" t="str">
        <f t="shared" si="17"/>
        <v>unc</v>
      </c>
      <c r="AO10" s="22" t="str">
        <f t="shared" si="17"/>
        <v>unc</v>
      </c>
      <c r="AP10" s="22" t="str">
        <f t="shared" si="17"/>
        <v>unc</v>
      </c>
      <c r="AQ10" s="22" t="str">
        <f t="shared" si="17"/>
        <v>unc</v>
      </c>
      <c r="AR10" s="22" t="str">
        <f t="shared" si="17"/>
        <v>unc</v>
      </c>
      <c r="AS10" s="22" t="str">
        <f t="shared" si="17"/>
        <v>unc</v>
      </c>
      <c r="AT10" s="22" t="str">
        <f t="shared" si="17"/>
        <v>unc</v>
      </c>
      <c r="AU10" s="22" t="str">
        <f t="shared" si="17"/>
        <v>unc</v>
      </c>
    </row>
    <row r="11" spans="1:47" ht="15.5" x14ac:dyDescent="0.35">
      <c r="A11" s="170" t="str">
        <f t="shared" si="2"/>
        <v>LEAST_CNST</v>
      </c>
      <c r="B11" s="29">
        <v>1</v>
      </c>
      <c r="C11" s="29" t="s">
        <v>85</v>
      </c>
      <c r="D11" s="29" t="s">
        <v>7</v>
      </c>
      <c r="E11" s="14" t="s">
        <v>19</v>
      </c>
      <c r="F11" s="14" t="s">
        <v>16</v>
      </c>
      <c r="G11" s="22"/>
      <c r="H11" s="22"/>
      <c r="I11" s="22"/>
      <c r="J11" s="22"/>
      <c r="K11" s="22"/>
      <c r="L11" s="22" t="s">
        <v>86</v>
      </c>
      <c r="M11" s="22" t="s">
        <v>86</v>
      </c>
      <c r="N11" s="22" t="s">
        <v>86</v>
      </c>
      <c r="O11" s="22" t="s">
        <v>86</v>
      </c>
      <c r="P11" s="22" t="s">
        <v>86</v>
      </c>
      <c r="Q11" s="22" t="s">
        <v>86</v>
      </c>
      <c r="R11" s="22" t="s">
        <v>86</v>
      </c>
      <c r="S11" s="22" t="str">
        <f t="shared" si="5"/>
        <v>unc</v>
      </c>
      <c r="T11" s="22" t="str">
        <f t="shared" si="5"/>
        <v>unc</v>
      </c>
      <c r="U11" s="22" t="str">
        <f t="shared" si="5"/>
        <v>unc</v>
      </c>
      <c r="V11" s="22" t="str">
        <f t="shared" ref="V11:AK11" si="18">U11</f>
        <v>unc</v>
      </c>
      <c r="W11" s="22" t="str">
        <f t="shared" si="18"/>
        <v>unc</v>
      </c>
      <c r="X11" s="22" t="str">
        <f t="shared" si="18"/>
        <v>unc</v>
      </c>
      <c r="Y11" s="22" t="str">
        <f t="shared" si="18"/>
        <v>unc</v>
      </c>
      <c r="Z11" s="22" t="str">
        <f t="shared" si="18"/>
        <v>unc</v>
      </c>
      <c r="AA11" s="22" t="str">
        <f t="shared" si="18"/>
        <v>unc</v>
      </c>
      <c r="AB11" s="22" t="str">
        <f t="shared" si="18"/>
        <v>unc</v>
      </c>
      <c r="AC11" s="22" t="str">
        <f t="shared" si="18"/>
        <v>unc</v>
      </c>
      <c r="AD11" s="22" t="str">
        <f t="shared" si="18"/>
        <v>unc</v>
      </c>
      <c r="AE11" s="22" t="str">
        <f t="shared" si="18"/>
        <v>unc</v>
      </c>
      <c r="AF11" s="22" t="str">
        <f t="shared" si="18"/>
        <v>unc</v>
      </c>
      <c r="AG11" s="22" t="str">
        <f t="shared" si="18"/>
        <v>unc</v>
      </c>
      <c r="AH11" s="22" t="str">
        <f t="shared" si="18"/>
        <v>unc</v>
      </c>
      <c r="AI11" s="22" t="str">
        <f t="shared" si="18"/>
        <v>unc</v>
      </c>
      <c r="AJ11" s="22" t="str">
        <f t="shared" si="18"/>
        <v>unc</v>
      </c>
      <c r="AK11" s="22" t="str">
        <f t="shared" si="18"/>
        <v>unc</v>
      </c>
      <c r="AL11" s="22" t="str">
        <f t="shared" ref="AL11:AU11" si="19">AK11</f>
        <v>unc</v>
      </c>
      <c r="AM11" s="22" t="str">
        <f t="shared" si="19"/>
        <v>unc</v>
      </c>
      <c r="AN11" s="22" t="str">
        <f t="shared" si="19"/>
        <v>unc</v>
      </c>
      <c r="AO11" s="22" t="str">
        <f t="shared" si="19"/>
        <v>unc</v>
      </c>
      <c r="AP11" s="22" t="str">
        <f t="shared" si="19"/>
        <v>unc</v>
      </c>
      <c r="AQ11" s="22" t="str">
        <f t="shared" si="19"/>
        <v>unc</v>
      </c>
      <c r="AR11" s="22" t="str">
        <f t="shared" si="19"/>
        <v>unc</v>
      </c>
      <c r="AS11" s="22" t="str">
        <f t="shared" si="19"/>
        <v>unc</v>
      </c>
      <c r="AT11" s="22" t="str">
        <f t="shared" si="19"/>
        <v>unc</v>
      </c>
      <c r="AU11" s="22" t="str">
        <f t="shared" si="19"/>
        <v>unc</v>
      </c>
    </row>
    <row r="12" spans="1:47" ht="15.5" x14ac:dyDescent="0.35">
      <c r="A12" s="170" t="str">
        <f t="shared" si="2"/>
        <v>LEAST_CNST</v>
      </c>
      <c r="B12" s="28">
        <v>1</v>
      </c>
      <c r="C12" s="28" t="s">
        <v>85</v>
      </c>
      <c r="D12" s="28" t="s">
        <v>7</v>
      </c>
      <c r="E12" s="15" t="s">
        <v>20</v>
      </c>
      <c r="F12" s="15" t="s">
        <v>16</v>
      </c>
      <c r="G12" s="22"/>
      <c r="H12" s="22"/>
      <c r="I12" s="22"/>
      <c r="J12" s="22"/>
      <c r="K12" s="22"/>
      <c r="L12" s="22" t="s">
        <v>86</v>
      </c>
      <c r="M12" s="22" t="s">
        <v>86</v>
      </c>
      <c r="N12" s="22" t="s">
        <v>86</v>
      </c>
      <c r="O12" s="22" t="s">
        <v>86</v>
      </c>
      <c r="P12" s="22" t="s">
        <v>86</v>
      </c>
      <c r="Q12" s="22" t="s">
        <v>86</v>
      </c>
      <c r="R12" s="22" t="s">
        <v>86</v>
      </c>
      <c r="S12" s="22" t="str">
        <f t="shared" si="5"/>
        <v>unc</v>
      </c>
      <c r="T12" s="22" t="str">
        <f t="shared" si="5"/>
        <v>unc</v>
      </c>
      <c r="U12" s="22" t="str">
        <f t="shared" si="5"/>
        <v>unc</v>
      </c>
      <c r="V12" s="22" t="str">
        <f t="shared" ref="V12:AK12" si="20">U12</f>
        <v>unc</v>
      </c>
      <c r="W12" s="22" t="str">
        <f t="shared" si="20"/>
        <v>unc</v>
      </c>
      <c r="X12" s="22" t="str">
        <f t="shared" si="20"/>
        <v>unc</v>
      </c>
      <c r="Y12" s="22" t="str">
        <f t="shared" si="20"/>
        <v>unc</v>
      </c>
      <c r="Z12" s="22" t="str">
        <f t="shared" si="20"/>
        <v>unc</v>
      </c>
      <c r="AA12" s="22" t="str">
        <f t="shared" si="20"/>
        <v>unc</v>
      </c>
      <c r="AB12" s="22" t="str">
        <f t="shared" si="20"/>
        <v>unc</v>
      </c>
      <c r="AC12" s="22" t="str">
        <f t="shared" si="20"/>
        <v>unc</v>
      </c>
      <c r="AD12" s="22" t="str">
        <f t="shared" si="20"/>
        <v>unc</v>
      </c>
      <c r="AE12" s="22" t="str">
        <f t="shared" si="20"/>
        <v>unc</v>
      </c>
      <c r="AF12" s="22" t="str">
        <f t="shared" si="20"/>
        <v>unc</v>
      </c>
      <c r="AG12" s="22" t="str">
        <f t="shared" si="20"/>
        <v>unc</v>
      </c>
      <c r="AH12" s="22" t="str">
        <f t="shared" si="20"/>
        <v>unc</v>
      </c>
      <c r="AI12" s="22" t="str">
        <f t="shared" si="20"/>
        <v>unc</v>
      </c>
      <c r="AJ12" s="22" t="str">
        <f t="shared" si="20"/>
        <v>unc</v>
      </c>
      <c r="AK12" s="22" t="str">
        <f t="shared" si="20"/>
        <v>unc</v>
      </c>
      <c r="AL12" s="22" t="str">
        <f t="shared" ref="AL12:AU12" si="21">AK12</f>
        <v>unc</v>
      </c>
      <c r="AM12" s="22" t="str">
        <f t="shared" si="21"/>
        <v>unc</v>
      </c>
      <c r="AN12" s="22" t="str">
        <f t="shared" si="21"/>
        <v>unc</v>
      </c>
      <c r="AO12" s="22" t="str">
        <f t="shared" si="21"/>
        <v>unc</v>
      </c>
      <c r="AP12" s="22" t="str">
        <f t="shared" si="21"/>
        <v>unc</v>
      </c>
      <c r="AQ12" s="22" t="str">
        <f t="shared" si="21"/>
        <v>unc</v>
      </c>
      <c r="AR12" s="22" t="str">
        <f t="shared" si="21"/>
        <v>unc</v>
      </c>
      <c r="AS12" s="22" t="str">
        <f t="shared" si="21"/>
        <v>unc</v>
      </c>
      <c r="AT12" s="22" t="str">
        <f t="shared" si="21"/>
        <v>unc</v>
      </c>
      <c r="AU12" s="22" t="str">
        <f t="shared" si="21"/>
        <v>unc</v>
      </c>
    </row>
    <row r="13" spans="1:47" ht="15.5" x14ac:dyDescent="0.35">
      <c r="A13" s="170" t="str">
        <f t="shared" si="2"/>
        <v>LEAST_CNST</v>
      </c>
      <c r="B13" s="29">
        <v>1</v>
      </c>
      <c r="C13" s="29" t="s">
        <v>85</v>
      </c>
      <c r="D13" s="29" t="s">
        <v>7</v>
      </c>
      <c r="E13" s="14" t="s">
        <v>21</v>
      </c>
      <c r="F13" s="14" t="s">
        <v>16</v>
      </c>
      <c r="G13" s="22"/>
      <c r="H13" s="22"/>
      <c r="I13" s="22"/>
      <c r="J13" s="22"/>
      <c r="K13" s="22"/>
      <c r="L13" s="22" t="s">
        <v>86</v>
      </c>
      <c r="M13" s="22" t="s">
        <v>86</v>
      </c>
      <c r="N13" s="22" t="s">
        <v>86</v>
      </c>
      <c r="O13" s="22" t="s">
        <v>86</v>
      </c>
      <c r="P13" s="22" t="s">
        <v>86</v>
      </c>
      <c r="Q13" s="22" t="s">
        <v>86</v>
      </c>
      <c r="R13" s="22" t="s">
        <v>86</v>
      </c>
      <c r="S13" s="22" t="str">
        <f t="shared" si="5"/>
        <v>unc</v>
      </c>
      <c r="T13" s="22" t="str">
        <f t="shared" si="5"/>
        <v>unc</v>
      </c>
      <c r="U13" s="22" t="str">
        <f t="shared" si="5"/>
        <v>unc</v>
      </c>
      <c r="V13" s="22" t="str">
        <f t="shared" ref="V13:AK13" si="22">U13</f>
        <v>unc</v>
      </c>
      <c r="W13" s="22" t="str">
        <f t="shared" si="22"/>
        <v>unc</v>
      </c>
      <c r="X13" s="22" t="str">
        <f t="shared" si="22"/>
        <v>unc</v>
      </c>
      <c r="Y13" s="22" t="str">
        <f t="shared" si="22"/>
        <v>unc</v>
      </c>
      <c r="Z13" s="22" t="str">
        <f t="shared" si="22"/>
        <v>unc</v>
      </c>
      <c r="AA13" s="22" t="str">
        <f t="shared" si="22"/>
        <v>unc</v>
      </c>
      <c r="AB13" s="22" t="str">
        <f t="shared" si="22"/>
        <v>unc</v>
      </c>
      <c r="AC13" s="22" t="str">
        <f t="shared" si="22"/>
        <v>unc</v>
      </c>
      <c r="AD13" s="22" t="str">
        <f t="shared" si="22"/>
        <v>unc</v>
      </c>
      <c r="AE13" s="22" t="str">
        <f t="shared" si="22"/>
        <v>unc</v>
      </c>
      <c r="AF13" s="22" t="str">
        <f t="shared" si="22"/>
        <v>unc</v>
      </c>
      <c r="AG13" s="22" t="str">
        <f t="shared" si="22"/>
        <v>unc</v>
      </c>
      <c r="AH13" s="22" t="str">
        <f t="shared" si="22"/>
        <v>unc</v>
      </c>
      <c r="AI13" s="22" t="str">
        <f t="shared" si="22"/>
        <v>unc</v>
      </c>
      <c r="AJ13" s="22" t="str">
        <f t="shared" si="22"/>
        <v>unc</v>
      </c>
      <c r="AK13" s="22" t="str">
        <f t="shared" si="22"/>
        <v>unc</v>
      </c>
      <c r="AL13" s="22" t="str">
        <f t="shared" ref="AL13:AU13" si="23">AK13</f>
        <v>unc</v>
      </c>
      <c r="AM13" s="22" t="str">
        <f t="shared" si="23"/>
        <v>unc</v>
      </c>
      <c r="AN13" s="22" t="str">
        <f t="shared" si="23"/>
        <v>unc</v>
      </c>
      <c r="AO13" s="22" t="str">
        <f t="shared" si="23"/>
        <v>unc</v>
      </c>
      <c r="AP13" s="22" t="str">
        <f t="shared" si="23"/>
        <v>unc</v>
      </c>
      <c r="AQ13" s="22" t="str">
        <f t="shared" si="23"/>
        <v>unc</v>
      </c>
      <c r="AR13" s="22" t="str">
        <f t="shared" si="23"/>
        <v>unc</v>
      </c>
      <c r="AS13" s="22" t="str">
        <f t="shared" si="23"/>
        <v>unc</v>
      </c>
      <c r="AT13" s="22" t="str">
        <f t="shared" si="23"/>
        <v>unc</v>
      </c>
      <c r="AU13" s="22" t="str">
        <f t="shared" si="23"/>
        <v>unc</v>
      </c>
    </row>
    <row r="14" spans="1:47" ht="15.5" x14ac:dyDescent="0.35">
      <c r="A14" s="170" t="str">
        <f t="shared" si="2"/>
        <v>LEAST_CNST</v>
      </c>
      <c r="B14" s="28">
        <v>1</v>
      </c>
      <c r="C14" s="28" t="s">
        <v>85</v>
      </c>
      <c r="D14" s="28" t="s">
        <v>7</v>
      </c>
      <c r="E14" s="15" t="s">
        <v>22</v>
      </c>
      <c r="F14" s="15" t="s">
        <v>16</v>
      </c>
      <c r="G14" s="22"/>
      <c r="H14" s="22"/>
      <c r="I14" s="22"/>
      <c r="J14" s="22"/>
      <c r="K14" s="22"/>
      <c r="L14" s="22" t="s">
        <v>86</v>
      </c>
      <c r="M14" s="22" t="s">
        <v>86</v>
      </c>
      <c r="N14" s="22" t="s">
        <v>86</v>
      </c>
      <c r="O14" s="22" t="s">
        <v>86</v>
      </c>
      <c r="P14" s="22" t="s">
        <v>86</v>
      </c>
      <c r="Q14" s="22" t="s">
        <v>86</v>
      </c>
      <c r="R14" s="22" t="s">
        <v>86</v>
      </c>
      <c r="S14" s="22" t="str">
        <f t="shared" si="5"/>
        <v>unc</v>
      </c>
      <c r="T14" s="22" t="str">
        <f t="shared" si="5"/>
        <v>unc</v>
      </c>
      <c r="U14" s="22" t="str">
        <f t="shared" si="5"/>
        <v>unc</v>
      </c>
      <c r="V14" s="22" t="str">
        <f t="shared" ref="V14:AK14" si="24">U14</f>
        <v>unc</v>
      </c>
      <c r="W14" s="22" t="str">
        <f t="shared" si="24"/>
        <v>unc</v>
      </c>
      <c r="X14" s="22" t="str">
        <f t="shared" si="24"/>
        <v>unc</v>
      </c>
      <c r="Y14" s="22" t="str">
        <f t="shared" si="24"/>
        <v>unc</v>
      </c>
      <c r="Z14" s="22" t="str">
        <f t="shared" si="24"/>
        <v>unc</v>
      </c>
      <c r="AA14" s="22" t="str">
        <f t="shared" si="24"/>
        <v>unc</v>
      </c>
      <c r="AB14" s="22" t="str">
        <f t="shared" si="24"/>
        <v>unc</v>
      </c>
      <c r="AC14" s="22" t="str">
        <f t="shared" si="24"/>
        <v>unc</v>
      </c>
      <c r="AD14" s="22" t="str">
        <f t="shared" si="24"/>
        <v>unc</v>
      </c>
      <c r="AE14" s="22" t="str">
        <f t="shared" si="24"/>
        <v>unc</v>
      </c>
      <c r="AF14" s="22" t="str">
        <f t="shared" si="24"/>
        <v>unc</v>
      </c>
      <c r="AG14" s="22" t="str">
        <f t="shared" si="24"/>
        <v>unc</v>
      </c>
      <c r="AH14" s="22" t="str">
        <f t="shared" si="24"/>
        <v>unc</v>
      </c>
      <c r="AI14" s="22" t="str">
        <f t="shared" si="24"/>
        <v>unc</v>
      </c>
      <c r="AJ14" s="22" t="str">
        <f t="shared" si="24"/>
        <v>unc</v>
      </c>
      <c r="AK14" s="22" t="str">
        <f t="shared" si="24"/>
        <v>unc</v>
      </c>
      <c r="AL14" s="22" t="str">
        <f t="shared" ref="AL14:AU14" si="25">AK14</f>
        <v>unc</v>
      </c>
      <c r="AM14" s="22" t="str">
        <f t="shared" si="25"/>
        <v>unc</v>
      </c>
      <c r="AN14" s="22" t="str">
        <f t="shared" si="25"/>
        <v>unc</v>
      </c>
      <c r="AO14" s="22" t="str">
        <f t="shared" si="25"/>
        <v>unc</v>
      </c>
      <c r="AP14" s="22" t="str">
        <f t="shared" si="25"/>
        <v>unc</v>
      </c>
      <c r="AQ14" s="22" t="str">
        <f t="shared" si="25"/>
        <v>unc</v>
      </c>
      <c r="AR14" s="22" t="str">
        <f t="shared" si="25"/>
        <v>unc</v>
      </c>
      <c r="AS14" s="22" t="str">
        <f t="shared" si="25"/>
        <v>unc</v>
      </c>
      <c r="AT14" s="22" t="str">
        <f t="shared" si="25"/>
        <v>unc</v>
      </c>
      <c r="AU14" s="22" t="str">
        <f t="shared" si="25"/>
        <v>unc</v>
      </c>
    </row>
    <row r="15" spans="1:47" ht="15.5" x14ac:dyDescent="0.35">
      <c r="A15" s="170" t="str">
        <f>A12</f>
        <v>LEAST_CNST</v>
      </c>
      <c r="B15" s="29">
        <v>1</v>
      </c>
      <c r="C15" s="29" t="s">
        <v>85</v>
      </c>
      <c r="D15" s="29" t="s">
        <v>7</v>
      </c>
      <c r="E15" s="14" t="s">
        <v>23</v>
      </c>
      <c r="F15" s="14" t="s">
        <v>16</v>
      </c>
      <c r="G15" s="22"/>
      <c r="H15" s="22"/>
      <c r="I15" s="22"/>
      <c r="J15" s="22"/>
      <c r="K15" s="22"/>
      <c r="L15" s="22" t="s">
        <v>86</v>
      </c>
      <c r="M15" s="22" t="s">
        <v>86</v>
      </c>
      <c r="N15" s="22" t="s">
        <v>86</v>
      </c>
      <c r="O15" s="22" t="s">
        <v>86</v>
      </c>
      <c r="P15" s="22" t="s">
        <v>86</v>
      </c>
      <c r="Q15" s="22" t="s">
        <v>86</v>
      </c>
      <c r="R15" s="22" t="s">
        <v>86</v>
      </c>
      <c r="S15" s="22" t="str">
        <f t="shared" si="5"/>
        <v>unc</v>
      </c>
      <c r="T15" s="22" t="str">
        <f t="shared" si="5"/>
        <v>unc</v>
      </c>
      <c r="U15" s="22" t="str">
        <f t="shared" si="5"/>
        <v>unc</v>
      </c>
      <c r="V15" s="22" t="str">
        <f t="shared" ref="V15:AK15" si="26">U15</f>
        <v>unc</v>
      </c>
      <c r="W15" s="22" t="str">
        <f t="shared" si="26"/>
        <v>unc</v>
      </c>
      <c r="X15" s="22" t="str">
        <f t="shared" si="26"/>
        <v>unc</v>
      </c>
      <c r="Y15" s="22" t="str">
        <f t="shared" si="26"/>
        <v>unc</v>
      </c>
      <c r="Z15" s="22" t="str">
        <f t="shared" si="26"/>
        <v>unc</v>
      </c>
      <c r="AA15" s="22" t="str">
        <f t="shared" si="26"/>
        <v>unc</v>
      </c>
      <c r="AB15" s="22" t="str">
        <f t="shared" si="26"/>
        <v>unc</v>
      </c>
      <c r="AC15" s="22" t="str">
        <f t="shared" si="26"/>
        <v>unc</v>
      </c>
      <c r="AD15" s="22" t="str">
        <f t="shared" si="26"/>
        <v>unc</v>
      </c>
      <c r="AE15" s="22" t="str">
        <f t="shared" si="26"/>
        <v>unc</v>
      </c>
      <c r="AF15" s="22" t="str">
        <f t="shared" si="26"/>
        <v>unc</v>
      </c>
      <c r="AG15" s="22" t="str">
        <f t="shared" si="26"/>
        <v>unc</v>
      </c>
      <c r="AH15" s="22" t="str">
        <f t="shared" si="26"/>
        <v>unc</v>
      </c>
      <c r="AI15" s="22" t="str">
        <f t="shared" si="26"/>
        <v>unc</v>
      </c>
      <c r="AJ15" s="22" t="str">
        <f t="shared" si="26"/>
        <v>unc</v>
      </c>
      <c r="AK15" s="22" t="str">
        <f t="shared" si="26"/>
        <v>unc</v>
      </c>
      <c r="AL15" s="22" t="str">
        <f t="shared" ref="AL15:AU15" si="27">AK15</f>
        <v>unc</v>
      </c>
      <c r="AM15" s="22" t="str">
        <f t="shared" si="27"/>
        <v>unc</v>
      </c>
      <c r="AN15" s="22" t="str">
        <f t="shared" si="27"/>
        <v>unc</v>
      </c>
      <c r="AO15" s="22" t="str">
        <f t="shared" si="27"/>
        <v>unc</v>
      </c>
      <c r="AP15" s="22" t="str">
        <f t="shared" si="27"/>
        <v>unc</v>
      </c>
      <c r="AQ15" s="22" t="str">
        <f t="shared" si="27"/>
        <v>unc</v>
      </c>
      <c r="AR15" s="22" t="str">
        <f t="shared" si="27"/>
        <v>unc</v>
      </c>
      <c r="AS15" s="22" t="str">
        <f t="shared" si="27"/>
        <v>unc</v>
      </c>
      <c r="AT15" s="22" t="str">
        <f t="shared" si="27"/>
        <v>unc</v>
      </c>
      <c r="AU15" s="22" t="str">
        <f t="shared" si="27"/>
        <v>unc</v>
      </c>
    </row>
    <row r="16" spans="1:47" ht="15.5" x14ac:dyDescent="0.35">
      <c r="A16" s="170" t="str">
        <f>A13</f>
        <v>LEAST_CNST</v>
      </c>
      <c r="B16" s="29">
        <v>1</v>
      </c>
      <c r="C16" s="29" t="s">
        <v>85</v>
      </c>
      <c r="D16" s="29" t="s">
        <v>7</v>
      </c>
      <c r="E16" s="14" t="s">
        <v>117</v>
      </c>
      <c r="F16" s="14" t="s">
        <v>16</v>
      </c>
      <c r="G16" s="22"/>
      <c r="H16" s="22"/>
      <c r="I16" s="22"/>
      <c r="J16" s="22"/>
      <c r="K16" s="22"/>
      <c r="L16" s="22" t="s">
        <v>86</v>
      </c>
      <c r="M16" s="22" t="s">
        <v>86</v>
      </c>
      <c r="N16" s="22" t="s">
        <v>86</v>
      </c>
      <c r="O16" s="22" t="s">
        <v>86</v>
      </c>
      <c r="P16" s="22" t="s">
        <v>86</v>
      </c>
      <c r="Q16" s="22" t="s">
        <v>86</v>
      </c>
      <c r="R16" s="22" t="s">
        <v>86</v>
      </c>
      <c r="S16" s="22" t="str">
        <f t="shared" ref="S16" si="28">R16</f>
        <v>unc</v>
      </c>
      <c r="T16" s="22" t="str">
        <f t="shared" ref="T16" si="29">S16</f>
        <v>unc</v>
      </c>
      <c r="U16" s="22" t="str">
        <f t="shared" ref="U16" si="30">T16</f>
        <v>unc</v>
      </c>
      <c r="V16" s="22" t="str">
        <f t="shared" ref="V16" si="31">U16</f>
        <v>unc</v>
      </c>
      <c r="W16" s="22" t="str">
        <f t="shared" ref="W16" si="32">V16</f>
        <v>unc</v>
      </c>
      <c r="X16" s="22" t="str">
        <f t="shared" ref="X16" si="33">W16</f>
        <v>unc</v>
      </c>
      <c r="Y16" s="22" t="str">
        <f t="shared" ref="Y16" si="34">X16</f>
        <v>unc</v>
      </c>
      <c r="Z16" s="22" t="str">
        <f t="shared" ref="Z16" si="35">Y16</f>
        <v>unc</v>
      </c>
      <c r="AA16" s="22" t="str">
        <f t="shared" ref="AA16" si="36">Z16</f>
        <v>unc</v>
      </c>
      <c r="AB16" s="22" t="str">
        <f t="shared" ref="AB16" si="37">AA16</f>
        <v>unc</v>
      </c>
      <c r="AC16" s="22" t="str">
        <f t="shared" ref="AC16" si="38">AB16</f>
        <v>unc</v>
      </c>
      <c r="AD16" s="22" t="str">
        <f t="shared" ref="AD16" si="39">AC16</f>
        <v>unc</v>
      </c>
      <c r="AE16" s="22" t="str">
        <f t="shared" ref="AE16" si="40">AD16</f>
        <v>unc</v>
      </c>
      <c r="AF16" s="22" t="str">
        <f t="shared" ref="AF16" si="41">AE16</f>
        <v>unc</v>
      </c>
      <c r="AG16" s="22" t="str">
        <f t="shared" ref="AG16" si="42">AF16</f>
        <v>unc</v>
      </c>
      <c r="AH16" s="22" t="str">
        <f t="shared" ref="AH16" si="43">AG16</f>
        <v>unc</v>
      </c>
      <c r="AI16" s="22" t="str">
        <f t="shared" ref="AI16" si="44">AH16</f>
        <v>unc</v>
      </c>
      <c r="AJ16" s="22" t="str">
        <f t="shared" ref="AJ16" si="45">AI16</f>
        <v>unc</v>
      </c>
      <c r="AK16" s="22" t="str">
        <f t="shared" ref="AK16" si="46">AJ16</f>
        <v>unc</v>
      </c>
      <c r="AL16" s="22" t="str">
        <f t="shared" ref="AL16" si="47">AK16</f>
        <v>unc</v>
      </c>
      <c r="AM16" s="22" t="str">
        <f t="shared" ref="AM16" si="48">AL16</f>
        <v>unc</v>
      </c>
      <c r="AN16" s="22" t="str">
        <f t="shared" ref="AN16" si="49">AM16</f>
        <v>unc</v>
      </c>
      <c r="AO16" s="22" t="str">
        <f t="shared" ref="AO16" si="50">AN16</f>
        <v>unc</v>
      </c>
      <c r="AP16" s="22" t="str">
        <f t="shared" ref="AP16" si="51">AO16</f>
        <v>unc</v>
      </c>
      <c r="AQ16" s="22" t="str">
        <f t="shared" ref="AQ16" si="52">AP16</f>
        <v>unc</v>
      </c>
      <c r="AR16" s="22" t="str">
        <f t="shared" ref="AR16" si="53">AQ16</f>
        <v>unc</v>
      </c>
      <c r="AS16" s="22" t="str">
        <f t="shared" ref="AS16" si="54">AR16</f>
        <v>unc</v>
      </c>
      <c r="AT16" s="22" t="str">
        <f t="shared" ref="AT16" si="55">AS16</f>
        <v>unc</v>
      </c>
      <c r="AU16" s="22" t="str">
        <f t="shared" ref="AU16" si="56">AT16</f>
        <v>unc</v>
      </c>
    </row>
    <row r="17" spans="1:47" ht="15.5" x14ac:dyDescent="0.35">
      <c r="A17" s="170" t="str">
        <f>A15</f>
        <v>LEAST_CNST</v>
      </c>
      <c r="B17" s="23">
        <v>1</v>
      </c>
      <c r="C17" s="23" t="s">
        <v>85</v>
      </c>
      <c r="D17" s="23" t="s">
        <v>7</v>
      </c>
      <c r="E17" s="24" t="s">
        <v>25</v>
      </c>
      <c r="F17" s="24" t="s">
        <v>16</v>
      </c>
      <c r="G17" s="22"/>
      <c r="H17" s="22"/>
      <c r="I17" s="22"/>
      <c r="J17" s="22"/>
      <c r="K17" s="22"/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 t="s">
        <v>86</v>
      </c>
      <c r="W17" s="22" t="s">
        <v>86</v>
      </c>
      <c r="X17" s="22" t="s">
        <v>86</v>
      </c>
      <c r="Y17" s="22" t="s">
        <v>86</v>
      </c>
      <c r="Z17" s="22" t="s">
        <v>86</v>
      </c>
      <c r="AA17" s="22" t="s">
        <v>86</v>
      </c>
      <c r="AB17" s="22" t="s">
        <v>86</v>
      </c>
      <c r="AC17" s="22" t="s">
        <v>86</v>
      </c>
      <c r="AD17" s="22" t="s">
        <v>86</v>
      </c>
      <c r="AE17" s="22" t="s">
        <v>86</v>
      </c>
      <c r="AF17" s="22" t="s">
        <v>86</v>
      </c>
      <c r="AG17" s="22" t="s">
        <v>86</v>
      </c>
      <c r="AH17" s="22" t="s">
        <v>86</v>
      </c>
      <c r="AI17" s="22" t="s">
        <v>86</v>
      </c>
      <c r="AJ17" s="22" t="s">
        <v>86</v>
      </c>
      <c r="AK17" s="22" t="s">
        <v>86</v>
      </c>
      <c r="AL17" s="22" t="str">
        <f t="shared" ref="AL17:AU17" si="57">AK17</f>
        <v>unc</v>
      </c>
      <c r="AM17" s="22" t="str">
        <f t="shared" si="57"/>
        <v>unc</v>
      </c>
      <c r="AN17" s="22" t="str">
        <f t="shared" si="57"/>
        <v>unc</v>
      </c>
      <c r="AO17" s="22" t="str">
        <f t="shared" si="57"/>
        <v>unc</v>
      </c>
      <c r="AP17" s="22" t="str">
        <f t="shared" si="57"/>
        <v>unc</v>
      </c>
      <c r="AQ17" s="22" t="str">
        <f t="shared" si="57"/>
        <v>unc</v>
      </c>
      <c r="AR17" s="22" t="str">
        <f t="shared" si="57"/>
        <v>unc</v>
      </c>
      <c r="AS17" s="22" t="str">
        <f t="shared" si="57"/>
        <v>unc</v>
      </c>
      <c r="AT17" s="22" t="str">
        <f t="shared" si="57"/>
        <v>unc</v>
      </c>
      <c r="AU17" s="22" t="str">
        <f t="shared" si="57"/>
        <v>unc</v>
      </c>
    </row>
    <row r="18" spans="1:47" ht="15.5" x14ac:dyDescent="0.35">
      <c r="A18" s="170" t="str">
        <f t="shared" ref="A18:A22" si="58">A17</f>
        <v>LEAST_CNST</v>
      </c>
      <c r="B18" s="20">
        <v>1</v>
      </c>
      <c r="C18" s="20" t="s">
        <v>85</v>
      </c>
      <c r="D18" s="20" t="s">
        <v>7</v>
      </c>
      <c r="E18" s="21" t="s">
        <v>26</v>
      </c>
      <c r="F18" s="21" t="s">
        <v>16</v>
      </c>
      <c r="G18" s="22"/>
      <c r="H18" s="22"/>
      <c r="I18" s="22"/>
      <c r="J18" s="22"/>
      <c r="K18" s="22"/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 t="s">
        <v>86</v>
      </c>
      <c r="W18" s="22" t="s">
        <v>86</v>
      </c>
      <c r="X18" s="22" t="s">
        <v>86</v>
      </c>
      <c r="Y18" s="22" t="s">
        <v>86</v>
      </c>
      <c r="Z18" s="22" t="s">
        <v>86</v>
      </c>
      <c r="AA18" s="22" t="s">
        <v>86</v>
      </c>
      <c r="AB18" s="22" t="s">
        <v>86</v>
      </c>
      <c r="AC18" s="22" t="s">
        <v>86</v>
      </c>
      <c r="AD18" s="22" t="s">
        <v>86</v>
      </c>
      <c r="AE18" s="22" t="s">
        <v>86</v>
      </c>
      <c r="AF18" s="22" t="s">
        <v>86</v>
      </c>
      <c r="AG18" s="22" t="s">
        <v>86</v>
      </c>
      <c r="AH18" s="22" t="s">
        <v>86</v>
      </c>
      <c r="AI18" s="22" t="s">
        <v>86</v>
      </c>
      <c r="AJ18" s="22" t="s">
        <v>86</v>
      </c>
      <c r="AK18" s="22" t="s">
        <v>86</v>
      </c>
      <c r="AL18" s="22" t="str">
        <f t="shared" ref="AL18:AU18" si="59">AK18</f>
        <v>unc</v>
      </c>
      <c r="AM18" s="22" t="str">
        <f t="shared" si="59"/>
        <v>unc</v>
      </c>
      <c r="AN18" s="22" t="str">
        <f t="shared" si="59"/>
        <v>unc</v>
      </c>
      <c r="AO18" s="22" t="str">
        <f t="shared" si="59"/>
        <v>unc</v>
      </c>
      <c r="AP18" s="22" t="str">
        <f t="shared" si="59"/>
        <v>unc</v>
      </c>
      <c r="AQ18" s="22" t="str">
        <f t="shared" si="59"/>
        <v>unc</v>
      </c>
      <c r="AR18" s="22" t="str">
        <f t="shared" si="59"/>
        <v>unc</v>
      </c>
      <c r="AS18" s="22" t="str">
        <f t="shared" si="59"/>
        <v>unc</v>
      </c>
      <c r="AT18" s="22" t="str">
        <f t="shared" si="59"/>
        <v>unc</v>
      </c>
      <c r="AU18" s="22" t="str">
        <f t="shared" si="59"/>
        <v>unc</v>
      </c>
    </row>
    <row r="19" spans="1:47" ht="15.5" x14ac:dyDescent="0.35">
      <c r="A19" s="170" t="str">
        <f t="shared" si="58"/>
        <v>LEAST_CNST</v>
      </c>
      <c r="B19" s="23">
        <v>1</v>
      </c>
      <c r="C19" s="23" t="s">
        <v>85</v>
      </c>
      <c r="D19" s="23" t="s">
        <v>27</v>
      </c>
      <c r="E19" s="24" t="s">
        <v>28</v>
      </c>
      <c r="F19" s="24" t="s">
        <v>29</v>
      </c>
      <c r="G19" s="22"/>
      <c r="H19" s="22"/>
      <c r="I19" s="22"/>
      <c r="J19" s="22"/>
      <c r="K19" s="22"/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1500</v>
      </c>
      <c r="W19" s="22">
        <f t="shared" ref="W19:AK19" si="60">V19</f>
        <v>1500</v>
      </c>
      <c r="X19" s="22">
        <f t="shared" si="60"/>
        <v>1500</v>
      </c>
      <c r="Y19" s="22">
        <f t="shared" si="60"/>
        <v>1500</v>
      </c>
      <c r="Z19" s="22">
        <f t="shared" si="60"/>
        <v>1500</v>
      </c>
      <c r="AA19" s="22">
        <f t="shared" si="60"/>
        <v>1500</v>
      </c>
      <c r="AB19" s="22">
        <f t="shared" si="60"/>
        <v>1500</v>
      </c>
      <c r="AC19" s="22">
        <f t="shared" si="60"/>
        <v>1500</v>
      </c>
      <c r="AD19" s="22">
        <f t="shared" si="60"/>
        <v>1500</v>
      </c>
      <c r="AE19" s="22">
        <f t="shared" si="60"/>
        <v>1500</v>
      </c>
      <c r="AF19" s="22">
        <f t="shared" si="60"/>
        <v>1500</v>
      </c>
      <c r="AG19" s="22">
        <f t="shared" si="60"/>
        <v>1500</v>
      </c>
      <c r="AH19" s="22">
        <f t="shared" si="60"/>
        <v>1500</v>
      </c>
      <c r="AI19" s="22">
        <f t="shared" si="60"/>
        <v>1500</v>
      </c>
      <c r="AJ19" s="22">
        <f t="shared" si="60"/>
        <v>1500</v>
      </c>
      <c r="AK19" s="22">
        <f t="shared" si="60"/>
        <v>1500</v>
      </c>
      <c r="AL19" s="22">
        <f t="shared" ref="AL19:AU19" si="61">AK19</f>
        <v>1500</v>
      </c>
      <c r="AM19" s="22">
        <f t="shared" si="61"/>
        <v>1500</v>
      </c>
      <c r="AN19" s="22">
        <f t="shared" si="61"/>
        <v>1500</v>
      </c>
      <c r="AO19" s="22">
        <f t="shared" si="61"/>
        <v>1500</v>
      </c>
      <c r="AP19" s="22">
        <f t="shared" si="61"/>
        <v>1500</v>
      </c>
      <c r="AQ19" s="22">
        <f t="shared" si="61"/>
        <v>1500</v>
      </c>
      <c r="AR19" s="22">
        <f t="shared" si="61"/>
        <v>1500</v>
      </c>
      <c r="AS19" s="22">
        <f t="shared" si="61"/>
        <v>1500</v>
      </c>
      <c r="AT19" s="22">
        <f t="shared" si="61"/>
        <v>1500</v>
      </c>
      <c r="AU19" s="22">
        <f t="shared" si="61"/>
        <v>1500</v>
      </c>
    </row>
    <row r="20" spans="1:47" ht="15.5" x14ac:dyDescent="0.35">
      <c r="A20" s="170" t="str">
        <f t="shared" si="58"/>
        <v>LEAST_CNST</v>
      </c>
      <c r="B20" s="20">
        <v>1</v>
      </c>
      <c r="C20" s="20" t="s">
        <v>85</v>
      </c>
      <c r="D20" s="20" t="s">
        <v>27</v>
      </c>
      <c r="E20" s="21" t="s">
        <v>30</v>
      </c>
      <c r="F20" s="21" t="s">
        <v>29</v>
      </c>
      <c r="G20" s="22"/>
      <c r="H20" s="22"/>
      <c r="I20" s="22"/>
      <c r="J20" s="22"/>
      <c r="K20" s="22"/>
      <c r="L20" s="22" t="s">
        <v>86</v>
      </c>
      <c r="M20" s="22" t="s">
        <v>86</v>
      </c>
      <c r="N20" s="22" t="s">
        <v>86</v>
      </c>
      <c r="O20" s="22" t="s">
        <v>86</v>
      </c>
      <c r="P20" s="22" t="s">
        <v>86</v>
      </c>
      <c r="Q20" s="22" t="s">
        <v>86</v>
      </c>
      <c r="R20" s="22" t="s">
        <v>86</v>
      </c>
      <c r="S20" s="22" t="s">
        <v>86</v>
      </c>
      <c r="T20" s="22" t="s">
        <v>86</v>
      </c>
      <c r="U20" s="22" t="s">
        <v>86</v>
      </c>
      <c r="V20" s="22" t="s">
        <v>86</v>
      </c>
      <c r="W20" s="22" t="s">
        <v>86</v>
      </c>
      <c r="X20" s="22" t="s">
        <v>86</v>
      </c>
      <c r="Y20" s="22" t="s">
        <v>86</v>
      </c>
      <c r="Z20" s="22" t="s">
        <v>86</v>
      </c>
      <c r="AA20" s="22" t="s">
        <v>86</v>
      </c>
      <c r="AB20" s="22" t="s">
        <v>86</v>
      </c>
      <c r="AC20" s="22" t="s">
        <v>86</v>
      </c>
      <c r="AD20" s="22" t="s">
        <v>86</v>
      </c>
      <c r="AE20" s="22" t="s">
        <v>86</v>
      </c>
      <c r="AF20" s="22" t="s">
        <v>86</v>
      </c>
      <c r="AG20" s="22" t="s">
        <v>86</v>
      </c>
      <c r="AH20" s="22" t="s">
        <v>86</v>
      </c>
      <c r="AI20" s="22" t="s">
        <v>86</v>
      </c>
      <c r="AJ20" s="22" t="s">
        <v>86</v>
      </c>
      <c r="AK20" s="22" t="s">
        <v>86</v>
      </c>
      <c r="AL20" s="22" t="str">
        <f t="shared" ref="AL20:AU20" si="62">AK20</f>
        <v>unc</v>
      </c>
      <c r="AM20" s="22" t="str">
        <f t="shared" si="62"/>
        <v>unc</v>
      </c>
      <c r="AN20" s="22" t="str">
        <f t="shared" si="62"/>
        <v>unc</v>
      </c>
      <c r="AO20" s="22" t="str">
        <f t="shared" si="62"/>
        <v>unc</v>
      </c>
      <c r="AP20" s="22" t="str">
        <f t="shared" si="62"/>
        <v>unc</v>
      </c>
      <c r="AQ20" s="22" t="str">
        <f t="shared" si="62"/>
        <v>unc</v>
      </c>
      <c r="AR20" s="22" t="str">
        <f t="shared" si="62"/>
        <v>unc</v>
      </c>
      <c r="AS20" s="22" t="str">
        <f t="shared" si="62"/>
        <v>unc</v>
      </c>
      <c r="AT20" s="22" t="str">
        <f t="shared" si="62"/>
        <v>unc</v>
      </c>
      <c r="AU20" s="22" t="str">
        <f t="shared" si="62"/>
        <v>unc</v>
      </c>
    </row>
    <row r="21" spans="1:47" ht="15.5" x14ac:dyDescent="0.35">
      <c r="A21" s="170" t="str">
        <f t="shared" si="58"/>
        <v>LEAST_CNST</v>
      </c>
      <c r="B21" s="23">
        <v>1</v>
      </c>
      <c r="C21" s="23" t="s">
        <v>85</v>
      </c>
      <c r="D21" s="23" t="s">
        <v>27</v>
      </c>
      <c r="E21" s="24" t="s">
        <v>32</v>
      </c>
      <c r="F21" s="24" t="s">
        <v>29</v>
      </c>
      <c r="G21" s="22"/>
      <c r="H21" s="22"/>
      <c r="I21" s="22"/>
      <c r="J21" s="22"/>
      <c r="K21" s="22"/>
      <c r="L21" s="22" t="s">
        <v>86</v>
      </c>
      <c r="M21" s="22" t="s">
        <v>86</v>
      </c>
      <c r="N21" s="22" t="s">
        <v>86</v>
      </c>
      <c r="O21" s="22" t="s">
        <v>86</v>
      </c>
      <c r="P21" s="22" t="s">
        <v>86</v>
      </c>
      <c r="Q21" s="22" t="s">
        <v>86</v>
      </c>
      <c r="R21" s="22" t="s">
        <v>86</v>
      </c>
      <c r="S21" s="22" t="s">
        <v>86</v>
      </c>
      <c r="T21" s="22" t="s">
        <v>86</v>
      </c>
      <c r="U21" s="22" t="s">
        <v>86</v>
      </c>
      <c r="V21" s="22" t="s">
        <v>86</v>
      </c>
      <c r="W21" s="22" t="s">
        <v>86</v>
      </c>
      <c r="X21" s="22" t="s">
        <v>86</v>
      </c>
      <c r="Y21" s="22" t="s">
        <v>86</v>
      </c>
      <c r="Z21" s="22" t="s">
        <v>86</v>
      </c>
      <c r="AA21" s="22" t="s">
        <v>86</v>
      </c>
      <c r="AB21" s="22" t="s">
        <v>86</v>
      </c>
      <c r="AC21" s="22" t="s">
        <v>86</v>
      </c>
      <c r="AD21" s="22" t="s">
        <v>86</v>
      </c>
      <c r="AE21" s="22" t="s">
        <v>86</v>
      </c>
      <c r="AF21" s="22" t="s">
        <v>86</v>
      </c>
      <c r="AG21" s="22" t="s">
        <v>86</v>
      </c>
      <c r="AH21" s="22" t="s">
        <v>86</v>
      </c>
      <c r="AI21" s="22" t="s">
        <v>86</v>
      </c>
      <c r="AJ21" s="22" t="s">
        <v>86</v>
      </c>
      <c r="AK21" s="22" t="s">
        <v>86</v>
      </c>
      <c r="AL21" s="22" t="str">
        <f t="shared" ref="AL21:AU21" si="63">AK21</f>
        <v>unc</v>
      </c>
      <c r="AM21" s="22" t="str">
        <f t="shared" si="63"/>
        <v>unc</v>
      </c>
      <c r="AN21" s="22" t="str">
        <f t="shared" si="63"/>
        <v>unc</v>
      </c>
      <c r="AO21" s="22" t="str">
        <f t="shared" si="63"/>
        <v>unc</v>
      </c>
      <c r="AP21" s="22" t="str">
        <f t="shared" si="63"/>
        <v>unc</v>
      </c>
      <c r="AQ21" s="22" t="str">
        <f t="shared" si="63"/>
        <v>unc</v>
      </c>
      <c r="AR21" s="22" t="str">
        <f t="shared" si="63"/>
        <v>unc</v>
      </c>
      <c r="AS21" s="22" t="str">
        <f t="shared" si="63"/>
        <v>unc</v>
      </c>
      <c r="AT21" s="22" t="str">
        <f t="shared" si="63"/>
        <v>unc</v>
      </c>
      <c r="AU21" s="22" t="str">
        <f t="shared" si="63"/>
        <v>unc</v>
      </c>
    </row>
    <row r="22" spans="1:47" ht="15.5" x14ac:dyDescent="0.35">
      <c r="A22" s="171" t="str">
        <f t="shared" si="58"/>
        <v>LEAST_CNST</v>
      </c>
      <c r="B22" s="25">
        <v>1</v>
      </c>
      <c r="C22" s="25" t="s">
        <v>85</v>
      </c>
      <c r="D22" s="25" t="s">
        <v>27</v>
      </c>
      <c r="E22" s="26" t="s">
        <v>33</v>
      </c>
      <c r="F22" s="26" t="s">
        <v>29</v>
      </c>
      <c r="G22" s="27"/>
      <c r="H22" s="27"/>
      <c r="I22" s="27"/>
      <c r="J22" s="27"/>
      <c r="K22" s="27"/>
      <c r="L22" s="27" t="s">
        <v>86</v>
      </c>
      <c r="M22" s="27" t="s">
        <v>86</v>
      </c>
      <c r="N22" s="27" t="s">
        <v>86</v>
      </c>
      <c r="O22" s="27" t="s">
        <v>86</v>
      </c>
      <c r="P22" s="27" t="s">
        <v>86</v>
      </c>
      <c r="Q22" s="27" t="s">
        <v>86</v>
      </c>
      <c r="R22" s="27" t="s">
        <v>86</v>
      </c>
      <c r="S22" s="27" t="s">
        <v>86</v>
      </c>
      <c r="T22" s="27" t="s">
        <v>86</v>
      </c>
      <c r="U22" s="27" t="s">
        <v>86</v>
      </c>
      <c r="V22" s="27" t="s">
        <v>86</v>
      </c>
      <c r="W22" s="27" t="s">
        <v>86</v>
      </c>
      <c r="X22" s="27" t="s">
        <v>86</v>
      </c>
      <c r="Y22" s="27" t="s">
        <v>86</v>
      </c>
      <c r="Z22" s="27" t="s">
        <v>86</v>
      </c>
      <c r="AA22" s="27" t="s">
        <v>86</v>
      </c>
      <c r="AB22" s="27" t="s">
        <v>86</v>
      </c>
      <c r="AC22" s="27" t="s">
        <v>86</v>
      </c>
      <c r="AD22" s="27" t="s">
        <v>86</v>
      </c>
      <c r="AE22" s="27" t="s">
        <v>86</v>
      </c>
      <c r="AF22" s="27" t="s">
        <v>86</v>
      </c>
      <c r="AG22" s="27" t="s">
        <v>86</v>
      </c>
      <c r="AH22" s="27" t="s">
        <v>86</v>
      </c>
      <c r="AI22" s="27" t="s">
        <v>86</v>
      </c>
      <c r="AJ22" s="27" t="s">
        <v>86</v>
      </c>
      <c r="AK22" s="27" t="s">
        <v>86</v>
      </c>
      <c r="AL22" s="22" t="str">
        <f t="shared" ref="AL22:AU22" si="64">AK22</f>
        <v>unc</v>
      </c>
      <c r="AM22" s="22" t="str">
        <f t="shared" si="64"/>
        <v>unc</v>
      </c>
      <c r="AN22" s="22" t="str">
        <f t="shared" si="64"/>
        <v>unc</v>
      </c>
      <c r="AO22" s="22" t="str">
        <f t="shared" si="64"/>
        <v>unc</v>
      </c>
      <c r="AP22" s="22" t="str">
        <f t="shared" si="64"/>
        <v>unc</v>
      </c>
      <c r="AQ22" s="22" t="str">
        <f t="shared" si="64"/>
        <v>unc</v>
      </c>
      <c r="AR22" s="22" t="str">
        <f t="shared" si="64"/>
        <v>unc</v>
      </c>
      <c r="AS22" s="22" t="str">
        <f t="shared" si="64"/>
        <v>unc</v>
      </c>
      <c r="AT22" s="22" t="str">
        <f t="shared" si="64"/>
        <v>unc</v>
      </c>
      <c r="AU22" s="22" t="str">
        <f t="shared" si="64"/>
        <v>unc</v>
      </c>
    </row>
    <row r="23" spans="1:47" ht="15.5" x14ac:dyDescent="0.35">
      <c r="A23" s="172" t="s">
        <v>88</v>
      </c>
      <c r="B23" s="28">
        <v>1</v>
      </c>
      <c r="C23" s="28" t="s">
        <v>85</v>
      </c>
      <c r="D23" s="28" t="s">
        <v>7</v>
      </c>
      <c r="E23" s="15" t="s">
        <v>10</v>
      </c>
      <c r="F23" s="15" t="s">
        <v>9</v>
      </c>
      <c r="G23" s="22"/>
      <c r="H23" s="22"/>
      <c r="I23" s="22"/>
      <c r="J23" s="22"/>
      <c r="K23" s="22"/>
      <c r="L23" s="22" t="s">
        <v>86</v>
      </c>
      <c r="M23" s="22" t="s">
        <v>86</v>
      </c>
      <c r="N23" s="22" t="s">
        <v>86</v>
      </c>
      <c r="O23" s="22" t="s">
        <v>86</v>
      </c>
      <c r="P23" s="22" t="s">
        <v>86</v>
      </c>
      <c r="Q23" s="22" t="s">
        <v>86</v>
      </c>
      <c r="R23" s="22" t="s">
        <v>86</v>
      </c>
      <c r="S23" s="22" t="str">
        <f t="shared" ref="S23:AK23" si="65">R23</f>
        <v>unc</v>
      </c>
      <c r="T23" s="22" t="str">
        <f t="shared" si="65"/>
        <v>unc</v>
      </c>
      <c r="U23" s="22" t="str">
        <f t="shared" si="65"/>
        <v>unc</v>
      </c>
      <c r="V23" s="22" t="str">
        <f t="shared" si="65"/>
        <v>unc</v>
      </c>
      <c r="W23" s="22" t="str">
        <f t="shared" si="65"/>
        <v>unc</v>
      </c>
      <c r="X23" s="22" t="str">
        <f t="shared" si="65"/>
        <v>unc</v>
      </c>
      <c r="Y23" s="22" t="str">
        <f t="shared" si="65"/>
        <v>unc</v>
      </c>
      <c r="Z23" s="22" t="str">
        <f t="shared" si="65"/>
        <v>unc</v>
      </c>
      <c r="AA23" s="22" t="str">
        <f t="shared" si="65"/>
        <v>unc</v>
      </c>
      <c r="AB23" s="22" t="str">
        <f t="shared" si="65"/>
        <v>unc</v>
      </c>
      <c r="AC23" s="22" t="str">
        <f t="shared" si="65"/>
        <v>unc</v>
      </c>
      <c r="AD23" s="22" t="str">
        <f t="shared" si="65"/>
        <v>unc</v>
      </c>
      <c r="AE23" s="22" t="str">
        <f t="shared" si="65"/>
        <v>unc</v>
      </c>
      <c r="AF23" s="22" t="str">
        <f t="shared" si="65"/>
        <v>unc</v>
      </c>
      <c r="AG23" s="22" t="str">
        <f t="shared" si="65"/>
        <v>unc</v>
      </c>
      <c r="AH23" s="22" t="str">
        <f t="shared" si="65"/>
        <v>unc</v>
      </c>
      <c r="AI23" s="22" t="str">
        <f t="shared" si="65"/>
        <v>unc</v>
      </c>
      <c r="AJ23" s="22" t="str">
        <f t="shared" si="65"/>
        <v>unc</v>
      </c>
      <c r="AK23" s="22" t="str">
        <f t="shared" si="65"/>
        <v>unc</v>
      </c>
      <c r="AL23" s="22" t="str">
        <f t="shared" ref="AL23:AU23" si="66">AK23</f>
        <v>unc</v>
      </c>
      <c r="AM23" s="22" t="str">
        <f t="shared" si="66"/>
        <v>unc</v>
      </c>
      <c r="AN23" s="22" t="str">
        <f t="shared" si="66"/>
        <v>unc</v>
      </c>
      <c r="AO23" s="22" t="str">
        <f t="shared" si="66"/>
        <v>unc</v>
      </c>
      <c r="AP23" s="22" t="str">
        <f t="shared" si="66"/>
        <v>unc</v>
      </c>
      <c r="AQ23" s="22" t="str">
        <f t="shared" si="66"/>
        <v>unc</v>
      </c>
      <c r="AR23" s="22" t="str">
        <f t="shared" si="66"/>
        <v>unc</v>
      </c>
      <c r="AS23" s="22" t="str">
        <f t="shared" si="66"/>
        <v>unc</v>
      </c>
      <c r="AT23" s="22" t="str">
        <f t="shared" si="66"/>
        <v>unc</v>
      </c>
      <c r="AU23" s="22" t="str">
        <f t="shared" si="66"/>
        <v>unc</v>
      </c>
    </row>
    <row r="24" spans="1:47" ht="15.5" x14ac:dyDescent="0.35">
      <c r="A24" s="172" t="str">
        <f t="shared" ref="A24:A35" si="67">A23</f>
        <v>MOD_CNST</v>
      </c>
      <c r="B24" s="29">
        <v>1</v>
      </c>
      <c r="C24" s="29" t="s">
        <v>85</v>
      </c>
      <c r="D24" s="29" t="s">
        <v>7</v>
      </c>
      <c r="E24" s="14" t="s">
        <v>11</v>
      </c>
      <c r="F24" s="14" t="s">
        <v>9</v>
      </c>
      <c r="G24" s="22"/>
      <c r="H24" s="22"/>
      <c r="I24" s="22"/>
      <c r="J24" s="22"/>
      <c r="K24" s="22"/>
      <c r="L24" s="22" t="s">
        <v>86</v>
      </c>
      <c r="M24" s="22" t="s">
        <v>86</v>
      </c>
      <c r="N24" s="22" t="s">
        <v>86</v>
      </c>
      <c r="O24" s="22" t="s">
        <v>86</v>
      </c>
      <c r="P24" s="22" t="s">
        <v>86</v>
      </c>
      <c r="Q24" s="22" t="s">
        <v>86</v>
      </c>
      <c r="R24" s="22" t="s">
        <v>86</v>
      </c>
      <c r="S24" s="22" t="str">
        <f t="shared" ref="S24:AK24" si="68">R24</f>
        <v>unc</v>
      </c>
      <c r="T24" s="22" t="str">
        <f t="shared" si="68"/>
        <v>unc</v>
      </c>
      <c r="U24" s="22" t="str">
        <f t="shared" si="68"/>
        <v>unc</v>
      </c>
      <c r="V24" s="22" t="str">
        <f t="shared" si="68"/>
        <v>unc</v>
      </c>
      <c r="W24" s="22" t="str">
        <f t="shared" si="68"/>
        <v>unc</v>
      </c>
      <c r="X24" s="22" t="str">
        <f t="shared" si="68"/>
        <v>unc</v>
      </c>
      <c r="Y24" s="22" t="str">
        <f t="shared" si="68"/>
        <v>unc</v>
      </c>
      <c r="Z24" s="22" t="str">
        <f t="shared" si="68"/>
        <v>unc</v>
      </c>
      <c r="AA24" s="22" t="str">
        <f t="shared" si="68"/>
        <v>unc</v>
      </c>
      <c r="AB24" s="22" t="str">
        <f t="shared" si="68"/>
        <v>unc</v>
      </c>
      <c r="AC24" s="22" t="str">
        <f t="shared" si="68"/>
        <v>unc</v>
      </c>
      <c r="AD24" s="22" t="str">
        <f t="shared" si="68"/>
        <v>unc</v>
      </c>
      <c r="AE24" s="22" t="str">
        <f t="shared" si="68"/>
        <v>unc</v>
      </c>
      <c r="AF24" s="22" t="str">
        <f t="shared" si="68"/>
        <v>unc</v>
      </c>
      <c r="AG24" s="22" t="str">
        <f t="shared" si="68"/>
        <v>unc</v>
      </c>
      <c r="AH24" s="22" t="str">
        <f t="shared" si="68"/>
        <v>unc</v>
      </c>
      <c r="AI24" s="22" t="str">
        <f t="shared" si="68"/>
        <v>unc</v>
      </c>
      <c r="AJ24" s="22" t="str">
        <f t="shared" si="68"/>
        <v>unc</v>
      </c>
      <c r="AK24" s="22" t="str">
        <f t="shared" si="68"/>
        <v>unc</v>
      </c>
      <c r="AL24" s="22" t="str">
        <f t="shared" ref="AL24:AU24" si="69">AK24</f>
        <v>unc</v>
      </c>
      <c r="AM24" s="22" t="str">
        <f t="shared" si="69"/>
        <v>unc</v>
      </c>
      <c r="AN24" s="22" t="str">
        <f t="shared" si="69"/>
        <v>unc</v>
      </c>
      <c r="AO24" s="22" t="str">
        <f t="shared" si="69"/>
        <v>unc</v>
      </c>
      <c r="AP24" s="22" t="str">
        <f t="shared" si="69"/>
        <v>unc</v>
      </c>
      <c r="AQ24" s="22" t="str">
        <f t="shared" si="69"/>
        <v>unc</v>
      </c>
      <c r="AR24" s="22" t="str">
        <f t="shared" si="69"/>
        <v>unc</v>
      </c>
      <c r="AS24" s="22" t="str">
        <f t="shared" si="69"/>
        <v>unc</v>
      </c>
      <c r="AT24" s="22" t="str">
        <f t="shared" si="69"/>
        <v>unc</v>
      </c>
      <c r="AU24" s="22" t="str">
        <f t="shared" si="69"/>
        <v>unc</v>
      </c>
    </row>
    <row r="25" spans="1:47" ht="15.5" x14ac:dyDescent="0.35">
      <c r="A25" s="172" t="str">
        <f t="shared" si="67"/>
        <v>MOD_CNST</v>
      </c>
      <c r="B25" s="28">
        <v>1</v>
      </c>
      <c r="C25" s="28" t="s">
        <v>85</v>
      </c>
      <c r="D25" s="28" t="s">
        <v>7</v>
      </c>
      <c r="E25" s="15" t="s">
        <v>8</v>
      </c>
      <c r="F25" s="15" t="s">
        <v>9</v>
      </c>
      <c r="G25" s="22"/>
      <c r="H25" s="22"/>
      <c r="I25" s="22"/>
      <c r="J25" s="22"/>
      <c r="K25" s="22"/>
      <c r="L25" s="22">
        <f>min_total_installed!G2</f>
        <v>4624</v>
      </c>
      <c r="M25" s="22">
        <f>min_total_installed!H2</f>
        <v>5299</v>
      </c>
      <c r="N25" s="22">
        <f>min_total_installed!I2</f>
        <v>5974</v>
      </c>
      <c r="O25" s="22">
        <f>min_total_installed!J2</f>
        <v>6649</v>
      </c>
      <c r="P25" s="22">
        <f>min_total_installed!K2</f>
        <v>7324</v>
      </c>
      <c r="Q25" s="22">
        <f>min_total_installed!L2</f>
        <v>7999</v>
      </c>
      <c r="R25" s="22">
        <f>min_total_installed!M2</f>
        <v>8674</v>
      </c>
      <c r="S25" s="22">
        <f>min_total_installed!N2</f>
        <v>9349</v>
      </c>
      <c r="T25" s="22">
        <f>min_total_installed!O2</f>
        <v>10024</v>
      </c>
      <c r="U25" s="22">
        <f>min_total_installed!P2</f>
        <v>10699</v>
      </c>
      <c r="V25" s="22">
        <f>min_total_installed!Q2</f>
        <v>11374</v>
      </c>
      <c r="W25" s="22">
        <f>min_total_installed!R2</f>
        <v>11374</v>
      </c>
      <c r="X25" s="22">
        <f>min_total_installed!S2</f>
        <v>11374</v>
      </c>
      <c r="Y25" s="22">
        <f>min_total_installed!T2</f>
        <v>11374</v>
      </c>
      <c r="Z25" s="22">
        <f>min_total_installed!U2</f>
        <v>11374</v>
      </c>
      <c r="AA25" s="22">
        <f>min_total_installed!V2</f>
        <v>11374</v>
      </c>
      <c r="AB25" s="22">
        <f>min_total_installed!W2</f>
        <v>11374</v>
      </c>
      <c r="AC25" s="22">
        <f>min_total_installed!X2</f>
        <v>11374</v>
      </c>
      <c r="AD25" s="22">
        <f>min_total_installed!Y2</f>
        <v>11374</v>
      </c>
      <c r="AE25" s="22">
        <f>min_total_installed!Z2</f>
        <v>11374</v>
      </c>
      <c r="AF25" s="22">
        <f>min_total_installed!AA2</f>
        <v>11374</v>
      </c>
      <c r="AG25" s="22">
        <f>min_total_installed!AB2</f>
        <v>11374</v>
      </c>
      <c r="AH25" s="22">
        <f>min_total_installed!AC2</f>
        <v>11374</v>
      </c>
      <c r="AI25" s="22">
        <f>min_total_installed!AD2</f>
        <v>11374</v>
      </c>
      <c r="AJ25" s="22">
        <f>min_total_installed!AE2</f>
        <v>11374</v>
      </c>
      <c r="AK25" s="22">
        <f>min_total_installed!AF2</f>
        <v>11374</v>
      </c>
      <c r="AL25" s="22">
        <f>min_total_installed!AG2</f>
        <v>11374</v>
      </c>
      <c r="AM25" s="22">
        <f>min_total_installed!AH2</f>
        <v>11374</v>
      </c>
      <c r="AN25" s="22">
        <f>min_total_installed!AI2</f>
        <v>11374</v>
      </c>
      <c r="AO25" s="22">
        <f>min_total_installed!AJ2</f>
        <v>11374</v>
      </c>
      <c r="AP25" s="22">
        <f>min_total_installed!AK2</f>
        <v>11374</v>
      </c>
      <c r="AQ25" s="22">
        <f>min_total_installed!AL2</f>
        <v>11374</v>
      </c>
      <c r="AR25" s="22">
        <f>min_total_installed!AM2</f>
        <v>11374</v>
      </c>
      <c r="AS25" s="22">
        <f>min_total_installed!AN2</f>
        <v>11374</v>
      </c>
      <c r="AT25" s="22">
        <f>min_total_installed!AO2</f>
        <v>11374</v>
      </c>
      <c r="AU25" s="22">
        <f>min_total_installed!AP2</f>
        <v>11374</v>
      </c>
    </row>
    <row r="26" spans="1:47" ht="15.5" x14ac:dyDescent="0.35">
      <c r="A26" s="172" t="str">
        <f t="shared" si="67"/>
        <v>MOD_CNST</v>
      </c>
      <c r="B26" s="29">
        <v>1</v>
      </c>
      <c r="C26" s="29" t="s">
        <v>85</v>
      </c>
      <c r="D26" s="29" t="s">
        <v>7</v>
      </c>
      <c r="E26" s="14" t="s">
        <v>12</v>
      </c>
      <c r="F26" s="14" t="s">
        <v>9</v>
      </c>
      <c r="G26" s="22"/>
      <c r="H26" s="22"/>
      <c r="I26" s="22"/>
      <c r="J26" s="22"/>
      <c r="K26" s="22"/>
      <c r="L26" s="22" t="s">
        <v>86</v>
      </c>
      <c r="M26" s="22" t="s">
        <v>86</v>
      </c>
      <c r="N26" s="22" t="s">
        <v>86</v>
      </c>
      <c r="O26" s="22" t="s">
        <v>86</v>
      </c>
      <c r="P26" s="22" t="s">
        <v>86</v>
      </c>
      <c r="Q26" s="22" t="s">
        <v>86</v>
      </c>
      <c r="R26" s="22" t="s">
        <v>86</v>
      </c>
      <c r="S26" s="22" t="str">
        <f t="shared" ref="S26:U36" si="70">R26</f>
        <v>unc</v>
      </c>
      <c r="T26" s="22" t="str">
        <f t="shared" si="70"/>
        <v>unc</v>
      </c>
      <c r="U26" s="22" t="str">
        <f t="shared" si="70"/>
        <v>unc</v>
      </c>
      <c r="V26" s="22" t="str">
        <f t="shared" ref="V26:AK26" si="71">U26</f>
        <v>unc</v>
      </c>
      <c r="W26" s="22" t="str">
        <f t="shared" si="71"/>
        <v>unc</v>
      </c>
      <c r="X26" s="22" t="str">
        <f t="shared" si="71"/>
        <v>unc</v>
      </c>
      <c r="Y26" s="22" t="str">
        <f t="shared" si="71"/>
        <v>unc</v>
      </c>
      <c r="Z26" s="22" t="str">
        <f t="shared" si="71"/>
        <v>unc</v>
      </c>
      <c r="AA26" s="22" t="str">
        <f t="shared" si="71"/>
        <v>unc</v>
      </c>
      <c r="AB26" s="22" t="str">
        <f t="shared" si="71"/>
        <v>unc</v>
      </c>
      <c r="AC26" s="22" t="str">
        <f t="shared" si="71"/>
        <v>unc</v>
      </c>
      <c r="AD26" s="22" t="str">
        <f t="shared" si="71"/>
        <v>unc</v>
      </c>
      <c r="AE26" s="22" t="str">
        <f t="shared" si="71"/>
        <v>unc</v>
      </c>
      <c r="AF26" s="22" t="str">
        <f t="shared" si="71"/>
        <v>unc</v>
      </c>
      <c r="AG26" s="22" t="str">
        <f t="shared" si="71"/>
        <v>unc</v>
      </c>
      <c r="AH26" s="22" t="str">
        <f t="shared" si="71"/>
        <v>unc</v>
      </c>
      <c r="AI26" s="22" t="str">
        <f t="shared" si="71"/>
        <v>unc</v>
      </c>
      <c r="AJ26" s="22" t="str">
        <f t="shared" si="71"/>
        <v>unc</v>
      </c>
      <c r="AK26" s="22" t="str">
        <f t="shared" si="71"/>
        <v>unc</v>
      </c>
      <c r="AL26" s="22" t="str">
        <f t="shared" ref="AL26:AU26" si="72">AK26</f>
        <v>unc</v>
      </c>
      <c r="AM26" s="22" t="str">
        <f t="shared" si="72"/>
        <v>unc</v>
      </c>
      <c r="AN26" s="22" t="str">
        <f t="shared" si="72"/>
        <v>unc</v>
      </c>
      <c r="AO26" s="22" t="str">
        <f t="shared" si="72"/>
        <v>unc</v>
      </c>
      <c r="AP26" s="22" t="str">
        <f t="shared" si="72"/>
        <v>unc</v>
      </c>
      <c r="AQ26" s="22" t="str">
        <f t="shared" si="72"/>
        <v>unc</v>
      </c>
      <c r="AR26" s="22" t="str">
        <f t="shared" si="72"/>
        <v>unc</v>
      </c>
      <c r="AS26" s="22" t="str">
        <f t="shared" si="72"/>
        <v>unc</v>
      </c>
      <c r="AT26" s="22" t="str">
        <f t="shared" si="72"/>
        <v>unc</v>
      </c>
      <c r="AU26" s="22" t="str">
        <f t="shared" si="72"/>
        <v>unc</v>
      </c>
    </row>
    <row r="27" spans="1:47" ht="15.5" x14ac:dyDescent="0.35">
      <c r="A27" s="172" t="str">
        <f t="shared" si="67"/>
        <v>MOD_CNST</v>
      </c>
      <c r="B27" s="28">
        <v>1</v>
      </c>
      <c r="C27" s="28" t="s">
        <v>85</v>
      </c>
      <c r="D27" s="28" t="s">
        <v>7</v>
      </c>
      <c r="E27" s="15" t="s">
        <v>13</v>
      </c>
      <c r="F27" s="15" t="s">
        <v>9</v>
      </c>
      <c r="G27" s="22"/>
      <c r="H27" s="22"/>
      <c r="I27" s="22"/>
      <c r="J27" s="22"/>
      <c r="K27" s="22"/>
      <c r="L27" s="22" t="s">
        <v>86</v>
      </c>
      <c r="M27" s="22" t="s">
        <v>86</v>
      </c>
      <c r="N27" s="22" t="s">
        <v>86</v>
      </c>
      <c r="O27" s="22" t="s">
        <v>86</v>
      </c>
      <c r="P27" s="22" t="s">
        <v>86</v>
      </c>
      <c r="Q27" s="22">
        <v>9000</v>
      </c>
      <c r="R27" s="22" t="s">
        <v>86</v>
      </c>
      <c r="S27" s="22" t="str">
        <f t="shared" si="70"/>
        <v>unc</v>
      </c>
      <c r="T27" s="22" t="str">
        <f t="shared" si="70"/>
        <v>unc</v>
      </c>
      <c r="U27" s="22" t="str">
        <f t="shared" si="70"/>
        <v>unc</v>
      </c>
      <c r="V27" s="22" t="str">
        <f t="shared" ref="V27:AK27" si="73">U27</f>
        <v>unc</v>
      </c>
      <c r="W27" s="22" t="str">
        <f t="shared" si="73"/>
        <v>unc</v>
      </c>
      <c r="X27" s="22" t="str">
        <f t="shared" si="73"/>
        <v>unc</v>
      </c>
      <c r="Y27" s="22" t="str">
        <f t="shared" si="73"/>
        <v>unc</v>
      </c>
      <c r="Z27" s="22" t="str">
        <f t="shared" si="73"/>
        <v>unc</v>
      </c>
      <c r="AA27" s="22" t="str">
        <f t="shared" si="73"/>
        <v>unc</v>
      </c>
      <c r="AB27" s="22" t="str">
        <f t="shared" si="73"/>
        <v>unc</v>
      </c>
      <c r="AC27" s="22" t="str">
        <f t="shared" si="73"/>
        <v>unc</v>
      </c>
      <c r="AD27" s="22" t="str">
        <f t="shared" si="73"/>
        <v>unc</v>
      </c>
      <c r="AE27" s="22" t="str">
        <f t="shared" si="73"/>
        <v>unc</v>
      </c>
      <c r="AF27" s="22" t="str">
        <f t="shared" si="73"/>
        <v>unc</v>
      </c>
      <c r="AG27" s="22" t="str">
        <f t="shared" si="73"/>
        <v>unc</v>
      </c>
      <c r="AH27" s="22" t="str">
        <f t="shared" si="73"/>
        <v>unc</v>
      </c>
      <c r="AI27" s="22" t="str">
        <f t="shared" si="73"/>
        <v>unc</v>
      </c>
      <c r="AJ27" s="22" t="str">
        <f t="shared" si="73"/>
        <v>unc</v>
      </c>
      <c r="AK27" s="22" t="str">
        <f t="shared" si="73"/>
        <v>unc</v>
      </c>
      <c r="AL27" s="22" t="str">
        <f t="shared" ref="AL27:AU27" si="74">AK27</f>
        <v>unc</v>
      </c>
      <c r="AM27" s="22" t="str">
        <f t="shared" si="74"/>
        <v>unc</v>
      </c>
      <c r="AN27" s="22" t="str">
        <f t="shared" si="74"/>
        <v>unc</v>
      </c>
      <c r="AO27" s="22" t="str">
        <f t="shared" si="74"/>
        <v>unc</v>
      </c>
      <c r="AP27" s="22" t="str">
        <f t="shared" si="74"/>
        <v>unc</v>
      </c>
      <c r="AQ27" s="22" t="str">
        <f t="shared" si="74"/>
        <v>unc</v>
      </c>
      <c r="AR27" s="22" t="str">
        <f t="shared" si="74"/>
        <v>unc</v>
      </c>
      <c r="AS27" s="22" t="str">
        <f t="shared" si="74"/>
        <v>unc</v>
      </c>
      <c r="AT27" s="22" t="str">
        <f t="shared" si="74"/>
        <v>unc</v>
      </c>
      <c r="AU27" s="22" t="str">
        <f t="shared" si="74"/>
        <v>unc</v>
      </c>
    </row>
    <row r="28" spans="1:47" ht="15.5" x14ac:dyDescent="0.35">
      <c r="A28" s="172" t="str">
        <f t="shared" si="67"/>
        <v>MOD_CNST</v>
      </c>
      <c r="B28" s="29">
        <v>1</v>
      </c>
      <c r="C28" s="29" t="s">
        <v>85</v>
      </c>
      <c r="D28" s="29" t="s">
        <v>7</v>
      </c>
      <c r="E28" s="14" t="s">
        <v>14</v>
      </c>
      <c r="F28" s="14" t="s">
        <v>9</v>
      </c>
      <c r="G28" s="22"/>
      <c r="H28" s="22"/>
      <c r="I28" s="22"/>
      <c r="J28" s="22"/>
      <c r="K28" s="22"/>
      <c r="L28" s="22" t="s">
        <v>86</v>
      </c>
      <c r="M28" s="22" t="s">
        <v>86</v>
      </c>
      <c r="N28" s="22" t="s">
        <v>86</v>
      </c>
      <c r="O28" s="22" t="s">
        <v>86</v>
      </c>
      <c r="P28" s="22" t="s">
        <v>86</v>
      </c>
      <c r="Q28" s="22" t="s">
        <v>86</v>
      </c>
      <c r="R28" s="22" t="s">
        <v>86</v>
      </c>
      <c r="S28" s="22" t="str">
        <f t="shared" si="70"/>
        <v>unc</v>
      </c>
      <c r="T28" s="22" t="str">
        <f t="shared" si="70"/>
        <v>unc</v>
      </c>
      <c r="U28" s="22" t="str">
        <f t="shared" si="70"/>
        <v>unc</v>
      </c>
      <c r="V28" s="22" t="str">
        <f t="shared" ref="V28:AK28" si="75">U28</f>
        <v>unc</v>
      </c>
      <c r="W28" s="22" t="str">
        <f t="shared" si="75"/>
        <v>unc</v>
      </c>
      <c r="X28" s="22" t="str">
        <f t="shared" si="75"/>
        <v>unc</v>
      </c>
      <c r="Y28" s="22" t="str">
        <f t="shared" si="75"/>
        <v>unc</v>
      </c>
      <c r="Z28" s="22" t="str">
        <f t="shared" si="75"/>
        <v>unc</v>
      </c>
      <c r="AA28" s="22" t="str">
        <f t="shared" si="75"/>
        <v>unc</v>
      </c>
      <c r="AB28" s="22" t="str">
        <f t="shared" si="75"/>
        <v>unc</v>
      </c>
      <c r="AC28" s="22" t="str">
        <f t="shared" si="75"/>
        <v>unc</v>
      </c>
      <c r="AD28" s="22" t="str">
        <f t="shared" si="75"/>
        <v>unc</v>
      </c>
      <c r="AE28" s="22" t="str">
        <f t="shared" si="75"/>
        <v>unc</v>
      </c>
      <c r="AF28" s="22" t="str">
        <f t="shared" si="75"/>
        <v>unc</v>
      </c>
      <c r="AG28" s="22" t="str">
        <f t="shared" si="75"/>
        <v>unc</v>
      </c>
      <c r="AH28" s="22" t="str">
        <f t="shared" si="75"/>
        <v>unc</v>
      </c>
      <c r="AI28" s="22" t="str">
        <f t="shared" si="75"/>
        <v>unc</v>
      </c>
      <c r="AJ28" s="22" t="str">
        <f t="shared" si="75"/>
        <v>unc</v>
      </c>
      <c r="AK28" s="22" t="str">
        <f t="shared" si="75"/>
        <v>unc</v>
      </c>
      <c r="AL28" s="22" t="str">
        <f t="shared" ref="AL28:AU28" si="76">AK28</f>
        <v>unc</v>
      </c>
      <c r="AM28" s="22" t="str">
        <f t="shared" si="76"/>
        <v>unc</v>
      </c>
      <c r="AN28" s="22" t="str">
        <f t="shared" si="76"/>
        <v>unc</v>
      </c>
      <c r="AO28" s="22" t="str">
        <f t="shared" si="76"/>
        <v>unc</v>
      </c>
      <c r="AP28" s="22" t="str">
        <f t="shared" si="76"/>
        <v>unc</v>
      </c>
      <c r="AQ28" s="22" t="str">
        <f t="shared" si="76"/>
        <v>unc</v>
      </c>
      <c r="AR28" s="22" t="str">
        <f t="shared" si="76"/>
        <v>unc</v>
      </c>
      <c r="AS28" s="22" t="str">
        <f t="shared" si="76"/>
        <v>unc</v>
      </c>
      <c r="AT28" s="22" t="str">
        <f t="shared" si="76"/>
        <v>unc</v>
      </c>
      <c r="AU28" s="22" t="str">
        <f t="shared" si="76"/>
        <v>unc</v>
      </c>
    </row>
    <row r="29" spans="1:47" ht="15.5" x14ac:dyDescent="0.35">
      <c r="A29" s="172" t="str">
        <f t="shared" si="67"/>
        <v>MOD_CNST</v>
      </c>
      <c r="B29" s="28">
        <v>1</v>
      </c>
      <c r="C29" s="28" t="s">
        <v>85</v>
      </c>
      <c r="D29" s="28" t="s">
        <v>7</v>
      </c>
      <c r="E29" s="15" t="s">
        <v>15</v>
      </c>
      <c r="F29" s="15" t="s">
        <v>16</v>
      </c>
      <c r="G29" s="22"/>
      <c r="H29" s="22"/>
      <c r="I29" s="22"/>
      <c r="J29" s="22"/>
      <c r="K29" s="22"/>
      <c r="L29" s="22" t="s">
        <v>86</v>
      </c>
      <c r="M29" s="22" t="s">
        <v>86</v>
      </c>
      <c r="N29" s="22" t="s">
        <v>86</v>
      </c>
      <c r="O29" s="22" t="s">
        <v>86</v>
      </c>
      <c r="P29" s="22" t="s">
        <v>86</v>
      </c>
      <c r="Q29" s="22" t="s">
        <v>86</v>
      </c>
      <c r="R29" s="22" t="s">
        <v>86</v>
      </c>
      <c r="S29" s="22" t="str">
        <f t="shared" si="70"/>
        <v>unc</v>
      </c>
      <c r="T29" s="22" t="str">
        <f t="shared" si="70"/>
        <v>unc</v>
      </c>
      <c r="U29" s="22" t="str">
        <f t="shared" si="70"/>
        <v>unc</v>
      </c>
      <c r="V29" s="22" t="str">
        <f t="shared" ref="V29:AK29" si="77">U29</f>
        <v>unc</v>
      </c>
      <c r="W29" s="22" t="str">
        <f t="shared" si="77"/>
        <v>unc</v>
      </c>
      <c r="X29" s="22" t="str">
        <f t="shared" si="77"/>
        <v>unc</v>
      </c>
      <c r="Y29" s="22" t="str">
        <f t="shared" si="77"/>
        <v>unc</v>
      </c>
      <c r="Z29" s="22" t="str">
        <f t="shared" si="77"/>
        <v>unc</v>
      </c>
      <c r="AA29" s="22" t="str">
        <f t="shared" si="77"/>
        <v>unc</v>
      </c>
      <c r="AB29" s="22" t="str">
        <f t="shared" si="77"/>
        <v>unc</v>
      </c>
      <c r="AC29" s="22" t="str">
        <f t="shared" si="77"/>
        <v>unc</v>
      </c>
      <c r="AD29" s="22" t="str">
        <f t="shared" si="77"/>
        <v>unc</v>
      </c>
      <c r="AE29" s="22" t="str">
        <f t="shared" si="77"/>
        <v>unc</v>
      </c>
      <c r="AF29" s="22" t="str">
        <f t="shared" si="77"/>
        <v>unc</v>
      </c>
      <c r="AG29" s="22" t="str">
        <f t="shared" si="77"/>
        <v>unc</v>
      </c>
      <c r="AH29" s="22" t="str">
        <f t="shared" si="77"/>
        <v>unc</v>
      </c>
      <c r="AI29" s="22" t="str">
        <f t="shared" si="77"/>
        <v>unc</v>
      </c>
      <c r="AJ29" s="22" t="str">
        <f t="shared" si="77"/>
        <v>unc</v>
      </c>
      <c r="AK29" s="22" t="str">
        <f t="shared" si="77"/>
        <v>unc</v>
      </c>
      <c r="AL29" s="22" t="str">
        <f t="shared" ref="AL29:AU29" si="78">AK29</f>
        <v>unc</v>
      </c>
      <c r="AM29" s="22" t="str">
        <f t="shared" si="78"/>
        <v>unc</v>
      </c>
      <c r="AN29" s="22" t="str">
        <f t="shared" si="78"/>
        <v>unc</v>
      </c>
      <c r="AO29" s="22" t="str">
        <f t="shared" si="78"/>
        <v>unc</v>
      </c>
      <c r="AP29" s="22" t="str">
        <f t="shared" si="78"/>
        <v>unc</v>
      </c>
      <c r="AQ29" s="22" t="str">
        <f t="shared" si="78"/>
        <v>unc</v>
      </c>
      <c r="AR29" s="22" t="str">
        <f t="shared" si="78"/>
        <v>unc</v>
      </c>
      <c r="AS29" s="22" t="str">
        <f t="shared" si="78"/>
        <v>unc</v>
      </c>
      <c r="AT29" s="22" t="str">
        <f t="shared" si="78"/>
        <v>unc</v>
      </c>
      <c r="AU29" s="22" t="str">
        <f t="shared" si="78"/>
        <v>unc</v>
      </c>
    </row>
    <row r="30" spans="1:47" ht="15.5" x14ac:dyDescent="0.35">
      <c r="A30" s="172" t="str">
        <f t="shared" si="67"/>
        <v>MOD_CNST</v>
      </c>
      <c r="B30" s="29">
        <v>1</v>
      </c>
      <c r="C30" s="29" t="s">
        <v>85</v>
      </c>
      <c r="D30" s="29" t="s">
        <v>7</v>
      </c>
      <c r="E30" s="14" t="s">
        <v>17</v>
      </c>
      <c r="F30" s="14" t="s">
        <v>16</v>
      </c>
      <c r="G30" s="22"/>
      <c r="H30" s="22"/>
      <c r="I30" s="22"/>
      <c r="J30" s="22"/>
      <c r="K30" s="22"/>
      <c r="L30" s="22" t="s">
        <v>86</v>
      </c>
      <c r="M30" s="22" t="s">
        <v>86</v>
      </c>
      <c r="N30" s="22" t="s">
        <v>86</v>
      </c>
      <c r="O30" s="22" t="s">
        <v>86</v>
      </c>
      <c r="P30" s="22" t="s">
        <v>86</v>
      </c>
      <c r="Q30" s="22" t="s">
        <v>86</v>
      </c>
      <c r="R30" s="22" t="s">
        <v>86</v>
      </c>
      <c r="S30" s="22" t="str">
        <f t="shared" si="70"/>
        <v>unc</v>
      </c>
      <c r="T30" s="22" t="str">
        <f t="shared" si="70"/>
        <v>unc</v>
      </c>
      <c r="U30" s="22" t="str">
        <f t="shared" si="70"/>
        <v>unc</v>
      </c>
      <c r="V30" s="22" t="str">
        <f t="shared" ref="V30:AK30" si="79">U30</f>
        <v>unc</v>
      </c>
      <c r="W30" s="22" t="str">
        <f t="shared" si="79"/>
        <v>unc</v>
      </c>
      <c r="X30" s="22" t="str">
        <f t="shared" si="79"/>
        <v>unc</v>
      </c>
      <c r="Y30" s="22" t="str">
        <f t="shared" si="79"/>
        <v>unc</v>
      </c>
      <c r="Z30" s="22" t="str">
        <f t="shared" si="79"/>
        <v>unc</v>
      </c>
      <c r="AA30" s="22" t="str">
        <f t="shared" si="79"/>
        <v>unc</v>
      </c>
      <c r="AB30" s="22" t="str">
        <f t="shared" si="79"/>
        <v>unc</v>
      </c>
      <c r="AC30" s="22" t="str">
        <f t="shared" si="79"/>
        <v>unc</v>
      </c>
      <c r="AD30" s="22" t="str">
        <f t="shared" si="79"/>
        <v>unc</v>
      </c>
      <c r="AE30" s="22" t="str">
        <f t="shared" si="79"/>
        <v>unc</v>
      </c>
      <c r="AF30" s="22" t="str">
        <f t="shared" si="79"/>
        <v>unc</v>
      </c>
      <c r="AG30" s="22" t="str">
        <f t="shared" si="79"/>
        <v>unc</v>
      </c>
      <c r="AH30" s="22" t="str">
        <f t="shared" si="79"/>
        <v>unc</v>
      </c>
      <c r="AI30" s="22" t="str">
        <f t="shared" si="79"/>
        <v>unc</v>
      </c>
      <c r="AJ30" s="22" t="str">
        <f t="shared" si="79"/>
        <v>unc</v>
      </c>
      <c r="AK30" s="22" t="str">
        <f t="shared" si="79"/>
        <v>unc</v>
      </c>
      <c r="AL30" s="22" t="str">
        <f t="shared" ref="AL30:AU30" si="80">AK30</f>
        <v>unc</v>
      </c>
      <c r="AM30" s="22" t="str">
        <f t="shared" si="80"/>
        <v>unc</v>
      </c>
      <c r="AN30" s="22" t="str">
        <f t="shared" si="80"/>
        <v>unc</v>
      </c>
      <c r="AO30" s="22" t="str">
        <f t="shared" si="80"/>
        <v>unc</v>
      </c>
      <c r="AP30" s="22" t="str">
        <f t="shared" si="80"/>
        <v>unc</v>
      </c>
      <c r="AQ30" s="22" t="str">
        <f t="shared" si="80"/>
        <v>unc</v>
      </c>
      <c r="AR30" s="22" t="str">
        <f t="shared" si="80"/>
        <v>unc</v>
      </c>
      <c r="AS30" s="22" t="str">
        <f t="shared" si="80"/>
        <v>unc</v>
      </c>
      <c r="AT30" s="22" t="str">
        <f t="shared" si="80"/>
        <v>unc</v>
      </c>
      <c r="AU30" s="22" t="str">
        <f t="shared" si="80"/>
        <v>unc</v>
      </c>
    </row>
    <row r="31" spans="1:47" ht="15.5" x14ac:dyDescent="0.35">
      <c r="A31" s="172" t="str">
        <f t="shared" si="67"/>
        <v>MOD_CNST</v>
      </c>
      <c r="B31" s="28">
        <v>1</v>
      </c>
      <c r="C31" s="28" t="s">
        <v>85</v>
      </c>
      <c r="D31" s="28" t="s">
        <v>7</v>
      </c>
      <c r="E31" s="15" t="s">
        <v>18</v>
      </c>
      <c r="F31" s="15" t="s">
        <v>16</v>
      </c>
      <c r="G31" s="22"/>
      <c r="H31" s="22"/>
      <c r="I31" s="22"/>
      <c r="J31" s="22"/>
      <c r="K31" s="22"/>
      <c r="L31" s="22" t="s">
        <v>86</v>
      </c>
      <c r="M31" s="22" t="s">
        <v>86</v>
      </c>
      <c r="N31" s="22" t="s">
        <v>86</v>
      </c>
      <c r="O31" s="22" t="s">
        <v>86</v>
      </c>
      <c r="P31" s="22" t="s">
        <v>86</v>
      </c>
      <c r="Q31" s="22" t="s">
        <v>86</v>
      </c>
      <c r="R31" s="22" t="s">
        <v>86</v>
      </c>
      <c r="S31" s="22" t="str">
        <f t="shared" si="70"/>
        <v>unc</v>
      </c>
      <c r="T31" s="22" t="str">
        <f t="shared" si="70"/>
        <v>unc</v>
      </c>
      <c r="U31" s="22" t="str">
        <f t="shared" si="70"/>
        <v>unc</v>
      </c>
      <c r="V31" s="22" t="str">
        <f t="shared" ref="V31:AK31" si="81">U31</f>
        <v>unc</v>
      </c>
      <c r="W31" s="22" t="str">
        <f t="shared" si="81"/>
        <v>unc</v>
      </c>
      <c r="X31" s="22" t="str">
        <f t="shared" si="81"/>
        <v>unc</v>
      </c>
      <c r="Y31" s="22" t="str">
        <f t="shared" si="81"/>
        <v>unc</v>
      </c>
      <c r="Z31" s="22" t="str">
        <f t="shared" si="81"/>
        <v>unc</v>
      </c>
      <c r="AA31" s="22" t="str">
        <f t="shared" si="81"/>
        <v>unc</v>
      </c>
      <c r="AB31" s="22" t="str">
        <f t="shared" si="81"/>
        <v>unc</v>
      </c>
      <c r="AC31" s="22" t="str">
        <f t="shared" si="81"/>
        <v>unc</v>
      </c>
      <c r="AD31" s="22" t="str">
        <f t="shared" si="81"/>
        <v>unc</v>
      </c>
      <c r="AE31" s="22" t="str">
        <f t="shared" si="81"/>
        <v>unc</v>
      </c>
      <c r="AF31" s="22" t="str">
        <f t="shared" si="81"/>
        <v>unc</v>
      </c>
      <c r="AG31" s="22" t="str">
        <f t="shared" si="81"/>
        <v>unc</v>
      </c>
      <c r="AH31" s="22" t="str">
        <f t="shared" si="81"/>
        <v>unc</v>
      </c>
      <c r="AI31" s="22" t="str">
        <f t="shared" si="81"/>
        <v>unc</v>
      </c>
      <c r="AJ31" s="22" t="str">
        <f t="shared" si="81"/>
        <v>unc</v>
      </c>
      <c r="AK31" s="22" t="str">
        <f t="shared" si="81"/>
        <v>unc</v>
      </c>
      <c r="AL31" s="22" t="str">
        <f t="shared" ref="AL31:AU31" si="82">AK31</f>
        <v>unc</v>
      </c>
      <c r="AM31" s="22" t="str">
        <f t="shared" si="82"/>
        <v>unc</v>
      </c>
      <c r="AN31" s="22" t="str">
        <f t="shared" si="82"/>
        <v>unc</v>
      </c>
      <c r="AO31" s="22" t="str">
        <f t="shared" si="82"/>
        <v>unc</v>
      </c>
      <c r="AP31" s="22" t="str">
        <f t="shared" si="82"/>
        <v>unc</v>
      </c>
      <c r="AQ31" s="22" t="str">
        <f t="shared" si="82"/>
        <v>unc</v>
      </c>
      <c r="AR31" s="22" t="str">
        <f t="shared" si="82"/>
        <v>unc</v>
      </c>
      <c r="AS31" s="22" t="str">
        <f t="shared" si="82"/>
        <v>unc</v>
      </c>
      <c r="AT31" s="22" t="str">
        <f t="shared" si="82"/>
        <v>unc</v>
      </c>
      <c r="AU31" s="22" t="str">
        <f t="shared" si="82"/>
        <v>unc</v>
      </c>
    </row>
    <row r="32" spans="1:47" ht="15.5" x14ac:dyDescent="0.35">
      <c r="A32" s="172" t="str">
        <f t="shared" si="67"/>
        <v>MOD_CNST</v>
      </c>
      <c r="B32" s="29">
        <v>1</v>
      </c>
      <c r="C32" s="29" t="s">
        <v>85</v>
      </c>
      <c r="D32" s="29" t="s">
        <v>7</v>
      </c>
      <c r="E32" s="14" t="s">
        <v>19</v>
      </c>
      <c r="F32" s="14" t="s">
        <v>16</v>
      </c>
      <c r="G32" s="22"/>
      <c r="H32" s="22"/>
      <c r="I32" s="22"/>
      <c r="J32" s="22"/>
      <c r="K32" s="22"/>
      <c r="L32" s="22" t="s">
        <v>86</v>
      </c>
      <c r="M32" s="22" t="s">
        <v>86</v>
      </c>
      <c r="N32" s="22" t="s">
        <v>86</v>
      </c>
      <c r="O32" s="22" t="s">
        <v>86</v>
      </c>
      <c r="P32" s="22" t="s">
        <v>86</v>
      </c>
      <c r="Q32" s="22" t="s">
        <v>86</v>
      </c>
      <c r="R32" s="22" t="s">
        <v>86</v>
      </c>
      <c r="S32" s="22" t="str">
        <f t="shared" si="70"/>
        <v>unc</v>
      </c>
      <c r="T32" s="22" t="str">
        <f t="shared" si="70"/>
        <v>unc</v>
      </c>
      <c r="U32" s="22" t="str">
        <f t="shared" si="70"/>
        <v>unc</v>
      </c>
      <c r="V32" s="22" t="str">
        <f t="shared" ref="V32:AK32" si="83">U32</f>
        <v>unc</v>
      </c>
      <c r="W32" s="22" t="str">
        <f t="shared" si="83"/>
        <v>unc</v>
      </c>
      <c r="X32" s="22" t="str">
        <f t="shared" si="83"/>
        <v>unc</v>
      </c>
      <c r="Y32" s="22" t="str">
        <f t="shared" si="83"/>
        <v>unc</v>
      </c>
      <c r="Z32" s="22" t="str">
        <f t="shared" si="83"/>
        <v>unc</v>
      </c>
      <c r="AA32" s="22" t="str">
        <f t="shared" si="83"/>
        <v>unc</v>
      </c>
      <c r="AB32" s="22" t="str">
        <f t="shared" si="83"/>
        <v>unc</v>
      </c>
      <c r="AC32" s="22" t="str">
        <f t="shared" si="83"/>
        <v>unc</v>
      </c>
      <c r="AD32" s="22" t="str">
        <f t="shared" si="83"/>
        <v>unc</v>
      </c>
      <c r="AE32" s="22" t="str">
        <f t="shared" si="83"/>
        <v>unc</v>
      </c>
      <c r="AF32" s="22" t="str">
        <f t="shared" si="83"/>
        <v>unc</v>
      </c>
      <c r="AG32" s="22" t="str">
        <f t="shared" si="83"/>
        <v>unc</v>
      </c>
      <c r="AH32" s="22" t="str">
        <f t="shared" si="83"/>
        <v>unc</v>
      </c>
      <c r="AI32" s="22" t="str">
        <f t="shared" si="83"/>
        <v>unc</v>
      </c>
      <c r="AJ32" s="22" t="str">
        <f t="shared" si="83"/>
        <v>unc</v>
      </c>
      <c r="AK32" s="22" t="str">
        <f t="shared" si="83"/>
        <v>unc</v>
      </c>
      <c r="AL32" s="22" t="str">
        <f t="shared" ref="AL32:AU32" si="84">AK32</f>
        <v>unc</v>
      </c>
      <c r="AM32" s="22" t="str">
        <f t="shared" si="84"/>
        <v>unc</v>
      </c>
      <c r="AN32" s="22" t="str">
        <f t="shared" si="84"/>
        <v>unc</v>
      </c>
      <c r="AO32" s="22" t="str">
        <f t="shared" si="84"/>
        <v>unc</v>
      </c>
      <c r="AP32" s="22" t="str">
        <f t="shared" si="84"/>
        <v>unc</v>
      </c>
      <c r="AQ32" s="22" t="str">
        <f t="shared" si="84"/>
        <v>unc</v>
      </c>
      <c r="AR32" s="22" t="str">
        <f t="shared" si="84"/>
        <v>unc</v>
      </c>
      <c r="AS32" s="22" t="str">
        <f t="shared" si="84"/>
        <v>unc</v>
      </c>
      <c r="AT32" s="22" t="str">
        <f t="shared" si="84"/>
        <v>unc</v>
      </c>
      <c r="AU32" s="22" t="str">
        <f t="shared" si="84"/>
        <v>unc</v>
      </c>
    </row>
    <row r="33" spans="1:47" ht="15.5" x14ac:dyDescent="0.35">
      <c r="A33" s="172" t="str">
        <f t="shared" si="67"/>
        <v>MOD_CNST</v>
      </c>
      <c r="B33" s="28">
        <v>1</v>
      </c>
      <c r="C33" s="28" t="s">
        <v>85</v>
      </c>
      <c r="D33" s="28" t="s">
        <v>7</v>
      </c>
      <c r="E33" s="15" t="s">
        <v>20</v>
      </c>
      <c r="F33" s="15" t="s">
        <v>16</v>
      </c>
      <c r="G33" s="22"/>
      <c r="H33" s="22"/>
      <c r="I33" s="22"/>
      <c r="J33" s="22"/>
      <c r="K33" s="22"/>
      <c r="L33" s="22" t="s">
        <v>86</v>
      </c>
      <c r="M33" s="22" t="s">
        <v>86</v>
      </c>
      <c r="N33" s="22" t="s">
        <v>86</v>
      </c>
      <c r="O33" s="22" t="s">
        <v>86</v>
      </c>
      <c r="P33" s="22" t="s">
        <v>86</v>
      </c>
      <c r="Q33" s="22" t="s">
        <v>86</v>
      </c>
      <c r="R33" s="22" t="s">
        <v>86</v>
      </c>
      <c r="S33" s="22" t="str">
        <f t="shared" si="70"/>
        <v>unc</v>
      </c>
      <c r="T33" s="22" t="str">
        <f t="shared" si="70"/>
        <v>unc</v>
      </c>
      <c r="U33" s="22" t="str">
        <f t="shared" si="70"/>
        <v>unc</v>
      </c>
      <c r="V33" s="22" t="str">
        <f t="shared" ref="V33:AK33" si="85">U33</f>
        <v>unc</v>
      </c>
      <c r="W33" s="22" t="str">
        <f t="shared" si="85"/>
        <v>unc</v>
      </c>
      <c r="X33" s="22" t="str">
        <f t="shared" si="85"/>
        <v>unc</v>
      </c>
      <c r="Y33" s="22" t="str">
        <f t="shared" si="85"/>
        <v>unc</v>
      </c>
      <c r="Z33" s="22" t="str">
        <f t="shared" si="85"/>
        <v>unc</v>
      </c>
      <c r="AA33" s="22" t="str">
        <f t="shared" si="85"/>
        <v>unc</v>
      </c>
      <c r="AB33" s="22" t="str">
        <f t="shared" si="85"/>
        <v>unc</v>
      </c>
      <c r="AC33" s="22" t="str">
        <f t="shared" si="85"/>
        <v>unc</v>
      </c>
      <c r="AD33" s="22" t="str">
        <f t="shared" si="85"/>
        <v>unc</v>
      </c>
      <c r="AE33" s="22" t="str">
        <f t="shared" si="85"/>
        <v>unc</v>
      </c>
      <c r="AF33" s="22" t="str">
        <f t="shared" si="85"/>
        <v>unc</v>
      </c>
      <c r="AG33" s="22" t="str">
        <f t="shared" si="85"/>
        <v>unc</v>
      </c>
      <c r="AH33" s="22" t="str">
        <f t="shared" si="85"/>
        <v>unc</v>
      </c>
      <c r="AI33" s="22" t="str">
        <f t="shared" si="85"/>
        <v>unc</v>
      </c>
      <c r="AJ33" s="22" t="str">
        <f t="shared" si="85"/>
        <v>unc</v>
      </c>
      <c r="AK33" s="22" t="str">
        <f t="shared" si="85"/>
        <v>unc</v>
      </c>
      <c r="AL33" s="22" t="str">
        <f t="shared" ref="AL33:AU33" si="86">AK33</f>
        <v>unc</v>
      </c>
      <c r="AM33" s="22" t="str">
        <f t="shared" si="86"/>
        <v>unc</v>
      </c>
      <c r="AN33" s="22" t="str">
        <f t="shared" si="86"/>
        <v>unc</v>
      </c>
      <c r="AO33" s="22" t="str">
        <f t="shared" si="86"/>
        <v>unc</v>
      </c>
      <c r="AP33" s="22" t="str">
        <f t="shared" si="86"/>
        <v>unc</v>
      </c>
      <c r="AQ33" s="22" t="str">
        <f t="shared" si="86"/>
        <v>unc</v>
      </c>
      <c r="AR33" s="22" t="str">
        <f t="shared" si="86"/>
        <v>unc</v>
      </c>
      <c r="AS33" s="22" t="str">
        <f t="shared" si="86"/>
        <v>unc</v>
      </c>
      <c r="AT33" s="22" t="str">
        <f t="shared" si="86"/>
        <v>unc</v>
      </c>
      <c r="AU33" s="22" t="str">
        <f t="shared" si="86"/>
        <v>unc</v>
      </c>
    </row>
    <row r="34" spans="1:47" ht="15.5" x14ac:dyDescent="0.35">
      <c r="A34" s="172" t="str">
        <f t="shared" si="67"/>
        <v>MOD_CNST</v>
      </c>
      <c r="B34" s="29">
        <v>1</v>
      </c>
      <c r="C34" s="29" t="s">
        <v>85</v>
      </c>
      <c r="D34" s="29" t="s">
        <v>7</v>
      </c>
      <c r="E34" s="14" t="s">
        <v>21</v>
      </c>
      <c r="F34" s="14" t="s">
        <v>16</v>
      </c>
      <c r="G34" s="22"/>
      <c r="H34" s="22"/>
      <c r="I34" s="22"/>
      <c r="J34" s="22"/>
      <c r="K34" s="22"/>
      <c r="L34" s="22" t="s">
        <v>86</v>
      </c>
      <c r="M34" s="22" t="s">
        <v>86</v>
      </c>
      <c r="N34" s="22" t="s">
        <v>86</v>
      </c>
      <c r="O34" s="22" t="s">
        <v>86</v>
      </c>
      <c r="P34" s="22" t="s">
        <v>86</v>
      </c>
      <c r="Q34" s="22" t="s">
        <v>86</v>
      </c>
      <c r="R34" s="22" t="s">
        <v>86</v>
      </c>
      <c r="S34" s="22" t="str">
        <f t="shared" si="70"/>
        <v>unc</v>
      </c>
      <c r="T34" s="22" t="str">
        <f t="shared" si="70"/>
        <v>unc</v>
      </c>
      <c r="U34" s="22" t="str">
        <f t="shared" si="70"/>
        <v>unc</v>
      </c>
      <c r="V34" s="22" t="str">
        <f t="shared" ref="V34:AK34" si="87">U34</f>
        <v>unc</v>
      </c>
      <c r="W34" s="22" t="str">
        <f t="shared" si="87"/>
        <v>unc</v>
      </c>
      <c r="X34" s="22" t="str">
        <f t="shared" si="87"/>
        <v>unc</v>
      </c>
      <c r="Y34" s="22" t="str">
        <f t="shared" si="87"/>
        <v>unc</v>
      </c>
      <c r="Z34" s="22" t="str">
        <f t="shared" si="87"/>
        <v>unc</v>
      </c>
      <c r="AA34" s="22" t="str">
        <f t="shared" si="87"/>
        <v>unc</v>
      </c>
      <c r="AB34" s="22" t="str">
        <f t="shared" si="87"/>
        <v>unc</v>
      </c>
      <c r="AC34" s="22" t="str">
        <f t="shared" si="87"/>
        <v>unc</v>
      </c>
      <c r="AD34" s="22" t="str">
        <f t="shared" si="87"/>
        <v>unc</v>
      </c>
      <c r="AE34" s="22" t="str">
        <f t="shared" si="87"/>
        <v>unc</v>
      </c>
      <c r="AF34" s="22" t="str">
        <f t="shared" si="87"/>
        <v>unc</v>
      </c>
      <c r="AG34" s="22" t="str">
        <f t="shared" si="87"/>
        <v>unc</v>
      </c>
      <c r="AH34" s="22" t="str">
        <f t="shared" si="87"/>
        <v>unc</v>
      </c>
      <c r="AI34" s="22" t="str">
        <f t="shared" si="87"/>
        <v>unc</v>
      </c>
      <c r="AJ34" s="22" t="str">
        <f t="shared" si="87"/>
        <v>unc</v>
      </c>
      <c r="AK34" s="22" t="str">
        <f t="shared" si="87"/>
        <v>unc</v>
      </c>
      <c r="AL34" s="22" t="str">
        <f t="shared" ref="AL34:AU34" si="88">AK34</f>
        <v>unc</v>
      </c>
      <c r="AM34" s="22" t="str">
        <f t="shared" si="88"/>
        <v>unc</v>
      </c>
      <c r="AN34" s="22" t="str">
        <f t="shared" si="88"/>
        <v>unc</v>
      </c>
      <c r="AO34" s="22" t="str">
        <f t="shared" si="88"/>
        <v>unc</v>
      </c>
      <c r="AP34" s="22" t="str">
        <f t="shared" si="88"/>
        <v>unc</v>
      </c>
      <c r="AQ34" s="22" t="str">
        <f t="shared" si="88"/>
        <v>unc</v>
      </c>
      <c r="AR34" s="22" t="str">
        <f t="shared" si="88"/>
        <v>unc</v>
      </c>
      <c r="AS34" s="22" t="str">
        <f t="shared" si="88"/>
        <v>unc</v>
      </c>
      <c r="AT34" s="22" t="str">
        <f t="shared" si="88"/>
        <v>unc</v>
      </c>
      <c r="AU34" s="22" t="str">
        <f t="shared" si="88"/>
        <v>unc</v>
      </c>
    </row>
    <row r="35" spans="1:47" ht="15.5" x14ac:dyDescent="0.35">
      <c r="A35" s="172" t="str">
        <f t="shared" si="67"/>
        <v>MOD_CNST</v>
      </c>
      <c r="B35" s="28">
        <v>1</v>
      </c>
      <c r="C35" s="28" t="s">
        <v>85</v>
      </c>
      <c r="D35" s="28" t="s">
        <v>7</v>
      </c>
      <c r="E35" s="15" t="s">
        <v>22</v>
      </c>
      <c r="F35" s="15" t="s">
        <v>16</v>
      </c>
      <c r="G35" s="22"/>
      <c r="H35" s="22"/>
      <c r="I35" s="22"/>
      <c r="J35" s="22"/>
      <c r="K35" s="22"/>
      <c r="L35" s="22" t="s">
        <v>86</v>
      </c>
      <c r="M35" s="22" t="s">
        <v>86</v>
      </c>
      <c r="N35" s="22" t="s">
        <v>86</v>
      </c>
      <c r="O35" s="22" t="s">
        <v>86</v>
      </c>
      <c r="P35" s="22" t="s">
        <v>86</v>
      </c>
      <c r="Q35" s="22" t="s">
        <v>86</v>
      </c>
      <c r="R35" s="22" t="s">
        <v>86</v>
      </c>
      <c r="S35" s="22" t="str">
        <f t="shared" si="70"/>
        <v>unc</v>
      </c>
      <c r="T35" s="22" t="str">
        <f t="shared" si="70"/>
        <v>unc</v>
      </c>
      <c r="U35" s="22" t="str">
        <f t="shared" si="70"/>
        <v>unc</v>
      </c>
      <c r="V35" s="22" t="str">
        <f t="shared" ref="V35:AK35" si="89">U35</f>
        <v>unc</v>
      </c>
      <c r="W35" s="22" t="str">
        <f t="shared" si="89"/>
        <v>unc</v>
      </c>
      <c r="X35" s="22" t="str">
        <f t="shared" si="89"/>
        <v>unc</v>
      </c>
      <c r="Y35" s="22" t="str">
        <f t="shared" si="89"/>
        <v>unc</v>
      </c>
      <c r="Z35" s="22" t="str">
        <f t="shared" si="89"/>
        <v>unc</v>
      </c>
      <c r="AA35" s="22" t="str">
        <f t="shared" si="89"/>
        <v>unc</v>
      </c>
      <c r="AB35" s="22" t="str">
        <f t="shared" si="89"/>
        <v>unc</v>
      </c>
      <c r="AC35" s="22" t="str">
        <f t="shared" si="89"/>
        <v>unc</v>
      </c>
      <c r="AD35" s="22" t="str">
        <f t="shared" si="89"/>
        <v>unc</v>
      </c>
      <c r="AE35" s="22" t="str">
        <f t="shared" si="89"/>
        <v>unc</v>
      </c>
      <c r="AF35" s="22" t="str">
        <f t="shared" si="89"/>
        <v>unc</v>
      </c>
      <c r="AG35" s="22" t="str">
        <f t="shared" si="89"/>
        <v>unc</v>
      </c>
      <c r="AH35" s="22" t="str">
        <f t="shared" si="89"/>
        <v>unc</v>
      </c>
      <c r="AI35" s="22" t="str">
        <f t="shared" si="89"/>
        <v>unc</v>
      </c>
      <c r="AJ35" s="22" t="str">
        <f t="shared" si="89"/>
        <v>unc</v>
      </c>
      <c r="AK35" s="22" t="str">
        <f t="shared" si="89"/>
        <v>unc</v>
      </c>
      <c r="AL35" s="22" t="str">
        <f t="shared" ref="AL35:AU35" si="90">AK35</f>
        <v>unc</v>
      </c>
      <c r="AM35" s="22" t="str">
        <f t="shared" si="90"/>
        <v>unc</v>
      </c>
      <c r="AN35" s="22" t="str">
        <f t="shared" si="90"/>
        <v>unc</v>
      </c>
      <c r="AO35" s="22" t="str">
        <f t="shared" si="90"/>
        <v>unc</v>
      </c>
      <c r="AP35" s="22" t="str">
        <f t="shared" si="90"/>
        <v>unc</v>
      </c>
      <c r="AQ35" s="22" t="str">
        <f t="shared" si="90"/>
        <v>unc</v>
      </c>
      <c r="AR35" s="22" t="str">
        <f t="shared" si="90"/>
        <v>unc</v>
      </c>
      <c r="AS35" s="22" t="str">
        <f t="shared" si="90"/>
        <v>unc</v>
      </c>
      <c r="AT35" s="22" t="str">
        <f t="shared" si="90"/>
        <v>unc</v>
      </c>
      <c r="AU35" s="22" t="str">
        <f t="shared" si="90"/>
        <v>unc</v>
      </c>
    </row>
    <row r="36" spans="1:47" ht="15.5" x14ac:dyDescent="0.35">
      <c r="A36" s="172" t="str">
        <f>A33</f>
        <v>MOD_CNST</v>
      </c>
      <c r="B36" s="29">
        <v>1</v>
      </c>
      <c r="C36" s="29" t="s">
        <v>85</v>
      </c>
      <c r="D36" s="29" t="s">
        <v>7</v>
      </c>
      <c r="E36" s="14" t="s">
        <v>23</v>
      </c>
      <c r="F36" s="14" t="s">
        <v>16</v>
      </c>
      <c r="G36" s="22"/>
      <c r="H36" s="22"/>
      <c r="I36" s="22"/>
      <c r="J36" s="22"/>
      <c r="K36" s="22"/>
      <c r="L36" s="22" t="s">
        <v>86</v>
      </c>
      <c r="M36" s="22" t="s">
        <v>86</v>
      </c>
      <c r="N36" s="22" t="s">
        <v>86</v>
      </c>
      <c r="O36" s="22" t="s">
        <v>86</v>
      </c>
      <c r="P36" s="22" t="s">
        <v>86</v>
      </c>
      <c r="Q36" s="22" t="s">
        <v>86</v>
      </c>
      <c r="R36" s="22" t="s">
        <v>86</v>
      </c>
      <c r="S36" s="22" t="str">
        <f t="shared" si="70"/>
        <v>unc</v>
      </c>
      <c r="T36" s="22" t="str">
        <f t="shared" si="70"/>
        <v>unc</v>
      </c>
      <c r="U36" s="22" t="str">
        <f t="shared" si="70"/>
        <v>unc</v>
      </c>
      <c r="V36" s="22" t="str">
        <f t="shared" ref="V36:AK37" si="91">U36</f>
        <v>unc</v>
      </c>
      <c r="W36" s="22" t="str">
        <f t="shared" si="91"/>
        <v>unc</v>
      </c>
      <c r="X36" s="22" t="str">
        <f t="shared" si="91"/>
        <v>unc</v>
      </c>
      <c r="Y36" s="22" t="str">
        <f t="shared" si="91"/>
        <v>unc</v>
      </c>
      <c r="Z36" s="22" t="str">
        <f t="shared" si="91"/>
        <v>unc</v>
      </c>
      <c r="AA36" s="22" t="str">
        <f t="shared" si="91"/>
        <v>unc</v>
      </c>
      <c r="AB36" s="22" t="str">
        <f t="shared" si="91"/>
        <v>unc</v>
      </c>
      <c r="AC36" s="22" t="str">
        <f t="shared" si="91"/>
        <v>unc</v>
      </c>
      <c r="AD36" s="22" t="str">
        <f t="shared" si="91"/>
        <v>unc</v>
      </c>
      <c r="AE36" s="22" t="str">
        <f t="shared" si="91"/>
        <v>unc</v>
      </c>
      <c r="AF36" s="22" t="str">
        <f t="shared" si="91"/>
        <v>unc</v>
      </c>
      <c r="AG36" s="22" t="str">
        <f t="shared" si="91"/>
        <v>unc</v>
      </c>
      <c r="AH36" s="22" t="str">
        <f t="shared" si="91"/>
        <v>unc</v>
      </c>
      <c r="AI36" s="22" t="str">
        <f t="shared" si="91"/>
        <v>unc</v>
      </c>
      <c r="AJ36" s="22" t="str">
        <f t="shared" si="91"/>
        <v>unc</v>
      </c>
      <c r="AK36" s="22" t="str">
        <f t="shared" si="91"/>
        <v>unc</v>
      </c>
      <c r="AL36" s="22" t="str">
        <f t="shared" ref="AL36:AU37" si="92">AK36</f>
        <v>unc</v>
      </c>
      <c r="AM36" s="22" t="str">
        <f t="shared" si="92"/>
        <v>unc</v>
      </c>
      <c r="AN36" s="22" t="str">
        <f t="shared" si="92"/>
        <v>unc</v>
      </c>
      <c r="AO36" s="22" t="str">
        <f t="shared" si="92"/>
        <v>unc</v>
      </c>
      <c r="AP36" s="22" t="str">
        <f t="shared" si="92"/>
        <v>unc</v>
      </c>
      <c r="AQ36" s="22" t="str">
        <f t="shared" si="92"/>
        <v>unc</v>
      </c>
      <c r="AR36" s="22" t="str">
        <f t="shared" si="92"/>
        <v>unc</v>
      </c>
      <c r="AS36" s="22" t="str">
        <f t="shared" si="92"/>
        <v>unc</v>
      </c>
      <c r="AT36" s="22" t="str">
        <f t="shared" si="92"/>
        <v>unc</v>
      </c>
      <c r="AU36" s="22" t="str">
        <f t="shared" si="92"/>
        <v>unc</v>
      </c>
    </row>
    <row r="37" spans="1:47" ht="15.5" x14ac:dyDescent="0.35">
      <c r="A37" s="172" t="str">
        <f>A34</f>
        <v>MOD_CNST</v>
      </c>
      <c r="B37" s="29">
        <v>1</v>
      </c>
      <c r="C37" s="29" t="s">
        <v>85</v>
      </c>
      <c r="D37" s="29" t="s">
        <v>7</v>
      </c>
      <c r="E37" s="14" t="s">
        <v>117</v>
      </c>
      <c r="F37" s="14" t="s">
        <v>16</v>
      </c>
      <c r="G37" s="22"/>
      <c r="H37" s="22"/>
      <c r="I37" s="22"/>
      <c r="J37" s="22"/>
      <c r="K37" s="22"/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f>V37</f>
        <v>0</v>
      </c>
      <c r="X37" s="22">
        <f t="shared" si="91"/>
        <v>0</v>
      </c>
      <c r="Y37" s="22">
        <f t="shared" si="91"/>
        <v>0</v>
      </c>
      <c r="Z37" s="22">
        <f t="shared" si="91"/>
        <v>0</v>
      </c>
      <c r="AA37" s="22">
        <f t="shared" si="91"/>
        <v>0</v>
      </c>
      <c r="AB37" s="22">
        <f t="shared" si="91"/>
        <v>0</v>
      </c>
      <c r="AC37" s="22">
        <f t="shared" si="91"/>
        <v>0</v>
      </c>
      <c r="AD37" s="22">
        <f t="shared" si="91"/>
        <v>0</v>
      </c>
      <c r="AE37" s="22">
        <f t="shared" si="91"/>
        <v>0</v>
      </c>
      <c r="AF37" s="22">
        <f t="shared" si="91"/>
        <v>0</v>
      </c>
      <c r="AG37" s="22">
        <f t="shared" si="91"/>
        <v>0</v>
      </c>
      <c r="AH37" s="22">
        <f t="shared" si="91"/>
        <v>0</v>
      </c>
      <c r="AI37" s="22">
        <f t="shared" si="91"/>
        <v>0</v>
      </c>
      <c r="AJ37" s="22">
        <f t="shared" si="91"/>
        <v>0</v>
      </c>
      <c r="AK37" s="22">
        <f t="shared" si="91"/>
        <v>0</v>
      </c>
      <c r="AL37" s="22">
        <f t="shared" si="92"/>
        <v>0</v>
      </c>
      <c r="AM37" s="22">
        <f t="shared" si="92"/>
        <v>0</v>
      </c>
      <c r="AN37" s="22">
        <f t="shared" si="92"/>
        <v>0</v>
      </c>
      <c r="AO37" s="22">
        <f t="shared" si="92"/>
        <v>0</v>
      </c>
      <c r="AP37" s="22">
        <f t="shared" si="92"/>
        <v>0</v>
      </c>
      <c r="AQ37" s="22">
        <f t="shared" si="92"/>
        <v>0</v>
      </c>
      <c r="AR37" s="22">
        <f t="shared" si="92"/>
        <v>0</v>
      </c>
      <c r="AS37" s="22">
        <f t="shared" si="92"/>
        <v>0</v>
      </c>
      <c r="AT37" s="22">
        <f t="shared" si="92"/>
        <v>0</v>
      </c>
      <c r="AU37" s="22">
        <f t="shared" si="92"/>
        <v>0</v>
      </c>
    </row>
    <row r="38" spans="1:47" ht="15.5" x14ac:dyDescent="0.35">
      <c r="A38" s="172" t="str">
        <f>A36</f>
        <v>MOD_CNST</v>
      </c>
      <c r="B38" s="23">
        <v>1</v>
      </c>
      <c r="C38" s="23" t="s">
        <v>85</v>
      </c>
      <c r="D38" s="23" t="s">
        <v>7</v>
      </c>
      <c r="E38" s="24" t="s">
        <v>25</v>
      </c>
      <c r="F38" s="24" t="s">
        <v>16</v>
      </c>
      <c r="G38" s="22"/>
      <c r="H38" s="22"/>
      <c r="I38" s="22"/>
      <c r="J38" s="22"/>
      <c r="K38" s="22"/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 t="s">
        <v>86</v>
      </c>
      <c r="W38" s="22" t="s">
        <v>86</v>
      </c>
      <c r="X38" s="22" t="s">
        <v>86</v>
      </c>
      <c r="Y38" s="22" t="s">
        <v>86</v>
      </c>
      <c r="Z38" s="22" t="s">
        <v>86</v>
      </c>
      <c r="AA38" s="22" t="s">
        <v>86</v>
      </c>
      <c r="AB38" s="22" t="str">
        <f t="shared" ref="AB38:AK38" si="93">AA38</f>
        <v>unc</v>
      </c>
      <c r="AC38" s="22" t="str">
        <f t="shared" si="93"/>
        <v>unc</v>
      </c>
      <c r="AD38" s="22" t="str">
        <f t="shared" si="93"/>
        <v>unc</v>
      </c>
      <c r="AE38" s="22" t="str">
        <f t="shared" si="93"/>
        <v>unc</v>
      </c>
      <c r="AF38" s="22" t="str">
        <f t="shared" si="93"/>
        <v>unc</v>
      </c>
      <c r="AG38" s="22" t="str">
        <f t="shared" si="93"/>
        <v>unc</v>
      </c>
      <c r="AH38" s="22" t="str">
        <f t="shared" si="93"/>
        <v>unc</v>
      </c>
      <c r="AI38" s="22" t="str">
        <f t="shared" si="93"/>
        <v>unc</v>
      </c>
      <c r="AJ38" s="22" t="str">
        <f t="shared" si="93"/>
        <v>unc</v>
      </c>
      <c r="AK38" s="22" t="str">
        <f t="shared" si="93"/>
        <v>unc</v>
      </c>
      <c r="AL38" s="22" t="str">
        <f t="shared" ref="AL38:AU38" si="94">AK38</f>
        <v>unc</v>
      </c>
      <c r="AM38" s="22" t="str">
        <f t="shared" si="94"/>
        <v>unc</v>
      </c>
      <c r="AN38" s="22" t="str">
        <f t="shared" si="94"/>
        <v>unc</v>
      </c>
      <c r="AO38" s="22" t="str">
        <f t="shared" si="94"/>
        <v>unc</v>
      </c>
      <c r="AP38" s="22" t="str">
        <f t="shared" si="94"/>
        <v>unc</v>
      </c>
      <c r="AQ38" s="22" t="str">
        <f t="shared" si="94"/>
        <v>unc</v>
      </c>
      <c r="AR38" s="22" t="str">
        <f t="shared" si="94"/>
        <v>unc</v>
      </c>
      <c r="AS38" s="22" t="str">
        <f t="shared" si="94"/>
        <v>unc</v>
      </c>
      <c r="AT38" s="22" t="str">
        <f t="shared" si="94"/>
        <v>unc</v>
      </c>
      <c r="AU38" s="22" t="str">
        <f t="shared" si="94"/>
        <v>unc</v>
      </c>
    </row>
    <row r="39" spans="1:47" ht="15.5" x14ac:dyDescent="0.35">
      <c r="A39" s="172" t="str">
        <f t="shared" ref="A39:A43" si="95">A38</f>
        <v>MOD_CNST</v>
      </c>
      <c r="B39" s="20">
        <v>1</v>
      </c>
      <c r="C39" s="20" t="s">
        <v>85</v>
      </c>
      <c r="D39" s="20" t="s">
        <v>7</v>
      </c>
      <c r="E39" s="21" t="s">
        <v>26</v>
      </c>
      <c r="F39" s="21" t="s">
        <v>16</v>
      </c>
      <c r="G39" s="22"/>
      <c r="H39" s="22"/>
      <c r="I39" s="22"/>
      <c r="J39" s="22"/>
      <c r="K39" s="22"/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 t="s">
        <v>86</v>
      </c>
      <c r="W39" s="22" t="s">
        <v>86</v>
      </c>
      <c r="X39" s="22" t="s">
        <v>86</v>
      </c>
      <c r="Y39" s="22" t="s">
        <v>86</v>
      </c>
      <c r="Z39" s="22" t="s">
        <v>86</v>
      </c>
      <c r="AA39" s="22" t="s">
        <v>86</v>
      </c>
      <c r="AB39" s="22" t="str">
        <f t="shared" ref="AB39:AK39" si="96">AA39</f>
        <v>unc</v>
      </c>
      <c r="AC39" s="22" t="str">
        <f t="shared" si="96"/>
        <v>unc</v>
      </c>
      <c r="AD39" s="22" t="str">
        <f t="shared" si="96"/>
        <v>unc</v>
      </c>
      <c r="AE39" s="22" t="str">
        <f t="shared" si="96"/>
        <v>unc</v>
      </c>
      <c r="AF39" s="22" t="str">
        <f t="shared" si="96"/>
        <v>unc</v>
      </c>
      <c r="AG39" s="22" t="str">
        <f t="shared" si="96"/>
        <v>unc</v>
      </c>
      <c r="AH39" s="22" t="str">
        <f t="shared" si="96"/>
        <v>unc</v>
      </c>
      <c r="AI39" s="22" t="str">
        <f t="shared" si="96"/>
        <v>unc</v>
      </c>
      <c r="AJ39" s="22" t="str">
        <f t="shared" si="96"/>
        <v>unc</v>
      </c>
      <c r="AK39" s="22" t="str">
        <f t="shared" si="96"/>
        <v>unc</v>
      </c>
      <c r="AL39" s="22" t="str">
        <f t="shared" ref="AL39:AU39" si="97">AK39</f>
        <v>unc</v>
      </c>
      <c r="AM39" s="22" t="str">
        <f t="shared" si="97"/>
        <v>unc</v>
      </c>
      <c r="AN39" s="22" t="str">
        <f t="shared" si="97"/>
        <v>unc</v>
      </c>
      <c r="AO39" s="22" t="str">
        <f t="shared" si="97"/>
        <v>unc</v>
      </c>
      <c r="AP39" s="22" t="str">
        <f t="shared" si="97"/>
        <v>unc</v>
      </c>
      <c r="AQ39" s="22" t="str">
        <f t="shared" si="97"/>
        <v>unc</v>
      </c>
      <c r="AR39" s="22" t="str">
        <f t="shared" si="97"/>
        <v>unc</v>
      </c>
      <c r="AS39" s="22" t="str">
        <f t="shared" si="97"/>
        <v>unc</v>
      </c>
      <c r="AT39" s="22" t="str">
        <f t="shared" si="97"/>
        <v>unc</v>
      </c>
      <c r="AU39" s="22" t="str">
        <f t="shared" si="97"/>
        <v>unc</v>
      </c>
    </row>
    <row r="40" spans="1:47" ht="15.5" x14ac:dyDescent="0.35">
      <c r="A40" s="172" t="str">
        <f t="shared" si="95"/>
        <v>MOD_CNST</v>
      </c>
      <c r="B40" s="23">
        <v>1</v>
      </c>
      <c r="C40" s="23" t="s">
        <v>85</v>
      </c>
      <c r="D40" s="23" t="s">
        <v>27</v>
      </c>
      <c r="E40" s="24" t="s">
        <v>28</v>
      </c>
      <c r="F40" s="24" t="s">
        <v>29</v>
      </c>
      <c r="G40" s="22"/>
      <c r="H40" s="22"/>
      <c r="I40" s="22"/>
      <c r="J40" s="22"/>
      <c r="K40" s="22"/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1500</v>
      </c>
      <c r="W40" s="22">
        <f>V40</f>
        <v>1500</v>
      </c>
      <c r="X40" s="22">
        <f>W40</f>
        <v>1500</v>
      </c>
      <c r="Y40" s="22">
        <f>X40</f>
        <v>1500</v>
      </c>
      <c r="Z40" s="22">
        <f>Y40</f>
        <v>1500</v>
      </c>
      <c r="AA40" s="22">
        <f>Z40</f>
        <v>1500</v>
      </c>
      <c r="AB40" s="22">
        <f t="shared" ref="AB40:AK40" si="98">AA40</f>
        <v>1500</v>
      </c>
      <c r="AC40" s="22">
        <f t="shared" si="98"/>
        <v>1500</v>
      </c>
      <c r="AD40" s="22">
        <f t="shared" si="98"/>
        <v>1500</v>
      </c>
      <c r="AE40" s="22">
        <f t="shared" si="98"/>
        <v>1500</v>
      </c>
      <c r="AF40" s="22">
        <f t="shared" si="98"/>
        <v>1500</v>
      </c>
      <c r="AG40" s="22">
        <f t="shared" si="98"/>
        <v>1500</v>
      </c>
      <c r="AH40" s="22">
        <f t="shared" si="98"/>
        <v>1500</v>
      </c>
      <c r="AI40" s="22">
        <f t="shared" si="98"/>
        <v>1500</v>
      </c>
      <c r="AJ40" s="22">
        <f t="shared" si="98"/>
        <v>1500</v>
      </c>
      <c r="AK40" s="22">
        <f t="shared" si="98"/>
        <v>1500</v>
      </c>
      <c r="AL40" s="22">
        <f t="shared" ref="AL40:AU40" si="99">AK40</f>
        <v>1500</v>
      </c>
      <c r="AM40" s="22">
        <f t="shared" si="99"/>
        <v>1500</v>
      </c>
      <c r="AN40" s="22">
        <f t="shared" si="99"/>
        <v>1500</v>
      </c>
      <c r="AO40" s="22">
        <f t="shared" si="99"/>
        <v>1500</v>
      </c>
      <c r="AP40" s="22">
        <f t="shared" si="99"/>
        <v>1500</v>
      </c>
      <c r="AQ40" s="22">
        <f t="shared" si="99"/>
        <v>1500</v>
      </c>
      <c r="AR40" s="22">
        <f t="shared" si="99"/>
        <v>1500</v>
      </c>
      <c r="AS40" s="22">
        <f t="shared" si="99"/>
        <v>1500</v>
      </c>
      <c r="AT40" s="22">
        <f t="shared" si="99"/>
        <v>1500</v>
      </c>
      <c r="AU40" s="22">
        <f t="shared" si="99"/>
        <v>1500</v>
      </c>
    </row>
    <row r="41" spans="1:47" ht="15.5" x14ac:dyDescent="0.35">
      <c r="A41" s="172" t="str">
        <f t="shared" si="95"/>
        <v>MOD_CNST</v>
      </c>
      <c r="B41" s="20">
        <v>1</v>
      </c>
      <c r="C41" s="20" t="s">
        <v>85</v>
      </c>
      <c r="D41" s="20" t="s">
        <v>27</v>
      </c>
      <c r="E41" s="21" t="s">
        <v>30</v>
      </c>
      <c r="F41" s="21" t="s">
        <v>29</v>
      </c>
      <c r="G41" s="22"/>
      <c r="H41" s="22"/>
      <c r="I41" s="22"/>
      <c r="J41" s="22"/>
      <c r="K41" s="22"/>
      <c r="L41" s="22" t="s">
        <v>86</v>
      </c>
      <c r="M41" s="22" t="s">
        <v>86</v>
      </c>
      <c r="N41" s="22" t="s">
        <v>86</v>
      </c>
      <c r="O41" s="22" t="s">
        <v>86</v>
      </c>
      <c r="P41" s="22" t="s">
        <v>86</v>
      </c>
      <c r="Q41" s="22" t="s">
        <v>86</v>
      </c>
      <c r="R41" s="22" t="s">
        <v>86</v>
      </c>
      <c r="S41" s="22" t="s">
        <v>86</v>
      </c>
      <c r="T41" s="22" t="s">
        <v>86</v>
      </c>
      <c r="U41" s="22" t="s">
        <v>86</v>
      </c>
      <c r="V41" s="22" t="s">
        <v>86</v>
      </c>
      <c r="W41" s="22" t="s">
        <v>86</v>
      </c>
      <c r="X41" s="22" t="s">
        <v>86</v>
      </c>
      <c r="Y41" s="22" t="s">
        <v>86</v>
      </c>
      <c r="Z41" s="22" t="s">
        <v>86</v>
      </c>
      <c r="AA41" s="22" t="s">
        <v>86</v>
      </c>
      <c r="AB41" s="22" t="str">
        <f t="shared" ref="AB41:AK41" si="100">AA41</f>
        <v>unc</v>
      </c>
      <c r="AC41" s="22" t="str">
        <f t="shared" si="100"/>
        <v>unc</v>
      </c>
      <c r="AD41" s="22" t="str">
        <f t="shared" si="100"/>
        <v>unc</v>
      </c>
      <c r="AE41" s="22" t="str">
        <f t="shared" si="100"/>
        <v>unc</v>
      </c>
      <c r="AF41" s="22" t="str">
        <f t="shared" si="100"/>
        <v>unc</v>
      </c>
      <c r="AG41" s="22" t="str">
        <f t="shared" si="100"/>
        <v>unc</v>
      </c>
      <c r="AH41" s="22" t="str">
        <f t="shared" si="100"/>
        <v>unc</v>
      </c>
      <c r="AI41" s="22" t="str">
        <f t="shared" si="100"/>
        <v>unc</v>
      </c>
      <c r="AJ41" s="22" t="str">
        <f t="shared" si="100"/>
        <v>unc</v>
      </c>
      <c r="AK41" s="22" t="str">
        <f t="shared" si="100"/>
        <v>unc</v>
      </c>
      <c r="AL41" s="22" t="str">
        <f t="shared" ref="AL41:AU41" si="101">AK41</f>
        <v>unc</v>
      </c>
      <c r="AM41" s="22" t="str">
        <f t="shared" si="101"/>
        <v>unc</v>
      </c>
      <c r="AN41" s="22" t="str">
        <f t="shared" si="101"/>
        <v>unc</v>
      </c>
      <c r="AO41" s="22" t="str">
        <f t="shared" si="101"/>
        <v>unc</v>
      </c>
      <c r="AP41" s="22" t="str">
        <f t="shared" si="101"/>
        <v>unc</v>
      </c>
      <c r="AQ41" s="22" t="str">
        <f t="shared" si="101"/>
        <v>unc</v>
      </c>
      <c r="AR41" s="22" t="str">
        <f t="shared" si="101"/>
        <v>unc</v>
      </c>
      <c r="AS41" s="22" t="str">
        <f t="shared" si="101"/>
        <v>unc</v>
      </c>
      <c r="AT41" s="22" t="str">
        <f t="shared" si="101"/>
        <v>unc</v>
      </c>
      <c r="AU41" s="22" t="str">
        <f t="shared" si="101"/>
        <v>unc</v>
      </c>
    </row>
    <row r="42" spans="1:47" ht="15.5" x14ac:dyDescent="0.35">
      <c r="A42" s="172" t="str">
        <f t="shared" si="95"/>
        <v>MOD_CNST</v>
      </c>
      <c r="B42" s="23">
        <v>1</v>
      </c>
      <c r="C42" s="23" t="s">
        <v>85</v>
      </c>
      <c r="D42" s="23" t="s">
        <v>27</v>
      </c>
      <c r="E42" s="24" t="s">
        <v>32</v>
      </c>
      <c r="F42" s="24" t="s">
        <v>29</v>
      </c>
      <c r="G42" s="22"/>
      <c r="H42" s="22"/>
      <c r="I42" s="22"/>
      <c r="J42" s="22"/>
      <c r="K42" s="22"/>
      <c r="L42" s="22" t="s">
        <v>86</v>
      </c>
      <c r="M42" s="22" t="s">
        <v>86</v>
      </c>
      <c r="N42" s="22" t="s">
        <v>86</v>
      </c>
      <c r="O42" s="22" t="s">
        <v>86</v>
      </c>
      <c r="P42" s="22" t="s">
        <v>86</v>
      </c>
      <c r="Q42" s="22" t="s">
        <v>86</v>
      </c>
      <c r="R42" s="22" t="s">
        <v>86</v>
      </c>
      <c r="S42" s="22" t="s">
        <v>86</v>
      </c>
      <c r="T42" s="22" t="s">
        <v>86</v>
      </c>
      <c r="U42" s="22" t="s">
        <v>86</v>
      </c>
      <c r="V42" s="22" t="s">
        <v>86</v>
      </c>
      <c r="W42" s="22" t="s">
        <v>86</v>
      </c>
      <c r="X42" s="22" t="s">
        <v>86</v>
      </c>
      <c r="Y42" s="22" t="s">
        <v>86</v>
      </c>
      <c r="Z42" s="22" t="s">
        <v>86</v>
      </c>
      <c r="AA42" s="22" t="s">
        <v>86</v>
      </c>
      <c r="AB42" s="22" t="str">
        <f t="shared" ref="AB42:AK42" si="102">AA42</f>
        <v>unc</v>
      </c>
      <c r="AC42" s="22" t="str">
        <f t="shared" si="102"/>
        <v>unc</v>
      </c>
      <c r="AD42" s="22" t="str">
        <f t="shared" si="102"/>
        <v>unc</v>
      </c>
      <c r="AE42" s="22" t="str">
        <f t="shared" si="102"/>
        <v>unc</v>
      </c>
      <c r="AF42" s="22" t="str">
        <f t="shared" si="102"/>
        <v>unc</v>
      </c>
      <c r="AG42" s="22" t="str">
        <f t="shared" si="102"/>
        <v>unc</v>
      </c>
      <c r="AH42" s="22" t="str">
        <f t="shared" si="102"/>
        <v>unc</v>
      </c>
      <c r="AI42" s="22" t="str">
        <f t="shared" si="102"/>
        <v>unc</v>
      </c>
      <c r="AJ42" s="22" t="str">
        <f t="shared" si="102"/>
        <v>unc</v>
      </c>
      <c r="AK42" s="22" t="str">
        <f t="shared" si="102"/>
        <v>unc</v>
      </c>
      <c r="AL42" s="22" t="str">
        <f t="shared" ref="AL42:AU42" si="103">AK42</f>
        <v>unc</v>
      </c>
      <c r="AM42" s="22" t="str">
        <f t="shared" si="103"/>
        <v>unc</v>
      </c>
      <c r="AN42" s="22" t="str">
        <f t="shared" si="103"/>
        <v>unc</v>
      </c>
      <c r="AO42" s="22" t="str">
        <f t="shared" si="103"/>
        <v>unc</v>
      </c>
      <c r="AP42" s="22" t="str">
        <f t="shared" si="103"/>
        <v>unc</v>
      </c>
      <c r="AQ42" s="22" t="str">
        <f t="shared" si="103"/>
        <v>unc</v>
      </c>
      <c r="AR42" s="22" t="str">
        <f t="shared" si="103"/>
        <v>unc</v>
      </c>
      <c r="AS42" s="22" t="str">
        <f t="shared" si="103"/>
        <v>unc</v>
      </c>
      <c r="AT42" s="22" t="str">
        <f t="shared" si="103"/>
        <v>unc</v>
      </c>
      <c r="AU42" s="22" t="str">
        <f t="shared" si="103"/>
        <v>unc</v>
      </c>
    </row>
    <row r="43" spans="1:47" ht="15.5" x14ac:dyDescent="0.35">
      <c r="A43" s="172" t="str">
        <f t="shared" si="95"/>
        <v>MOD_CNST</v>
      </c>
      <c r="B43" s="25">
        <v>1</v>
      </c>
      <c r="C43" s="25" t="s">
        <v>85</v>
      </c>
      <c r="D43" s="25" t="s">
        <v>27</v>
      </c>
      <c r="E43" s="26" t="s">
        <v>33</v>
      </c>
      <c r="F43" s="26" t="s">
        <v>29</v>
      </c>
      <c r="G43" s="27"/>
      <c r="H43" s="27"/>
      <c r="I43" s="27"/>
      <c r="J43" s="27"/>
      <c r="K43" s="27"/>
      <c r="L43" s="27" t="s">
        <v>86</v>
      </c>
      <c r="M43" s="27" t="s">
        <v>86</v>
      </c>
      <c r="N43" s="27" t="s">
        <v>86</v>
      </c>
      <c r="O43" s="27" t="s">
        <v>86</v>
      </c>
      <c r="P43" s="27" t="s">
        <v>86</v>
      </c>
      <c r="Q43" s="27" t="s">
        <v>86</v>
      </c>
      <c r="R43" s="27" t="s">
        <v>86</v>
      </c>
      <c r="S43" s="27" t="s">
        <v>86</v>
      </c>
      <c r="T43" s="27" t="s">
        <v>86</v>
      </c>
      <c r="U43" s="27" t="s">
        <v>86</v>
      </c>
      <c r="V43" s="27" t="s">
        <v>86</v>
      </c>
      <c r="W43" s="27" t="s">
        <v>86</v>
      </c>
      <c r="X43" s="27" t="s">
        <v>86</v>
      </c>
      <c r="Y43" s="27" t="s">
        <v>86</v>
      </c>
      <c r="Z43" s="27" t="s">
        <v>86</v>
      </c>
      <c r="AA43" s="27" t="s">
        <v>86</v>
      </c>
      <c r="AB43" s="22" t="str">
        <f t="shared" ref="AB43:AK43" si="104">AA43</f>
        <v>unc</v>
      </c>
      <c r="AC43" s="22" t="str">
        <f t="shared" si="104"/>
        <v>unc</v>
      </c>
      <c r="AD43" s="22" t="str">
        <f t="shared" si="104"/>
        <v>unc</v>
      </c>
      <c r="AE43" s="22" t="str">
        <f t="shared" si="104"/>
        <v>unc</v>
      </c>
      <c r="AF43" s="22" t="str">
        <f t="shared" si="104"/>
        <v>unc</v>
      </c>
      <c r="AG43" s="22" t="str">
        <f t="shared" si="104"/>
        <v>unc</v>
      </c>
      <c r="AH43" s="22" t="str">
        <f t="shared" si="104"/>
        <v>unc</v>
      </c>
      <c r="AI43" s="22" t="str">
        <f t="shared" si="104"/>
        <v>unc</v>
      </c>
      <c r="AJ43" s="22" t="str">
        <f t="shared" si="104"/>
        <v>unc</v>
      </c>
      <c r="AK43" s="22" t="str">
        <f t="shared" si="104"/>
        <v>unc</v>
      </c>
      <c r="AL43" s="22" t="str">
        <f t="shared" ref="AL43:AU43" si="105">AK43</f>
        <v>unc</v>
      </c>
      <c r="AM43" s="22" t="str">
        <f t="shared" si="105"/>
        <v>unc</v>
      </c>
      <c r="AN43" s="22" t="str">
        <f t="shared" si="105"/>
        <v>unc</v>
      </c>
      <c r="AO43" s="22" t="str">
        <f t="shared" si="105"/>
        <v>unc</v>
      </c>
      <c r="AP43" s="22" t="str">
        <f t="shared" si="105"/>
        <v>unc</v>
      </c>
      <c r="AQ43" s="22" t="str">
        <f t="shared" si="105"/>
        <v>unc</v>
      </c>
      <c r="AR43" s="22" t="str">
        <f t="shared" si="105"/>
        <v>unc</v>
      </c>
      <c r="AS43" s="22" t="str">
        <f t="shared" si="105"/>
        <v>unc</v>
      </c>
      <c r="AT43" s="22" t="str">
        <f t="shared" si="105"/>
        <v>unc</v>
      </c>
      <c r="AU43" s="22" t="str">
        <f t="shared" si="105"/>
        <v>unc</v>
      </c>
    </row>
    <row r="44" spans="1:47" ht="15.5" x14ac:dyDescent="0.35">
      <c r="A44" s="173" t="s">
        <v>89</v>
      </c>
      <c r="B44" s="28">
        <v>1</v>
      </c>
      <c r="C44" s="28" t="s">
        <v>85</v>
      </c>
      <c r="D44" s="28" t="s">
        <v>7</v>
      </c>
      <c r="E44" s="15" t="s">
        <v>10</v>
      </c>
      <c r="F44" s="15" t="s">
        <v>9</v>
      </c>
      <c r="G44" s="22"/>
      <c r="H44" s="22"/>
      <c r="I44" s="22"/>
      <c r="J44" s="22"/>
      <c r="K44" s="22"/>
      <c r="L44" s="22" t="s">
        <v>86</v>
      </c>
      <c r="M44" s="22" t="s">
        <v>86</v>
      </c>
      <c r="N44" s="22" t="s">
        <v>86</v>
      </c>
      <c r="O44" s="22" t="s">
        <v>86</v>
      </c>
      <c r="P44" s="22" t="s">
        <v>86</v>
      </c>
      <c r="Q44" s="22" t="s">
        <v>86</v>
      </c>
      <c r="R44" s="22" t="s">
        <v>86</v>
      </c>
      <c r="S44" s="22" t="str">
        <f t="shared" ref="S44:AA44" si="106">R44</f>
        <v>unc</v>
      </c>
      <c r="T44" s="22" t="str">
        <f t="shared" si="106"/>
        <v>unc</v>
      </c>
      <c r="U44" s="22" t="str">
        <f t="shared" si="106"/>
        <v>unc</v>
      </c>
      <c r="V44" s="22" t="str">
        <f t="shared" si="106"/>
        <v>unc</v>
      </c>
      <c r="W44" s="22" t="str">
        <f t="shared" si="106"/>
        <v>unc</v>
      </c>
      <c r="X44" s="22" t="str">
        <f t="shared" si="106"/>
        <v>unc</v>
      </c>
      <c r="Y44" s="22" t="str">
        <f t="shared" si="106"/>
        <v>unc</v>
      </c>
      <c r="Z44" s="22" t="str">
        <f t="shared" si="106"/>
        <v>unc</v>
      </c>
      <c r="AA44" s="22" t="str">
        <f t="shared" si="106"/>
        <v>unc</v>
      </c>
      <c r="AB44" s="22" t="str">
        <f t="shared" ref="AB44:AK44" si="107">AA44</f>
        <v>unc</v>
      </c>
      <c r="AC44" s="22" t="str">
        <f t="shared" si="107"/>
        <v>unc</v>
      </c>
      <c r="AD44" s="22" t="str">
        <f t="shared" si="107"/>
        <v>unc</v>
      </c>
      <c r="AE44" s="22" t="str">
        <f t="shared" si="107"/>
        <v>unc</v>
      </c>
      <c r="AF44" s="22" t="str">
        <f t="shared" si="107"/>
        <v>unc</v>
      </c>
      <c r="AG44" s="22" t="str">
        <f t="shared" si="107"/>
        <v>unc</v>
      </c>
      <c r="AH44" s="22" t="str">
        <f t="shared" si="107"/>
        <v>unc</v>
      </c>
      <c r="AI44" s="22" t="str">
        <f t="shared" si="107"/>
        <v>unc</v>
      </c>
      <c r="AJ44" s="22" t="str">
        <f t="shared" si="107"/>
        <v>unc</v>
      </c>
      <c r="AK44" s="22" t="str">
        <f t="shared" si="107"/>
        <v>unc</v>
      </c>
      <c r="AL44" s="22" t="str">
        <f t="shared" ref="AL44:AU44" si="108">AK44</f>
        <v>unc</v>
      </c>
      <c r="AM44" s="22" t="str">
        <f t="shared" si="108"/>
        <v>unc</v>
      </c>
      <c r="AN44" s="22" t="str">
        <f t="shared" si="108"/>
        <v>unc</v>
      </c>
      <c r="AO44" s="22" t="str">
        <f t="shared" si="108"/>
        <v>unc</v>
      </c>
      <c r="AP44" s="22" t="str">
        <f t="shared" si="108"/>
        <v>unc</v>
      </c>
      <c r="AQ44" s="22" t="str">
        <f t="shared" si="108"/>
        <v>unc</v>
      </c>
      <c r="AR44" s="22" t="str">
        <f t="shared" si="108"/>
        <v>unc</v>
      </c>
      <c r="AS44" s="22" t="str">
        <f t="shared" si="108"/>
        <v>unc</v>
      </c>
      <c r="AT44" s="22" t="str">
        <f t="shared" si="108"/>
        <v>unc</v>
      </c>
      <c r="AU44" s="22" t="str">
        <f t="shared" si="108"/>
        <v>unc</v>
      </c>
    </row>
    <row r="45" spans="1:47" ht="15.5" x14ac:dyDescent="0.35">
      <c r="A45" s="173" t="str">
        <f t="shared" ref="A45:A56" si="109">A44</f>
        <v>MOST_CNST</v>
      </c>
      <c r="B45" s="29">
        <v>1</v>
      </c>
      <c r="C45" s="29" t="s">
        <v>85</v>
      </c>
      <c r="D45" s="29" t="s">
        <v>7</v>
      </c>
      <c r="E45" s="14" t="s">
        <v>11</v>
      </c>
      <c r="F45" s="14" t="s">
        <v>9</v>
      </c>
      <c r="G45" s="22"/>
      <c r="H45" s="22"/>
      <c r="I45" s="22"/>
      <c r="J45" s="22"/>
      <c r="K45" s="22"/>
      <c r="L45" s="22" t="s">
        <v>86</v>
      </c>
      <c r="M45" s="22" t="s">
        <v>86</v>
      </c>
      <c r="N45" s="22" t="s">
        <v>86</v>
      </c>
      <c r="O45" s="22" t="s">
        <v>86</v>
      </c>
      <c r="P45" s="22" t="s">
        <v>86</v>
      </c>
      <c r="Q45" s="22" t="s">
        <v>86</v>
      </c>
      <c r="R45" s="22" t="s">
        <v>86</v>
      </c>
      <c r="S45" s="22" t="s">
        <v>86</v>
      </c>
      <c r="T45" s="22" t="s">
        <v>86</v>
      </c>
      <c r="U45" s="22" t="s">
        <v>86</v>
      </c>
      <c r="V45" s="22" t="s">
        <v>86</v>
      </c>
      <c r="W45" s="22" t="s">
        <v>86</v>
      </c>
      <c r="X45" s="22" t="s">
        <v>86</v>
      </c>
      <c r="Y45" s="22" t="s">
        <v>86</v>
      </c>
      <c r="Z45" s="22" t="s">
        <v>86</v>
      </c>
      <c r="AA45" s="22" t="s">
        <v>86</v>
      </c>
      <c r="AB45" s="22" t="s">
        <v>86</v>
      </c>
      <c r="AC45" s="22" t="s">
        <v>86</v>
      </c>
      <c r="AD45" s="22" t="s">
        <v>86</v>
      </c>
      <c r="AE45" s="22" t="s">
        <v>86</v>
      </c>
      <c r="AF45" s="22" t="s">
        <v>86</v>
      </c>
      <c r="AG45" s="22" t="s">
        <v>86</v>
      </c>
      <c r="AH45" s="22" t="s">
        <v>86</v>
      </c>
      <c r="AI45" s="22" t="s">
        <v>86</v>
      </c>
      <c r="AJ45" s="22" t="s">
        <v>86</v>
      </c>
      <c r="AK45" s="22" t="s">
        <v>86</v>
      </c>
      <c r="AL45" s="22" t="str">
        <f t="shared" ref="AL45:AU45" si="110">AK45</f>
        <v>unc</v>
      </c>
      <c r="AM45" s="22" t="str">
        <f t="shared" si="110"/>
        <v>unc</v>
      </c>
      <c r="AN45" s="22" t="str">
        <f t="shared" si="110"/>
        <v>unc</v>
      </c>
      <c r="AO45" s="22" t="str">
        <f t="shared" si="110"/>
        <v>unc</v>
      </c>
      <c r="AP45" s="22" t="str">
        <f t="shared" si="110"/>
        <v>unc</v>
      </c>
      <c r="AQ45" s="22" t="str">
        <f t="shared" si="110"/>
        <v>unc</v>
      </c>
      <c r="AR45" s="22" t="str">
        <f t="shared" si="110"/>
        <v>unc</v>
      </c>
      <c r="AS45" s="22" t="str">
        <f t="shared" si="110"/>
        <v>unc</v>
      </c>
      <c r="AT45" s="22" t="str">
        <f t="shared" si="110"/>
        <v>unc</v>
      </c>
      <c r="AU45" s="22" t="str">
        <f t="shared" si="110"/>
        <v>unc</v>
      </c>
    </row>
    <row r="46" spans="1:47" ht="15.5" x14ac:dyDescent="0.35">
      <c r="A46" s="173" t="str">
        <f t="shared" si="109"/>
        <v>MOST_CNST</v>
      </c>
      <c r="B46" s="28">
        <v>1</v>
      </c>
      <c r="C46" s="28" t="s">
        <v>85</v>
      </c>
      <c r="D46" s="28" t="s">
        <v>7</v>
      </c>
      <c r="E46" s="15" t="s">
        <v>8</v>
      </c>
      <c r="F46" s="15" t="s">
        <v>9</v>
      </c>
      <c r="G46" s="22"/>
      <c r="H46" s="22"/>
      <c r="I46" s="22"/>
      <c r="J46" s="22"/>
      <c r="K46" s="22"/>
      <c r="L46" s="22">
        <f>min_total_installed!G2</f>
        <v>4624</v>
      </c>
      <c r="M46" s="22">
        <f>min_total_installed!H2</f>
        <v>5299</v>
      </c>
      <c r="N46" s="22">
        <f>min_total_installed!I2</f>
        <v>5974</v>
      </c>
      <c r="O46" s="22">
        <f>min_total_installed!J2</f>
        <v>6649</v>
      </c>
      <c r="P46" s="22">
        <f>min_total_installed!K2</f>
        <v>7324</v>
      </c>
      <c r="Q46" s="22">
        <f>min_total_installed!L2</f>
        <v>7999</v>
      </c>
      <c r="R46" s="22">
        <f>min_total_installed!M2</f>
        <v>8674</v>
      </c>
      <c r="S46" s="22">
        <f>min_total_installed!N2</f>
        <v>9349</v>
      </c>
      <c r="T46" s="22">
        <f>min_total_installed!O2</f>
        <v>10024</v>
      </c>
      <c r="U46" s="22">
        <f>min_total_installed!P2</f>
        <v>10699</v>
      </c>
      <c r="V46" s="22">
        <f>min_total_installed!Q2</f>
        <v>11374</v>
      </c>
      <c r="W46" s="22">
        <f>min_total_installed!R2</f>
        <v>11374</v>
      </c>
      <c r="X46" s="22">
        <f>min_total_installed!S2</f>
        <v>11374</v>
      </c>
      <c r="Y46" s="22">
        <f>min_total_installed!T2</f>
        <v>11374</v>
      </c>
      <c r="Z46" s="22">
        <f>min_total_installed!U2</f>
        <v>11374</v>
      </c>
      <c r="AA46" s="22">
        <f>min_total_installed!V2</f>
        <v>11374</v>
      </c>
      <c r="AB46" s="22">
        <f>min_total_installed!W2</f>
        <v>11374</v>
      </c>
      <c r="AC46" s="22">
        <f>min_total_installed!X2</f>
        <v>11374</v>
      </c>
      <c r="AD46" s="22">
        <f>min_total_installed!Y2</f>
        <v>11374</v>
      </c>
      <c r="AE46" s="22">
        <f>min_total_installed!Z2</f>
        <v>11374</v>
      </c>
      <c r="AF46" s="22">
        <f>min_total_installed!AA2</f>
        <v>11374</v>
      </c>
      <c r="AG46" s="22">
        <f>min_total_installed!AB2</f>
        <v>11374</v>
      </c>
      <c r="AH46" s="22">
        <f>min_total_installed!AC2</f>
        <v>11374</v>
      </c>
      <c r="AI46" s="22">
        <f>min_total_installed!AD2</f>
        <v>11374</v>
      </c>
      <c r="AJ46" s="22">
        <f>min_total_installed!AE2</f>
        <v>11374</v>
      </c>
      <c r="AK46" s="22">
        <f>min_total_installed!AF2</f>
        <v>11374</v>
      </c>
      <c r="AL46" s="22">
        <f>min_total_installed!AG2</f>
        <v>11374</v>
      </c>
      <c r="AM46" s="22">
        <f>min_total_installed!AH2</f>
        <v>11374</v>
      </c>
      <c r="AN46" s="22">
        <f>min_total_installed!AI2</f>
        <v>11374</v>
      </c>
      <c r="AO46" s="22">
        <f>min_total_installed!AJ2</f>
        <v>11374</v>
      </c>
      <c r="AP46" s="22">
        <f>min_total_installed!AK2</f>
        <v>11374</v>
      </c>
      <c r="AQ46" s="22">
        <f>min_total_installed!AL2</f>
        <v>11374</v>
      </c>
      <c r="AR46" s="22">
        <f>min_total_installed!AM2</f>
        <v>11374</v>
      </c>
      <c r="AS46" s="22">
        <f>min_total_installed!AN2</f>
        <v>11374</v>
      </c>
      <c r="AT46" s="22">
        <f>min_total_installed!AO2</f>
        <v>11374</v>
      </c>
      <c r="AU46" s="22">
        <f>min_total_installed!AP2</f>
        <v>11374</v>
      </c>
    </row>
    <row r="47" spans="1:47" ht="15.5" x14ac:dyDescent="0.35">
      <c r="A47" s="173" t="str">
        <f t="shared" si="109"/>
        <v>MOST_CNST</v>
      </c>
      <c r="B47" s="29">
        <v>1</v>
      </c>
      <c r="C47" s="29" t="s">
        <v>85</v>
      </c>
      <c r="D47" s="29" t="s">
        <v>7</v>
      </c>
      <c r="E47" s="14" t="s">
        <v>12</v>
      </c>
      <c r="F47" s="14" t="s">
        <v>9</v>
      </c>
      <c r="G47" s="22"/>
      <c r="H47" s="22"/>
      <c r="I47" s="22"/>
      <c r="J47" s="22"/>
      <c r="K47" s="22"/>
      <c r="L47" s="22" t="s">
        <v>86</v>
      </c>
      <c r="M47" s="22" t="s">
        <v>86</v>
      </c>
      <c r="N47" s="22" t="s">
        <v>86</v>
      </c>
      <c r="O47" s="22" t="s">
        <v>86</v>
      </c>
      <c r="P47" s="22" t="s">
        <v>86</v>
      </c>
      <c r="Q47" s="22" t="s">
        <v>86</v>
      </c>
      <c r="R47" s="22" t="s">
        <v>86</v>
      </c>
      <c r="S47" s="22" t="str">
        <f t="shared" ref="S47:U57" si="111">R47</f>
        <v>unc</v>
      </c>
      <c r="T47" s="22" t="str">
        <f t="shared" si="111"/>
        <v>unc</v>
      </c>
      <c r="U47" s="22" t="str">
        <f t="shared" si="111"/>
        <v>unc</v>
      </c>
      <c r="V47" s="22" t="str">
        <f t="shared" ref="V47:AK47" si="112">U47</f>
        <v>unc</v>
      </c>
      <c r="W47" s="22" t="str">
        <f t="shared" si="112"/>
        <v>unc</v>
      </c>
      <c r="X47" s="22" t="str">
        <f t="shared" si="112"/>
        <v>unc</v>
      </c>
      <c r="Y47" s="22" t="str">
        <f t="shared" si="112"/>
        <v>unc</v>
      </c>
      <c r="Z47" s="22" t="str">
        <f t="shared" si="112"/>
        <v>unc</v>
      </c>
      <c r="AA47" s="22" t="str">
        <f t="shared" si="112"/>
        <v>unc</v>
      </c>
      <c r="AB47" s="22" t="str">
        <f t="shared" si="112"/>
        <v>unc</v>
      </c>
      <c r="AC47" s="22" t="str">
        <f t="shared" si="112"/>
        <v>unc</v>
      </c>
      <c r="AD47" s="22" t="str">
        <f t="shared" si="112"/>
        <v>unc</v>
      </c>
      <c r="AE47" s="22" t="str">
        <f t="shared" si="112"/>
        <v>unc</v>
      </c>
      <c r="AF47" s="22" t="str">
        <f t="shared" si="112"/>
        <v>unc</v>
      </c>
      <c r="AG47" s="22" t="str">
        <f t="shared" si="112"/>
        <v>unc</v>
      </c>
      <c r="AH47" s="22" t="str">
        <f t="shared" si="112"/>
        <v>unc</v>
      </c>
      <c r="AI47" s="22" t="str">
        <f t="shared" si="112"/>
        <v>unc</v>
      </c>
      <c r="AJ47" s="22" t="str">
        <f t="shared" si="112"/>
        <v>unc</v>
      </c>
      <c r="AK47" s="22" t="str">
        <f t="shared" si="112"/>
        <v>unc</v>
      </c>
      <c r="AL47" s="22" t="str">
        <f t="shared" ref="AL47:AU47" si="113">AK47</f>
        <v>unc</v>
      </c>
      <c r="AM47" s="22" t="str">
        <f t="shared" si="113"/>
        <v>unc</v>
      </c>
      <c r="AN47" s="22" t="str">
        <f t="shared" si="113"/>
        <v>unc</v>
      </c>
      <c r="AO47" s="22" t="str">
        <f t="shared" si="113"/>
        <v>unc</v>
      </c>
      <c r="AP47" s="22" t="str">
        <f t="shared" si="113"/>
        <v>unc</v>
      </c>
      <c r="AQ47" s="22" t="str">
        <f t="shared" si="113"/>
        <v>unc</v>
      </c>
      <c r="AR47" s="22" t="str">
        <f t="shared" si="113"/>
        <v>unc</v>
      </c>
      <c r="AS47" s="22" t="str">
        <f t="shared" si="113"/>
        <v>unc</v>
      </c>
      <c r="AT47" s="22" t="str">
        <f t="shared" si="113"/>
        <v>unc</v>
      </c>
      <c r="AU47" s="22" t="str">
        <f t="shared" si="113"/>
        <v>unc</v>
      </c>
    </row>
    <row r="48" spans="1:47" ht="15.5" x14ac:dyDescent="0.35">
      <c r="A48" s="173" t="str">
        <f t="shared" si="109"/>
        <v>MOST_CNST</v>
      </c>
      <c r="B48" s="28">
        <v>1</v>
      </c>
      <c r="C48" s="28" t="s">
        <v>85</v>
      </c>
      <c r="D48" s="28" t="s">
        <v>7</v>
      </c>
      <c r="E48" s="15" t="s">
        <v>13</v>
      </c>
      <c r="F48" s="15" t="s">
        <v>9</v>
      </c>
      <c r="G48" s="22"/>
      <c r="H48" s="22"/>
      <c r="I48" s="22"/>
      <c r="J48" s="22"/>
      <c r="K48" s="22"/>
      <c r="L48" s="22" t="s">
        <v>86</v>
      </c>
      <c r="M48" s="22" t="s">
        <v>86</v>
      </c>
      <c r="N48" s="22" t="s">
        <v>86</v>
      </c>
      <c r="O48" s="22" t="s">
        <v>86</v>
      </c>
      <c r="P48" s="22" t="s">
        <v>86</v>
      </c>
      <c r="Q48" s="22">
        <v>7000</v>
      </c>
      <c r="R48" s="22" t="s">
        <v>86</v>
      </c>
      <c r="S48" s="22" t="str">
        <f t="shared" si="111"/>
        <v>unc</v>
      </c>
      <c r="T48" s="22" t="str">
        <f t="shared" si="111"/>
        <v>unc</v>
      </c>
      <c r="U48" s="22" t="str">
        <f t="shared" si="111"/>
        <v>unc</v>
      </c>
      <c r="V48" s="22" t="str">
        <f t="shared" ref="V48:AK48" si="114">U48</f>
        <v>unc</v>
      </c>
      <c r="W48" s="22" t="str">
        <f t="shared" si="114"/>
        <v>unc</v>
      </c>
      <c r="X48" s="22" t="str">
        <f t="shared" si="114"/>
        <v>unc</v>
      </c>
      <c r="Y48" s="22" t="str">
        <f t="shared" si="114"/>
        <v>unc</v>
      </c>
      <c r="Z48" s="22" t="str">
        <f t="shared" si="114"/>
        <v>unc</v>
      </c>
      <c r="AA48" s="22" t="str">
        <f t="shared" si="114"/>
        <v>unc</v>
      </c>
      <c r="AB48" s="22" t="str">
        <f t="shared" si="114"/>
        <v>unc</v>
      </c>
      <c r="AC48" s="22" t="str">
        <f t="shared" si="114"/>
        <v>unc</v>
      </c>
      <c r="AD48" s="22" t="str">
        <f t="shared" si="114"/>
        <v>unc</v>
      </c>
      <c r="AE48" s="22" t="str">
        <f t="shared" si="114"/>
        <v>unc</v>
      </c>
      <c r="AF48" s="22" t="str">
        <f t="shared" si="114"/>
        <v>unc</v>
      </c>
      <c r="AG48" s="22" t="str">
        <f t="shared" si="114"/>
        <v>unc</v>
      </c>
      <c r="AH48" s="22" t="str">
        <f t="shared" si="114"/>
        <v>unc</v>
      </c>
      <c r="AI48" s="22" t="str">
        <f t="shared" si="114"/>
        <v>unc</v>
      </c>
      <c r="AJ48" s="22" t="str">
        <f t="shared" si="114"/>
        <v>unc</v>
      </c>
      <c r="AK48" s="22" t="str">
        <f t="shared" si="114"/>
        <v>unc</v>
      </c>
      <c r="AL48" s="22" t="str">
        <f t="shared" ref="AL48:AU48" si="115">AK48</f>
        <v>unc</v>
      </c>
      <c r="AM48" s="22" t="str">
        <f t="shared" si="115"/>
        <v>unc</v>
      </c>
      <c r="AN48" s="22" t="str">
        <f t="shared" si="115"/>
        <v>unc</v>
      </c>
      <c r="AO48" s="22" t="str">
        <f t="shared" si="115"/>
        <v>unc</v>
      </c>
      <c r="AP48" s="22" t="str">
        <f t="shared" si="115"/>
        <v>unc</v>
      </c>
      <c r="AQ48" s="22" t="str">
        <f t="shared" si="115"/>
        <v>unc</v>
      </c>
      <c r="AR48" s="22" t="str">
        <f t="shared" si="115"/>
        <v>unc</v>
      </c>
      <c r="AS48" s="22" t="str">
        <f t="shared" si="115"/>
        <v>unc</v>
      </c>
      <c r="AT48" s="22" t="str">
        <f t="shared" si="115"/>
        <v>unc</v>
      </c>
      <c r="AU48" s="22" t="str">
        <f t="shared" si="115"/>
        <v>unc</v>
      </c>
    </row>
    <row r="49" spans="1:47" ht="15.5" x14ac:dyDescent="0.35">
      <c r="A49" s="173" t="str">
        <f t="shared" si="109"/>
        <v>MOST_CNST</v>
      </c>
      <c r="B49" s="29">
        <v>1</v>
      </c>
      <c r="C49" s="29" t="s">
        <v>85</v>
      </c>
      <c r="D49" s="29" t="s">
        <v>7</v>
      </c>
      <c r="E49" s="14" t="s">
        <v>14</v>
      </c>
      <c r="F49" s="14" t="s">
        <v>9</v>
      </c>
      <c r="G49" s="22"/>
      <c r="H49" s="22"/>
      <c r="I49" s="22"/>
      <c r="J49" s="22"/>
      <c r="K49" s="22"/>
      <c r="L49" s="22" t="s">
        <v>86</v>
      </c>
      <c r="M49" s="22" t="s">
        <v>86</v>
      </c>
      <c r="N49" s="22" t="s">
        <v>86</v>
      </c>
      <c r="O49" s="22" t="s">
        <v>86</v>
      </c>
      <c r="P49" s="22" t="s">
        <v>86</v>
      </c>
      <c r="Q49" s="22" t="s">
        <v>86</v>
      </c>
      <c r="R49" s="22" t="s">
        <v>86</v>
      </c>
      <c r="S49" s="22" t="str">
        <f t="shared" si="111"/>
        <v>unc</v>
      </c>
      <c r="T49" s="22" t="str">
        <f t="shared" si="111"/>
        <v>unc</v>
      </c>
      <c r="U49" s="22" t="str">
        <f t="shared" si="111"/>
        <v>unc</v>
      </c>
      <c r="V49" s="22" t="str">
        <f t="shared" ref="V49:AK49" si="116">U49</f>
        <v>unc</v>
      </c>
      <c r="W49" s="22" t="str">
        <f t="shared" si="116"/>
        <v>unc</v>
      </c>
      <c r="X49" s="22" t="str">
        <f t="shared" si="116"/>
        <v>unc</v>
      </c>
      <c r="Y49" s="22" t="str">
        <f t="shared" si="116"/>
        <v>unc</v>
      </c>
      <c r="Z49" s="22" t="str">
        <f t="shared" si="116"/>
        <v>unc</v>
      </c>
      <c r="AA49" s="22" t="str">
        <f t="shared" si="116"/>
        <v>unc</v>
      </c>
      <c r="AB49" s="22" t="str">
        <f t="shared" si="116"/>
        <v>unc</v>
      </c>
      <c r="AC49" s="22" t="str">
        <f t="shared" si="116"/>
        <v>unc</v>
      </c>
      <c r="AD49" s="22" t="str">
        <f t="shared" si="116"/>
        <v>unc</v>
      </c>
      <c r="AE49" s="22" t="str">
        <f t="shared" si="116"/>
        <v>unc</v>
      </c>
      <c r="AF49" s="22" t="str">
        <f t="shared" si="116"/>
        <v>unc</v>
      </c>
      <c r="AG49" s="22" t="str">
        <f t="shared" si="116"/>
        <v>unc</v>
      </c>
      <c r="AH49" s="22" t="str">
        <f t="shared" si="116"/>
        <v>unc</v>
      </c>
      <c r="AI49" s="22" t="str">
        <f t="shared" si="116"/>
        <v>unc</v>
      </c>
      <c r="AJ49" s="22" t="str">
        <f t="shared" si="116"/>
        <v>unc</v>
      </c>
      <c r="AK49" s="22" t="str">
        <f t="shared" si="116"/>
        <v>unc</v>
      </c>
      <c r="AL49" s="22" t="str">
        <f t="shared" ref="AL49:AU49" si="117">AK49</f>
        <v>unc</v>
      </c>
      <c r="AM49" s="22" t="str">
        <f t="shared" si="117"/>
        <v>unc</v>
      </c>
      <c r="AN49" s="22" t="str">
        <f t="shared" si="117"/>
        <v>unc</v>
      </c>
      <c r="AO49" s="22" t="str">
        <f t="shared" si="117"/>
        <v>unc</v>
      </c>
      <c r="AP49" s="22" t="str">
        <f t="shared" si="117"/>
        <v>unc</v>
      </c>
      <c r="AQ49" s="22" t="str">
        <f t="shared" si="117"/>
        <v>unc</v>
      </c>
      <c r="AR49" s="22" t="str">
        <f t="shared" si="117"/>
        <v>unc</v>
      </c>
      <c r="AS49" s="22" t="str">
        <f t="shared" si="117"/>
        <v>unc</v>
      </c>
      <c r="AT49" s="22" t="str">
        <f t="shared" si="117"/>
        <v>unc</v>
      </c>
      <c r="AU49" s="22" t="str">
        <f t="shared" si="117"/>
        <v>unc</v>
      </c>
    </row>
    <row r="50" spans="1:47" ht="15.5" x14ac:dyDescent="0.35">
      <c r="A50" s="173" t="str">
        <f t="shared" si="109"/>
        <v>MOST_CNST</v>
      </c>
      <c r="B50" s="28">
        <v>1</v>
      </c>
      <c r="C50" s="28" t="s">
        <v>85</v>
      </c>
      <c r="D50" s="28" t="s">
        <v>7</v>
      </c>
      <c r="E50" s="15" t="s">
        <v>15</v>
      </c>
      <c r="F50" s="15" t="s">
        <v>16</v>
      </c>
      <c r="G50" s="22"/>
      <c r="H50" s="22"/>
      <c r="I50" s="22"/>
      <c r="J50" s="22"/>
      <c r="K50" s="22"/>
      <c r="L50" s="22" t="s">
        <v>86</v>
      </c>
      <c r="M50" s="22" t="s">
        <v>86</v>
      </c>
      <c r="N50" s="22" t="s">
        <v>86</v>
      </c>
      <c r="O50" s="22" t="s">
        <v>86</v>
      </c>
      <c r="P50" s="22" t="s">
        <v>86</v>
      </c>
      <c r="Q50" s="22" t="s">
        <v>86</v>
      </c>
      <c r="R50" s="22" t="s">
        <v>86</v>
      </c>
      <c r="S50" s="22" t="str">
        <f t="shared" si="111"/>
        <v>unc</v>
      </c>
      <c r="T50" s="22" t="str">
        <f t="shared" si="111"/>
        <v>unc</v>
      </c>
      <c r="U50" s="22" t="str">
        <f t="shared" si="111"/>
        <v>unc</v>
      </c>
      <c r="V50" s="22" t="str">
        <f t="shared" ref="V50:AK50" si="118">U50</f>
        <v>unc</v>
      </c>
      <c r="W50" s="22" t="str">
        <f t="shared" si="118"/>
        <v>unc</v>
      </c>
      <c r="X50" s="22" t="str">
        <f t="shared" si="118"/>
        <v>unc</v>
      </c>
      <c r="Y50" s="22" t="str">
        <f t="shared" si="118"/>
        <v>unc</v>
      </c>
      <c r="Z50" s="22" t="str">
        <f t="shared" si="118"/>
        <v>unc</v>
      </c>
      <c r="AA50" s="22" t="str">
        <f t="shared" si="118"/>
        <v>unc</v>
      </c>
      <c r="AB50" s="22" t="str">
        <f t="shared" si="118"/>
        <v>unc</v>
      </c>
      <c r="AC50" s="22" t="str">
        <f t="shared" si="118"/>
        <v>unc</v>
      </c>
      <c r="AD50" s="22" t="str">
        <f t="shared" si="118"/>
        <v>unc</v>
      </c>
      <c r="AE50" s="22" t="str">
        <f t="shared" si="118"/>
        <v>unc</v>
      </c>
      <c r="AF50" s="22" t="str">
        <f t="shared" si="118"/>
        <v>unc</v>
      </c>
      <c r="AG50" s="22" t="str">
        <f t="shared" si="118"/>
        <v>unc</v>
      </c>
      <c r="AH50" s="22" t="str">
        <f t="shared" si="118"/>
        <v>unc</v>
      </c>
      <c r="AI50" s="22" t="str">
        <f t="shared" si="118"/>
        <v>unc</v>
      </c>
      <c r="AJ50" s="22" t="str">
        <f t="shared" si="118"/>
        <v>unc</v>
      </c>
      <c r="AK50" s="22" t="str">
        <f t="shared" si="118"/>
        <v>unc</v>
      </c>
      <c r="AL50" s="22" t="str">
        <f t="shared" ref="AL50:AU50" si="119">AK50</f>
        <v>unc</v>
      </c>
      <c r="AM50" s="22" t="str">
        <f t="shared" si="119"/>
        <v>unc</v>
      </c>
      <c r="AN50" s="22" t="str">
        <f t="shared" si="119"/>
        <v>unc</v>
      </c>
      <c r="AO50" s="22" t="str">
        <f t="shared" si="119"/>
        <v>unc</v>
      </c>
      <c r="AP50" s="22" t="str">
        <f t="shared" si="119"/>
        <v>unc</v>
      </c>
      <c r="AQ50" s="22" t="str">
        <f t="shared" si="119"/>
        <v>unc</v>
      </c>
      <c r="AR50" s="22" t="str">
        <f t="shared" si="119"/>
        <v>unc</v>
      </c>
      <c r="AS50" s="22" t="str">
        <f t="shared" si="119"/>
        <v>unc</v>
      </c>
      <c r="AT50" s="22" t="str">
        <f t="shared" si="119"/>
        <v>unc</v>
      </c>
      <c r="AU50" s="22" t="str">
        <f t="shared" si="119"/>
        <v>unc</v>
      </c>
    </row>
    <row r="51" spans="1:47" ht="15.5" x14ac:dyDescent="0.35">
      <c r="A51" s="173" t="str">
        <f t="shared" si="109"/>
        <v>MOST_CNST</v>
      </c>
      <c r="B51" s="29">
        <v>1</v>
      </c>
      <c r="C51" s="29" t="s">
        <v>85</v>
      </c>
      <c r="D51" s="29" t="s">
        <v>7</v>
      </c>
      <c r="E51" s="14" t="s">
        <v>17</v>
      </c>
      <c r="F51" s="14" t="s">
        <v>16</v>
      </c>
      <c r="G51" s="22"/>
      <c r="H51" s="22"/>
      <c r="I51" s="22"/>
      <c r="J51" s="22"/>
      <c r="K51" s="22"/>
      <c r="L51" s="22" t="s">
        <v>86</v>
      </c>
      <c r="M51" s="22" t="s">
        <v>86</v>
      </c>
      <c r="N51" s="22" t="s">
        <v>86</v>
      </c>
      <c r="O51" s="22" t="s">
        <v>86</v>
      </c>
      <c r="P51" s="22" t="s">
        <v>86</v>
      </c>
      <c r="Q51" s="22" t="s">
        <v>86</v>
      </c>
      <c r="R51" s="22" t="s">
        <v>86</v>
      </c>
      <c r="S51" s="22" t="str">
        <f t="shared" si="111"/>
        <v>unc</v>
      </c>
      <c r="T51" s="22" t="str">
        <f t="shared" si="111"/>
        <v>unc</v>
      </c>
      <c r="U51" s="22" t="str">
        <f t="shared" si="111"/>
        <v>unc</v>
      </c>
      <c r="V51" s="22" t="str">
        <f t="shared" ref="V51:AK51" si="120">U51</f>
        <v>unc</v>
      </c>
      <c r="W51" s="22" t="str">
        <f t="shared" si="120"/>
        <v>unc</v>
      </c>
      <c r="X51" s="22" t="str">
        <f t="shared" si="120"/>
        <v>unc</v>
      </c>
      <c r="Y51" s="22" t="str">
        <f t="shared" si="120"/>
        <v>unc</v>
      </c>
      <c r="Z51" s="22" t="str">
        <f t="shared" si="120"/>
        <v>unc</v>
      </c>
      <c r="AA51" s="22" t="str">
        <f t="shared" si="120"/>
        <v>unc</v>
      </c>
      <c r="AB51" s="22" t="str">
        <f t="shared" si="120"/>
        <v>unc</v>
      </c>
      <c r="AC51" s="22" t="str">
        <f t="shared" si="120"/>
        <v>unc</v>
      </c>
      <c r="AD51" s="22" t="str">
        <f t="shared" si="120"/>
        <v>unc</v>
      </c>
      <c r="AE51" s="22" t="str">
        <f t="shared" si="120"/>
        <v>unc</v>
      </c>
      <c r="AF51" s="22" t="str">
        <f t="shared" si="120"/>
        <v>unc</v>
      </c>
      <c r="AG51" s="22" t="str">
        <f t="shared" si="120"/>
        <v>unc</v>
      </c>
      <c r="AH51" s="22" t="str">
        <f t="shared" si="120"/>
        <v>unc</v>
      </c>
      <c r="AI51" s="22" t="str">
        <f t="shared" si="120"/>
        <v>unc</v>
      </c>
      <c r="AJ51" s="22" t="str">
        <f t="shared" si="120"/>
        <v>unc</v>
      </c>
      <c r="AK51" s="22" t="str">
        <f t="shared" si="120"/>
        <v>unc</v>
      </c>
      <c r="AL51" s="22" t="str">
        <f t="shared" ref="AL51:AU51" si="121">AK51</f>
        <v>unc</v>
      </c>
      <c r="AM51" s="22" t="str">
        <f t="shared" si="121"/>
        <v>unc</v>
      </c>
      <c r="AN51" s="22" t="str">
        <f t="shared" si="121"/>
        <v>unc</v>
      </c>
      <c r="AO51" s="22" t="str">
        <f t="shared" si="121"/>
        <v>unc</v>
      </c>
      <c r="AP51" s="22" t="str">
        <f t="shared" si="121"/>
        <v>unc</v>
      </c>
      <c r="AQ51" s="22" t="str">
        <f t="shared" si="121"/>
        <v>unc</v>
      </c>
      <c r="AR51" s="22" t="str">
        <f t="shared" si="121"/>
        <v>unc</v>
      </c>
      <c r="AS51" s="22" t="str">
        <f t="shared" si="121"/>
        <v>unc</v>
      </c>
      <c r="AT51" s="22" t="str">
        <f t="shared" si="121"/>
        <v>unc</v>
      </c>
      <c r="AU51" s="22" t="str">
        <f t="shared" si="121"/>
        <v>unc</v>
      </c>
    </row>
    <row r="52" spans="1:47" ht="15.5" x14ac:dyDescent="0.35">
      <c r="A52" s="173" t="str">
        <f t="shared" si="109"/>
        <v>MOST_CNST</v>
      </c>
      <c r="B52" s="28">
        <v>1</v>
      </c>
      <c r="C52" s="28" t="s">
        <v>85</v>
      </c>
      <c r="D52" s="28" t="s">
        <v>7</v>
      </c>
      <c r="E52" s="15" t="s">
        <v>18</v>
      </c>
      <c r="F52" s="15" t="s">
        <v>16</v>
      </c>
      <c r="G52" s="22"/>
      <c r="H52" s="22"/>
      <c r="I52" s="22"/>
      <c r="J52" s="22"/>
      <c r="K52" s="22"/>
      <c r="L52" s="22" t="s">
        <v>86</v>
      </c>
      <c r="M52" s="22" t="s">
        <v>86</v>
      </c>
      <c r="N52" s="22" t="s">
        <v>86</v>
      </c>
      <c r="O52" s="22" t="s">
        <v>86</v>
      </c>
      <c r="P52" s="22" t="s">
        <v>86</v>
      </c>
      <c r="Q52" s="22" t="s">
        <v>86</v>
      </c>
      <c r="R52" s="22" t="s">
        <v>86</v>
      </c>
      <c r="S52" s="22" t="str">
        <f t="shared" si="111"/>
        <v>unc</v>
      </c>
      <c r="T52" s="22" t="str">
        <f t="shared" si="111"/>
        <v>unc</v>
      </c>
      <c r="U52" s="22" t="str">
        <f t="shared" si="111"/>
        <v>unc</v>
      </c>
      <c r="V52" s="22" t="str">
        <f t="shared" ref="V52:AK52" si="122">U52</f>
        <v>unc</v>
      </c>
      <c r="W52" s="22" t="str">
        <f t="shared" si="122"/>
        <v>unc</v>
      </c>
      <c r="X52" s="22" t="str">
        <f t="shared" si="122"/>
        <v>unc</v>
      </c>
      <c r="Y52" s="22" t="str">
        <f t="shared" si="122"/>
        <v>unc</v>
      </c>
      <c r="Z52" s="22" t="str">
        <f t="shared" si="122"/>
        <v>unc</v>
      </c>
      <c r="AA52" s="22" t="str">
        <f t="shared" si="122"/>
        <v>unc</v>
      </c>
      <c r="AB52" s="22" t="str">
        <f t="shared" si="122"/>
        <v>unc</v>
      </c>
      <c r="AC52" s="22" t="str">
        <f t="shared" si="122"/>
        <v>unc</v>
      </c>
      <c r="AD52" s="22" t="str">
        <f t="shared" si="122"/>
        <v>unc</v>
      </c>
      <c r="AE52" s="22" t="str">
        <f t="shared" si="122"/>
        <v>unc</v>
      </c>
      <c r="AF52" s="22" t="str">
        <f t="shared" si="122"/>
        <v>unc</v>
      </c>
      <c r="AG52" s="22" t="str">
        <f t="shared" si="122"/>
        <v>unc</v>
      </c>
      <c r="AH52" s="22" t="str">
        <f t="shared" si="122"/>
        <v>unc</v>
      </c>
      <c r="AI52" s="22" t="str">
        <f t="shared" si="122"/>
        <v>unc</v>
      </c>
      <c r="AJ52" s="22" t="str">
        <f t="shared" si="122"/>
        <v>unc</v>
      </c>
      <c r="AK52" s="22" t="str">
        <f t="shared" si="122"/>
        <v>unc</v>
      </c>
      <c r="AL52" s="22" t="str">
        <f t="shared" ref="AL52:AU52" si="123">AK52</f>
        <v>unc</v>
      </c>
      <c r="AM52" s="22" t="str">
        <f t="shared" si="123"/>
        <v>unc</v>
      </c>
      <c r="AN52" s="22" t="str">
        <f t="shared" si="123"/>
        <v>unc</v>
      </c>
      <c r="AO52" s="22" t="str">
        <f t="shared" si="123"/>
        <v>unc</v>
      </c>
      <c r="AP52" s="22" t="str">
        <f t="shared" si="123"/>
        <v>unc</v>
      </c>
      <c r="AQ52" s="22" t="str">
        <f t="shared" si="123"/>
        <v>unc</v>
      </c>
      <c r="AR52" s="22" t="str">
        <f t="shared" si="123"/>
        <v>unc</v>
      </c>
      <c r="AS52" s="22" t="str">
        <f t="shared" si="123"/>
        <v>unc</v>
      </c>
      <c r="AT52" s="22" t="str">
        <f t="shared" si="123"/>
        <v>unc</v>
      </c>
      <c r="AU52" s="22" t="str">
        <f t="shared" si="123"/>
        <v>unc</v>
      </c>
    </row>
    <row r="53" spans="1:47" ht="15.5" x14ac:dyDescent="0.35">
      <c r="A53" s="173" t="str">
        <f t="shared" si="109"/>
        <v>MOST_CNST</v>
      </c>
      <c r="B53" s="29">
        <v>1</v>
      </c>
      <c r="C53" s="29" t="s">
        <v>85</v>
      </c>
      <c r="D53" s="29" t="s">
        <v>7</v>
      </c>
      <c r="E53" s="14" t="s">
        <v>19</v>
      </c>
      <c r="F53" s="14" t="s">
        <v>16</v>
      </c>
      <c r="G53" s="22"/>
      <c r="H53" s="22"/>
      <c r="I53" s="22"/>
      <c r="J53" s="22"/>
      <c r="K53" s="22"/>
      <c r="L53" s="22" t="s">
        <v>86</v>
      </c>
      <c r="M53" s="22" t="s">
        <v>86</v>
      </c>
      <c r="N53" s="22" t="s">
        <v>86</v>
      </c>
      <c r="O53" s="22" t="s">
        <v>86</v>
      </c>
      <c r="P53" s="22" t="s">
        <v>86</v>
      </c>
      <c r="Q53" s="22" t="s">
        <v>86</v>
      </c>
      <c r="R53" s="22" t="s">
        <v>86</v>
      </c>
      <c r="S53" s="22" t="str">
        <f t="shared" si="111"/>
        <v>unc</v>
      </c>
      <c r="T53" s="22" t="str">
        <f t="shared" si="111"/>
        <v>unc</v>
      </c>
      <c r="U53" s="22" t="str">
        <f t="shared" si="111"/>
        <v>unc</v>
      </c>
      <c r="V53" s="22" t="str">
        <f t="shared" ref="V53:AK53" si="124">U53</f>
        <v>unc</v>
      </c>
      <c r="W53" s="22" t="str">
        <f t="shared" si="124"/>
        <v>unc</v>
      </c>
      <c r="X53" s="22" t="str">
        <f t="shared" si="124"/>
        <v>unc</v>
      </c>
      <c r="Y53" s="22" t="str">
        <f t="shared" si="124"/>
        <v>unc</v>
      </c>
      <c r="Z53" s="22" t="str">
        <f t="shared" si="124"/>
        <v>unc</v>
      </c>
      <c r="AA53" s="22" t="str">
        <f t="shared" si="124"/>
        <v>unc</v>
      </c>
      <c r="AB53" s="22" t="str">
        <f t="shared" si="124"/>
        <v>unc</v>
      </c>
      <c r="AC53" s="22" t="str">
        <f t="shared" si="124"/>
        <v>unc</v>
      </c>
      <c r="AD53" s="22" t="str">
        <f t="shared" si="124"/>
        <v>unc</v>
      </c>
      <c r="AE53" s="22" t="str">
        <f t="shared" si="124"/>
        <v>unc</v>
      </c>
      <c r="AF53" s="22" t="str">
        <f t="shared" si="124"/>
        <v>unc</v>
      </c>
      <c r="AG53" s="22" t="str">
        <f t="shared" si="124"/>
        <v>unc</v>
      </c>
      <c r="AH53" s="22" t="str">
        <f t="shared" si="124"/>
        <v>unc</v>
      </c>
      <c r="AI53" s="22" t="str">
        <f t="shared" si="124"/>
        <v>unc</v>
      </c>
      <c r="AJ53" s="22" t="str">
        <f t="shared" si="124"/>
        <v>unc</v>
      </c>
      <c r="AK53" s="22" t="str">
        <f t="shared" si="124"/>
        <v>unc</v>
      </c>
      <c r="AL53" s="22" t="str">
        <f t="shared" ref="AL53:AU53" si="125">AK53</f>
        <v>unc</v>
      </c>
      <c r="AM53" s="22" t="str">
        <f t="shared" si="125"/>
        <v>unc</v>
      </c>
      <c r="AN53" s="22" t="str">
        <f t="shared" si="125"/>
        <v>unc</v>
      </c>
      <c r="AO53" s="22" t="str">
        <f t="shared" si="125"/>
        <v>unc</v>
      </c>
      <c r="AP53" s="22" t="str">
        <f t="shared" si="125"/>
        <v>unc</v>
      </c>
      <c r="AQ53" s="22" t="str">
        <f t="shared" si="125"/>
        <v>unc</v>
      </c>
      <c r="AR53" s="22" t="str">
        <f t="shared" si="125"/>
        <v>unc</v>
      </c>
      <c r="AS53" s="22" t="str">
        <f t="shared" si="125"/>
        <v>unc</v>
      </c>
      <c r="AT53" s="22" t="str">
        <f t="shared" si="125"/>
        <v>unc</v>
      </c>
      <c r="AU53" s="22" t="str">
        <f t="shared" si="125"/>
        <v>unc</v>
      </c>
    </row>
    <row r="54" spans="1:47" ht="15.5" x14ac:dyDescent="0.35">
      <c r="A54" s="173" t="str">
        <f t="shared" si="109"/>
        <v>MOST_CNST</v>
      </c>
      <c r="B54" s="28">
        <v>1</v>
      </c>
      <c r="C54" s="28" t="s">
        <v>85</v>
      </c>
      <c r="D54" s="28" t="s">
        <v>7</v>
      </c>
      <c r="E54" s="15" t="s">
        <v>20</v>
      </c>
      <c r="F54" s="15" t="s">
        <v>16</v>
      </c>
      <c r="G54" s="22"/>
      <c r="H54" s="22"/>
      <c r="I54" s="22"/>
      <c r="J54" s="22"/>
      <c r="K54" s="22"/>
      <c r="L54" s="22" t="s">
        <v>86</v>
      </c>
      <c r="M54" s="22" t="s">
        <v>86</v>
      </c>
      <c r="N54" s="22" t="s">
        <v>86</v>
      </c>
      <c r="O54" s="22" t="s">
        <v>86</v>
      </c>
      <c r="P54" s="22" t="s">
        <v>86</v>
      </c>
      <c r="Q54" s="22" t="s">
        <v>86</v>
      </c>
      <c r="R54" s="22" t="s">
        <v>86</v>
      </c>
      <c r="S54" s="22" t="str">
        <f t="shared" si="111"/>
        <v>unc</v>
      </c>
      <c r="T54" s="22" t="str">
        <f t="shared" si="111"/>
        <v>unc</v>
      </c>
      <c r="U54" s="22" t="str">
        <f t="shared" si="111"/>
        <v>unc</v>
      </c>
      <c r="V54" s="22" t="str">
        <f t="shared" ref="V54:AK54" si="126">U54</f>
        <v>unc</v>
      </c>
      <c r="W54" s="22" t="str">
        <f t="shared" si="126"/>
        <v>unc</v>
      </c>
      <c r="X54" s="22" t="str">
        <f t="shared" si="126"/>
        <v>unc</v>
      </c>
      <c r="Y54" s="22" t="str">
        <f t="shared" si="126"/>
        <v>unc</v>
      </c>
      <c r="Z54" s="22" t="str">
        <f t="shared" si="126"/>
        <v>unc</v>
      </c>
      <c r="AA54" s="22" t="str">
        <f t="shared" si="126"/>
        <v>unc</v>
      </c>
      <c r="AB54" s="22" t="str">
        <f t="shared" si="126"/>
        <v>unc</v>
      </c>
      <c r="AC54" s="22" t="str">
        <f t="shared" si="126"/>
        <v>unc</v>
      </c>
      <c r="AD54" s="22" t="str">
        <f t="shared" si="126"/>
        <v>unc</v>
      </c>
      <c r="AE54" s="22" t="str">
        <f t="shared" si="126"/>
        <v>unc</v>
      </c>
      <c r="AF54" s="22" t="str">
        <f t="shared" si="126"/>
        <v>unc</v>
      </c>
      <c r="AG54" s="22" t="str">
        <f t="shared" si="126"/>
        <v>unc</v>
      </c>
      <c r="AH54" s="22" t="str">
        <f t="shared" si="126"/>
        <v>unc</v>
      </c>
      <c r="AI54" s="22" t="str">
        <f t="shared" si="126"/>
        <v>unc</v>
      </c>
      <c r="AJ54" s="22" t="str">
        <f t="shared" si="126"/>
        <v>unc</v>
      </c>
      <c r="AK54" s="22" t="str">
        <f t="shared" si="126"/>
        <v>unc</v>
      </c>
      <c r="AL54" s="22" t="str">
        <f t="shared" ref="AL54:AU54" si="127">AK54</f>
        <v>unc</v>
      </c>
      <c r="AM54" s="22" t="str">
        <f t="shared" si="127"/>
        <v>unc</v>
      </c>
      <c r="AN54" s="22" t="str">
        <f t="shared" si="127"/>
        <v>unc</v>
      </c>
      <c r="AO54" s="22" t="str">
        <f t="shared" si="127"/>
        <v>unc</v>
      </c>
      <c r="AP54" s="22" t="str">
        <f t="shared" si="127"/>
        <v>unc</v>
      </c>
      <c r="AQ54" s="22" t="str">
        <f t="shared" si="127"/>
        <v>unc</v>
      </c>
      <c r="AR54" s="22" t="str">
        <f t="shared" si="127"/>
        <v>unc</v>
      </c>
      <c r="AS54" s="22" t="str">
        <f t="shared" si="127"/>
        <v>unc</v>
      </c>
      <c r="AT54" s="22" t="str">
        <f t="shared" si="127"/>
        <v>unc</v>
      </c>
      <c r="AU54" s="22" t="str">
        <f t="shared" si="127"/>
        <v>unc</v>
      </c>
    </row>
    <row r="55" spans="1:47" ht="15.5" x14ac:dyDescent="0.35">
      <c r="A55" s="173" t="str">
        <f t="shared" si="109"/>
        <v>MOST_CNST</v>
      </c>
      <c r="B55" s="29">
        <v>1</v>
      </c>
      <c r="C55" s="29" t="s">
        <v>85</v>
      </c>
      <c r="D55" s="29" t="s">
        <v>7</v>
      </c>
      <c r="E55" s="14" t="s">
        <v>21</v>
      </c>
      <c r="F55" s="14" t="s">
        <v>16</v>
      </c>
      <c r="G55" s="22"/>
      <c r="H55" s="22"/>
      <c r="I55" s="22"/>
      <c r="J55" s="22"/>
      <c r="K55" s="22"/>
      <c r="L55" s="22" t="s">
        <v>86</v>
      </c>
      <c r="M55" s="22" t="s">
        <v>86</v>
      </c>
      <c r="N55" s="22" t="s">
        <v>86</v>
      </c>
      <c r="O55" s="22" t="s">
        <v>86</v>
      </c>
      <c r="P55" s="22" t="s">
        <v>86</v>
      </c>
      <c r="Q55" s="22" t="s">
        <v>86</v>
      </c>
      <c r="R55" s="22" t="s">
        <v>86</v>
      </c>
      <c r="S55" s="22" t="str">
        <f t="shared" si="111"/>
        <v>unc</v>
      </c>
      <c r="T55" s="22" t="str">
        <f t="shared" si="111"/>
        <v>unc</v>
      </c>
      <c r="U55" s="22" t="str">
        <f t="shared" si="111"/>
        <v>unc</v>
      </c>
      <c r="V55" s="22" t="str">
        <f t="shared" ref="V55:AK55" si="128">U55</f>
        <v>unc</v>
      </c>
      <c r="W55" s="22" t="str">
        <f t="shared" si="128"/>
        <v>unc</v>
      </c>
      <c r="X55" s="22" t="str">
        <f t="shared" si="128"/>
        <v>unc</v>
      </c>
      <c r="Y55" s="22" t="str">
        <f t="shared" si="128"/>
        <v>unc</v>
      </c>
      <c r="Z55" s="22" t="str">
        <f t="shared" si="128"/>
        <v>unc</v>
      </c>
      <c r="AA55" s="22" t="str">
        <f t="shared" si="128"/>
        <v>unc</v>
      </c>
      <c r="AB55" s="22" t="str">
        <f t="shared" si="128"/>
        <v>unc</v>
      </c>
      <c r="AC55" s="22" t="str">
        <f t="shared" si="128"/>
        <v>unc</v>
      </c>
      <c r="AD55" s="22" t="str">
        <f t="shared" si="128"/>
        <v>unc</v>
      </c>
      <c r="AE55" s="22" t="str">
        <f t="shared" si="128"/>
        <v>unc</v>
      </c>
      <c r="AF55" s="22" t="str">
        <f t="shared" si="128"/>
        <v>unc</v>
      </c>
      <c r="AG55" s="22" t="str">
        <f t="shared" si="128"/>
        <v>unc</v>
      </c>
      <c r="AH55" s="22" t="str">
        <f t="shared" si="128"/>
        <v>unc</v>
      </c>
      <c r="AI55" s="22" t="str">
        <f t="shared" si="128"/>
        <v>unc</v>
      </c>
      <c r="AJ55" s="22" t="str">
        <f t="shared" si="128"/>
        <v>unc</v>
      </c>
      <c r="AK55" s="22" t="str">
        <f t="shared" si="128"/>
        <v>unc</v>
      </c>
      <c r="AL55" s="22" t="str">
        <f t="shared" ref="AL55:AU55" si="129">AK55</f>
        <v>unc</v>
      </c>
      <c r="AM55" s="22" t="str">
        <f t="shared" si="129"/>
        <v>unc</v>
      </c>
      <c r="AN55" s="22" t="str">
        <f t="shared" si="129"/>
        <v>unc</v>
      </c>
      <c r="AO55" s="22" t="str">
        <f t="shared" si="129"/>
        <v>unc</v>
      </c>
      <c r="AP55" s="22" t="str">
        <f t="shared" si="129"/>
        <v>unc</v>
      </c>
      <c r="AQ55" s="22" t="str">
        <f t="shared" si="129"/>
        <v>unc</v>
      </c>
      <c r="AR55" s="22" t="str">
        <f t="shared" si="129"/>
        <v>unc</v>
      </c>
      <c r="AS55" s="22" t="str">
        <f t="shared" si="129"/>
        <v>unc</v>
      </c>
      <c r="AT55" s="22" t="str">
        <f t="shared" si="129"/>
        <v>unc</v>
      </c>
      <c r="AU55" s="22" t="str">
        <f t="shared" si="129"/>
        <v>unc</v>
      </c>
    </row>
    <row r="56" spans="1:47" ht="15.5" x14ac:dyDescent="0.35">
      <c r="A56" s="173" t="str">
        <f t="shared" si="109"/>
        <v>MOST_CNST</v>
      </c>
      <c r="B56" s="28">
        <v>1</v>
      </c>
      <c r="C56" s="28" t="s">
        <v>85</v>
      </c>
      <c r="D56" s="28" t="s">
        <v>7</v>
      </c>
      <c r="E56" s="15" t="s">
        <v>22</v>
      </c>
      <c r="F56" s="15" t="s">
        <v>16</v>
      </c>
      <c r="G56" s="22"/>
      <c r="H56" s="22"/>
      <c r="I56" s="22"/>
      <c r="J56" s="22"/>
      <c r="K56" s="22"/>
      <c r="L56" s="22" t="s">
        <v>86</v>
      </c>
      <c r="M56" s="22" t="s">
        <v>86</v>
      </c>
      <c r="N56" s="22" t="s">
        <v>86</v>
      </c>
      <c r="O56" s="22" t="s">
        <v>86</v>
      </c>
      <c r="P56" s="22" t="s">
        <v>86</v>
      </c>
      <c r="Q56" s="22" t="s">
        <v>86</v>
      </c>
      <c r="R56" s="22" t="s">
        <v>86</v>
      </c>
      <c r="S56" s="22" t="str">
        <f t="shared" si="111"/>
        <v>unc</v>
      </c>
      <c r="T56" s="22" t="str">
        <f t="shared" si="111"/>
        <v>unc</v>
      </c>
      <c r="U56" s="22" t="str">
        <f t="shared" si="111"/>
        <v>unc</v>
      </c>
      <c r="V56" s="22" t="str">
        <f t="shared" ref="V56:AK56" si="130">U56</f>
        <v>unc</v>
      </c>
      <c r="W56" s="22" t="str">
        <f t="shared" si="130"/>
        <v>unc</v>
      </c>
      <c r="X56" s="22" t="str">
        <f t="shared" si="130"/>
        <v>unc</v>
      </c>
      <c r="Y56" s="22" t="str">
        <f t="shared" si="130"/>
        <v>unc</v>
      </c>
      <c r="Z56" s="22" t="str">
        <f t="shared" si="130"/>
        <v>unc</v>
      </c>
      <c r="AA56" s="22" t="str">
        <f t="shared" si="130"/>
        <v>unc</v>
      </c>
      <c r="AB56" s="22" t="str">
        <f t="shared" si="130"/>
        <v>unc</v>
      </c>
      <c r="AC56" s="22" t="str">
        <f t="shared" si="130"/>
        <v>unc</v>
      </c>
      <c r="AD56" s="22" t="str">
        <f t="shared" si="130"/>
        <v>unc</v>
      </c>
      <c r="AE56" s="22" t="str">
        <f t="shared" si="130"/>
        <v>unc</v>
      </c>
      <c r="AF56" s="22" t="str">
        <f t="shared" si="130"/>
        <v>unc</v>
      </c>
      <c r="AG56" s="22" t="str">
        <f t="shared" si="130"/>
        <v>unc</v>
      </c>
      <c r="AH56" s="22" t="str">
        <f t="shared" si="130"/>
        <v>unc</v>
      </c>
      <c r="AI56" s="22" t="str">
        <f t="shared" si="130"/>
        <v>unc</v>
      </c>
      <c r="AJ56" s="22" t="str">
        <f t="shared" si="130"/>
        <v>unc</v>
      </c>
      <c r="AK56" s="22" t="str">
        <f t="shared" si="130"/>
        <v>unc</v>
      </c>
      <c r="AL56" s="22" t="str">
        <f t="shared" ref="AL56:AU56" si="131">AK56</f>
        <v>unc</v>
      </c>
      <c r="AM56" s="22" t="str">
        <f t="shared" si="131"/>
        <v>unc</v>
      </c>
      <c r="AN56" s="22" t="str">
        <f t="shared" si="131"/>
        <v>unc</v>
      </c>
      <c r="AO56" s="22" t="str">
        <f t="shared" si="131"/>
        <v>unc</v>
      </c>
      <c r="AP56" s="22" t="str">
        <f t="shared" si="131"/>
        <v>unc</v>
      </c>
      <c r="AQ56" s="22" t="str">
        <f t="shared" si="131"/>
        <v>unc</v>
      </c>
      <c r="AR56" s="22" t="str">
        <f t="shared" si="131"/>
        <v>unc</v>
      </c>
      <c r="AS56" s="22" t="str">
        <f t="shared" si="131"/>
        <v>unc</v>
      </c>
      <c r="AT56" s="22" t="str">
        <f t="shared" si="131"/>
        <v>unc</v>
      </c>
      <c r="AU56" s="22" t="str">
        <f t="shared" si="131"/>
        <v>unc</v>
      </c>
    </row>
    <row r="57" spans="1:47" ht="15.5" x14ac:dyDescent="0.35">
      <c r="A57" s="173" t="str">
        <f>A54</f>
        <v>MOST_CNST</v>
      </c>
      <c r="B57" s="29">
        <v>1</v>
      </c>
      <c r="C57" s="29" t="s">
        <v>85</v>
      </c>
      <c r="D57" s="29" t="s">
        <v>7</v>
      </c>
      <c r="E57" s="14" t="s">
        <v>23</v>
      </c>
      <c r="F57" s="14" t="s">
        <v>16</v>
      </c>
      <c r="G57" s="22"/>
      <c r="H57" s="22"/>
      <c r="I57" s="22"/>
      <c r="J57" s="22"/>
      <c r="K57" s="22"/>
      <c r="L57" s="22" t="s">
        <v>86</v>
      </c>
      <c r="M57" s="22" t="s">
        <v>86</v>
      </c>
      <c r="N57" s="22" t="s">
        <v>86</v>
      </c>
      <c r="O57" s="22" t="s">
        <v>86</v>
      </c>
      <c r="P57" s="22" t="s">
        <v>86</v>
      </c>
      <c r="Q57" s="22" t="s">
        <v>86</v>
      </c>
      <c r="R57" s="22" t="s">
        <v>86</v>
      </c>
      <c r="S57" s="22" t="str">
        <f t="shared" si="111"/>
        <v>unc</v>
      </c>
      <c r="T57" s="22" t="str">
        <f t="shared" si="111"/>
        <v>unc</v>
      </c>
      <c r="U57" s="22" t="str">
        <f t="shared" si="111"/>
        <v>unc</v>
      </c>
      <c r="V57" s="22" t="str">
        <f t="shared" ref="V57:AK58" si="132">U57</f>
        <v>unc</v>
      </c>
      <c r="W57" s="22" t="str">
        <f t="shared" si="132"/>
        <v>unc</v>
      </c>
      <c r="X57" s="22" t="str">
        <f t="shared" si="132"/>
        <v>unc</v>
      </c>
      <c r="Y57" s="22" t="str">
        <f t="shared" si="132"/>
        <v>unc</v>
      </c>
      <c r="Z57" s="22" t="str">
        <f t="shared" si="132"/>
        <v>unc</v>
      </c>
      <c r="AA57" s="22" t="str">
        <f t="shared" si="132"/>
        <v>unc</v>
      </c>
      <c r="AB57" s="22" t="str">
        <f t="shared" si="132"/>
        <v>unc</v>
      </c>
      <c r="AC57" s="22" t="str">
        <f t="shared" si="132"/>
        <v>unc</v>
      </c>
      <c r="AD57" s="22" t="str">
        <f t="shared" si="132"/>
        <v>unc</v>
      </c>
      <c r="AE57" s="22" t="str">
        <f t="shared" si="132"/>
        <v>unc</v>
      </c>
      <c r="AF57" s="22" t="str">
        <f t="shared" si="132"/>
        <v>unc</v>
      </c>
      <c r="AG57" s="22" t="str">
        <f t="shared" si="132"/>
        <v>unc</v>
      </c>
      <c r="AH57" s="22" t="str">
        <f t="shared" si="132"/>
        <v>unc</v>
      </c>
      <c r="AI57" s="22" t="str">
        <f t="shared" si="132"/>
        <v>unc</v>
      </c>
      <c r="AJ57" s="22" t="str">
        <f t="shared" si="132"/>
        <v>unc</v>
      </c>
      <c r="AK57" s="22" t="str">
        <f t="shared" si="132"/>
        <v>unc</v>
      </c>
      <c r="AL57" s="22" t="str">
        <f t="shared" ref="AL57:AU58" si="133">AK57</f>
        <v>unc</v>
      </c>
      <c r="AM57" s="22" t="str">
        <f t="shared" si="133"/>
        <v>unc</v>
      </c>
      <c r="AN57" s="22" t="str">
        <f t="shared" si="133"/>
        <v>unc</v>
      </c>
      <c r="AO57" s="22" t="str">
        <f t="shared" si="133"/>
        <v>unc</v>
      </c>
      <c r="AP57" s="22" t="str">
        <f t="shared" si="133"/>
        <v>unc</v>
      </c>
      <c r="AQ57" s="22" t="str">
        <f t="shared" si="133"/>
        <v>unc</v>
      </c>
      <c r="AR57" s="22" t="str">
        <f t="shared" si="133"/>
        <v>unc</v>
      </c>
      <c r="AS57" s="22" t="str">
        <f t="shared" si="133"/>
        <v>unc</v>
      </c>
      <c r="AT57" s="22" t="str">
        <f t="shared" si="133"/>
        <v>unc</v>
      </c>
      <c r="AU57" s="22" t="str">
        <f t="shared" si="133"/>
        <v>unc</v>
      </c>
    </row>
    <row r="58" spans="1:47" ht="15.5" x14ac:dyDescent="0.35">
      <c r="A58" s="173" t="str">
        <f>A55</f>
        <v>MOST_CNST</v>
      </c>
      <c r="B58" s="29">
        <v>1</v>
      </c>
      <c r="C58" s="29" t="s">
        <v>85</v>
      </c>
      <c r="D58" s="29" t="s">
        <v>7</v>
      </c>
      <c r="E58" s="14" t="s">
        <v>117</v>
      </c>
      <c r="F58" s="14" t="s">
        <v>16</v>
      </c>
      <c r="G58" s="22"/>
      <c r="H58" s="22"/>
      <c r="I58" s="22"/>
      <c r="J58" s="22"/>
      <c r="K58" s="22"/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f>V58</f>
        <v>0</v>
      </c>
      <c r="X58" s="22">
        <f t="shared" si="132"/>
        <v>0</v>
      </c>
      <c r="Y58" s="22">
        <f t="shared" si="132"/>
        <v>0</v>
      </c>
      <c r="Z58" s="22">
        <f t="shared" si="132"/>
        <v>0</v>
      </c>
      <c r="AA58" s="22">
        <f t="shared" si="132"/>
        <v>0</v>
      </c>
      <c r="AB58" s="22">
        <f t="shared" si="132"/>
        <v>0</v>
      </c>
      <c r="AC58" s="22">
        <f t="shared" si="132"/>
        <v>0</v>
      </c>
      <c r="AD58" s="22">
        <f t="shared" si="132"/>
        <v>0</v>
      </c>
      <c r="AE58" s="22">
        <f t="shared" si="132"/>
        <v>0</v>
      </c>
      <c r="AF58" s="22">
        <f t="shared" si="132"/>
        <v>0</v>
      </c>
      <c r="AG58" s="22">
        <f t="shared" si="132"/>
        <v>0</v>
      </c>
      <c r="AH58" s="22">
        <f t="shared" si="132"/>
        <v>0</v>
      </c>
      <c r="AI58" s="22">
        <f t="shared" si="132"/>
        <v>0</v>
      </c>
      <c r="AJ58" s="22">
        <f t="shared" si="132"/>
        <v>0</v>
      </c>
      <c r="AK58" s="22">
        <f t="shared" si="132"/>
        <v>0</v>
      </c>
      <c r="AL58" s="22">
        <f t="shared" si="133"/>
        <v>0</v>
      </c>
      <c r="AM58" s="22">
        <f t="shared" si="133"/>
        <v>0</v>
      </c>
      <c r="AN58" s="22">
        <f t="shared" si="133"/>
        <v>0</v>
      </c>
      <c r="AO58" s="22">
        <f t="shared" si="133"/>
        <v>0</v>
      </c>
      <c r="AP58" s="22">
        <f t="shared" si="133"/>
        <v>0</v>
      </c>
      <c r="AQ58" s="22">
        <f t="shared" si="133"/>
        <v>0</v>
      </c>
      <c r="AR58" s="22">
        <f t="shared" si="133"/>
        <v>0</v>
      </c>
      <c r="AS58" s="22">
        <f t="shared" si="133"/>
        <v>0</v>
      </c>
      <c r="AT58" s="22">
        <f t="shared" si="133"/>
        <v>0</v>
      </c>
      <c r="AU58" s="22">
        <f t="shared" si="133"/>
        <v>0</v>
      </c>
    </row>
    <row r="59" spans="1:47" ht="15.5" x14ac:dyDescent="0.35">
      <c r="A59" s="173" t="str">
        <f>A57</f>
        <v>MOST_CNST</v>
      </c>
      <c r="B59" s="23">
        <v>1</v>
      </c>
      <c r="C59" s="23" t="s">
        <v>85</v>
      </c>
      <c r="D59" s="23" t="s">
        <v>7</v>
      </c>
      <c r="E59" s="24" t="s">
        <v>25</v>
      </c>
      <c r="F59" s="24" t="s">
        <v>16</v>
      </c>
      <c r="G59" s="22"/>
      <c r="H59" s="22"/>
      <c r="I59" s="22"/>
      <c r="J59" s="22"/>
      <c r="K59" s="22"/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 t="s">
        <v>86</v>
      </c>
      <c r="W59" s="22" t="s">
        <v>86</v>
      </c>
      <c r="X59" s="22" t="s">
        <v>86</v>
      </c>
      <c r="Y59" s="22" t="s">
        <v>86</v>
      </c>
      <c r="Z59" s="22" t="s">
        <v>86</v>
      </c>
      <c r="AA59" s="22" t="s">
        <v>86</v>
      </c>
      <c r="AB59" s="22" t="s">
        <v>86</v>
      </c>
      <c r="AC59" s="22" t="s">
        <v>86</v>
      </c>
      <c r="AD59" s="22" t="s">
        <v>86</v>
      </c>
      <c r="AE59" s="22" t="s">
        <v>86</v>
      </c>
      <c r="AF59" s="22" t="s">
        <v>86</v>
      </c>
      <c r="AG59" s="22" t="str">
        <f t="shared" ref="AG59:AK64" si="134">AF59</f>
        <v>unc</v>
      </c>
      <c r="AH59" s="22" t="str">
        <f t="shared" si="134"/>
        <v>unc</v>
      </c>
      <c r="AI59" s="22" t="str">
        <f t="shared" si="134"/>
        <v>unc</v>
      </c>
      <c r="AJ59" s="22" t="str">
        <f t="shared" si="134"/>
        <v>unc</v>
      </c>
      <c r="AK59" s="22" t="str">
        <f t="shared" si="134"/>
        <v>unc</v>
      </c>
      <c r="AL59" s="22" t="str">
        <f t="shared" ref="AL59:AU59" si="135">AK59</f>
        <v>unc</v>
      </c>
      <c r="AM59" s="22" t="str">
        <f t="shared" si="135"/>
        <v>unc</v>
      </c>
      <c r="AN59" s="22" t="str">
        <f t="shared" si="135"/>
        <v>unc</v>
      </c>
      <c r="AO59" s="22" t="str">
        <f t="shared" si="135"/>
        <v>unc</v>
      </c>
      <c r="AP59" s="22" t="str">
        <f t="shared" si="135"/>
        <v>unc</v>
      </c>
      <c r="AQ59" s="22" t="str">
        <f t="shared" si="135"/>
        <v>unc</v>
      </c>
      <c r="AR59" s="22" t="str">
        <f t="shared" si="135"/>
        <v>unc</v>
      </c>
      <c r="AS59" s="22" t="str">
        <f t="shared" si="135"/>
        <v>unc</v>
      </c>
      <c r="AT59" s="22" t="str">
        <f t="shared" si="135"/>
        <v>unc</v>
      </c>
      <c r="AU59" s="22" t="str">
        <f t="shared" si="135"/>
        <v>unc</v>
      </c>
    </row>
    <row r="60" spans="1:47" ht="15.5" x14ac:dyDescent="0.35">
      <c r="A60" s="173" t="str">
        <f t="shared" ref="A60:A64" si="136">A59</f>
        <v>MOST_CNST</v>
      </c>
      <c r="B60" s="20">
        <v>1</v>
      </c>
      <c r="C60" s="20" t="s">
        <v>85</v>
      </c>
      <c r="D60" s="20" t="s">
        <v>7</v>
      </c>
      <c r="E60" s="21" t="s">
        <v>26</v>
      </c>
      <c r="F60" s="21" t="s">
        <v>16</v>
      </c>
      <c r="G60" s="22"/>
      <c r="H60" s="22"/>
      <c r="I60" s="22"/>
      <c r="J60" s="22"/>
      <c r="K60" s="22"/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 t="s">
        <v>86</v>
      </c>
      <c r="W60" s="22" t="s">
        <v>86</v>
      </c>
      <c r="X60" s="22" t="s">
        <v>86</v>
      </c>
      <c r="Y60" s="22" t="s">
        <v>86</v>
      </c>
      <c r="Z60" s="22" t="s">
        <v>86</v>
      </c>
      <c r="AA60" s="22" t="s">
        <v>86</v>
      </c>
      <c r="AB60" s="22" t="s">
        <v>86</v>
      </c>
      <c r="AC60" s="22" t="s">
        <v>86</v>
      </c>
      <c r="AD60" s="22" t="s">
        <v>86</v>
      </c>
      <c r="AE60" s="22" t="s">
        <v>86</v>
      </c>
      <c r="AF60" s="22" t="s">
        <v>86</v>
      </c>
      <c r="AG60" s="22" t="str">
        <f t="shared" si="134"/>
        <v>unc</v>
      </c>
      <c r="AH60" s="22" t="str">
        <f t="shared" si="134"/>
        <v>unc</v>
      </c>
      <c r="AI60" s="22" t="str">
        <f t="shared" si="134"/>
        <v>unc</v>
      </c>
      <c r="AJ60" s="22" t="str">
        <f t="shared" si="134"/>
        <v>unc</v>
      </c>
      <c r="AK60" s="22" t="str">
        <f t="shared" si="134"/>
        <v>unc</v>
      </c>
      <c r="AL60" s="22" t="str">
        <f t="shared" ref="AL60:AU60" si="137">AK60</f>
        <v>unc</v>
      </c>
      <c r="AM60" s="22" t="str">
        <f t="shared" si="137"/>
        <v>unc</v>
      </c>
      <c r="AN60" s="22" t="str">
        <f t="shared" si="137"/>
        <v>unc</v>
      </c>
      <c r="AO60" s="22" t="str">
        <f t="shared" si="137"/>
        <v>unc</v>
      </c>
      <c r="AP60" s="22" t="str">
        <f t="shared" si="137"/>
        <v>unc</v>
      </c>
      <c r="AQ60" s="22" t="str">
        <f t="shared" si="137"/>
        <v>unc</v>
      </c>
      <c r="AR60" s="22" t="str">
        <f t="shared" si="137"/>
        <v>unc</v>
      </c>
      <c r="AS60" s="22" t="str">
        <f t="shared" si="137"/>
        <v>unc</v>
      </c>
      <c r="AT60" s="22" t="str">
        <f t="shared" si="137"/>
        <v>unc</v>
      </c>
      <c r="AU60" s="22" t="str">
        <f t="shared" si="137"/>
        <v>unc</v>
      </c>
    </row>
    <row r="61" spans="1:47" ht="15.5" x14ac:dyDescent="0.35">
      <c r="A61" s="173" t="str">
        <f t="shared" si="136"/>
        <v>MOST_CNST</v>
      </c>
      <c r="B61" s="23">
        <v>1</v>
      </c>
      <c r="C61" s="23" t="s">
        <v>85</v>
      </c>
      <c r="D61" s="23" t="s">
        <v>27</v>
      </c>
      <c r="E61" s="24" t="s">
        <v>28</v>
      </c>
      <c r="F61" s="24" t="s">
        <v>29</v>
      </c>
      <c r="G61" s="22"/>
      <c r="H61" s="22"/>
      <c r="I61" s="22"/>
      <c r="J61" s="22"/>
      <c r="K61" s="22"/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1500</v>
      </c>
      <c r="W61" s="22">
        <f t="shared" ref="W61:AF61" si="138">V61</f>
        <v>1500</v>
      </c>
      <c r="X61" s="22">
        <f t="shared" si="138"/>
        <v>1500</v>
      </c>
      <c r="Y61" s="22">
        <f t="shared" si="138"/>
        <v>1500</v>
      </c>
      <c r="Z61" s="22">
        <f t="shared" si="138"/>
        <v>1500</v>
      </c>
      <c r="AA61" s="22">
        <f t="shared" si="138"/>
        <v>1500</v>
      </c>
      <c r="AB61" s="22">
        <f t="shared" si="138"/>
        <v>1500</v>
      </c>
      <c r="AC61" s="22">
        <f t="shared" si="138"/>
        <v>1500</v>
      </c>
      <c r="AD61" s="22">
        <f t="shared" si="138"/>
        <v>1500</v>
      </c>
      <c r="AE61" s="22">
        <f t="shared" si="138"/>
        <v>1500</v>
      </c>
      <c r="AF61" s="22">
        <f t="shared" si="138"/>
        <v>1500</v>
      </c>
      <c r="AG61" s="22">
        <f t="shared" si="134"/>
        <v>1500</v>
      </c>
      <c r="AH61" s="22">
        <f t="shared" si="134"/>
        <v>1500</v>
      </c>
      <c r="AI61" s="22">
        <f t="shared" si="134"/>
        <v>1500</v>
      </c>
      <c r="AJ61" s="22">
        <f t="shared" si="134"/>
        <v>1500</v>
      </c>
      <c r="AK61" s="22">
        <f t="shared" si="134"/>
        <v>1500</v>
      </c>
      <c r="AL61" s="22">
        <f t="shared" ref="AL61:AU61" si="139">AK61</f>
        <v>1500</v>
      </c>
      <c r="AM61" s="22">
        <f t="shared" si="139"/>
        <v>1500</v>
      </c>
      <c r="AN61" s="22">
        <f t="shared" si="139"/>
        <v>1500</v>
      </c>
      <c r="AO61" s="22">
        <f t="shared" si="139"/>
        <v>1500</v>
      </c>
      <c r="AP61" s="22">
        <f t="shared" si="139"/>
        <v>1500</v>
      </c>
      <c r="AQ61" s="22">
        <f t="shared" si="139"/>
        <v>1500</v>
      </c>
      <c r="AR61" s="22">
        <f t="shared" si="139"/>
        <v>1500</v>
      </c>
      <c r="AS61" s="22">
        <f t="shared" si="139"/>
        <v>1500</v>
      </c>
      <c r="AT61" s="22">
        <f t="shared" si="139"/>
        <v>1500</v>
      </c>
      <c r="AU61" s="22">
        <f t="shared" si="139"/>
        <v>1500</v>
      </c>
    </row>
    <row r="62" spans="1:47" ht="15.5" x14ac:dyDescent="0.35">
      <c r="A62" s="173" t="str">
        <f t="shared" si="136"/>
        <v>MOST_CNST</v>
      </c>
      <c r="B62" s="20">
        <v>1</v>
      </c>
      <c r="C62" s="20" t="s">
        <v>85</v>
      </c>
      <c r="D62" s="20" t="s">
        <v>27</v>
      </c>
      <c r="E62" s="21" t="s">
        <v>30</v>
      </c>
      <c r="F62" s="21" t="s">
        <v>29</v>
      </c>
      <c r="G62" s="22"/>
      <c r="H62" s="22"/>
      <c r="I62" s="22"/>
      <c r="J62" s="22"/>
      <c r="K62" s="22"/>
      <c r="L62" s="22" t="s">
        <v>86</v>
      </c>
      <c r="M62" s="22" t="s">
        <v>86</v>
      </c>
      <c r="N62" s="22" t="s">
        <v>86</v>
      </c>
      <c r="O62" s="22" t="s">
        <v>86</v>
      </c>
      <c r="P62" s="22" t="s">
        <v>86</v>
      </c>
      <c r="Q62" s="22" t="s">
        <v>86</v>
      </c>
      <c r="R62" s="22" t="s">
        <v>86</v>
      </c>
      <c r="S62" s="22" t="s">
        <v>86</v>
      </c>
      <c r="T62" s="22" t="s">
        <v>86</v>
      </c>
      <c r="U62" s="22" t="s">
        <v>86</v>
      </c>
      <c r="V62" s="22" t="s">
        <v>86</v>
      </c>
      <c r="W62" s="22" t="s">
        <v>86</v>
      </c>
      <c r="X62" s="22" t="s">
        <v>86</v>
      </c>
      <c r="Y62" s="22" t="s">
        <v>86</v>
      </c>
      <c r="Z62" s="22" t="s">
        <v>86</v>
      </c>
      <c r="AA62" s="22" t="s">
        <v>86</v>
      </c>
      <c r="AB62" s="22" t="s">
        <v>86</v>
      </c>
      <c r="AC62" s="22" t="s">
        <v>86</v>
      </c>
      <c r="AD62" s="22" t="s">
        <v>86</v>
      </c>
      <c r="AE62" s="22" t="s">
        <v>86</v>
      </c>
      <c r="AF62" s="22" t="s">
        <v>86</v>
      </c>
      <c r="AG62" s="22" t="str">
        <f t="shared" si="134"/>
        <v>unc</v>
      </c>
      <c r="AH62" s="22" t="str">
        <f t="shared" si="134"/>
        <v>unc</v>
      </c>
      <c r="AI62" s="22" t="str">
        <f t="shared" si="134"/>
        <v>unc</v>
      </c>
      <c r="AJ62" s="22" t="str">
        <f t="shared" si="134"/>
        <v>unc</v>
      </c>
      <c r="AK62" s="22" t="str">
        <f t="shared" si="134"/>
        <v>unc</v>
      </c>
      <c r="AL62" s="22" t="str">
        <f t="shared" ref="AL62:AU62" si="140">AK62</f>
        <v>unc</v>
      </c>
      <c r="AM62" s="22" t="str">
        <f t="shared" si="140"/>
        <v>unc</v>
      </c>
      <c r="AN62" s="22" t="str">
        <f t="shared" si="140"/>
        <v>unc</v>
      </c>
      <c r="AO62" s="22" t="str">
        <f t="shared" si="140"/>
        <v>unc</v>
      </c>
      <c r="AP62" s="22" t="str">
        <f t="shared" si="140"/>
        <v>unc</v>
      </c>
      <c r="AQ62" s="22" t="str">
        <f t="shared" si="140"/>
        <v>unc</v>
      </c>
      <c r="AR62" s="22" t="str">
        <f t="shared" si="140"/>
        <v>unc</v>
      </c>
      <c r="AS62" s="22" t="str">
        <f t="shared" si="140"/>
        <v>unc</v>
      </c>
      <c r="AT62" s="22" t="str">
        <f t="shared" si="140"/>
        <v>unc</v>
      </c>
      <c r="AU62" s="22" t="str">
        <f t="shared" si="140"/>
        <v>unc</v>
      </c>
    </row>
    <row r="63" spans="1:47" ht="15.5" x14ac:dyDescent="0.35">
      <c r="A63" s="173" t="str">
        <f t="shared" si="136"/>
        <v>MOST_CNST</v>
      </c>
      <c r="B63" s="23">
        <v>1</v>
      </c>
      <c r="C63" s="23" t="s">
        <v>85</v>
      </c>
      <c r="D63" s="23" t="s">
        <v>27</v>
      </c>
      <c r="E63" s="24" t="s">
        <v>32</v>
      </c>
      <c r="F63" s="24" t="s">
        <v>29</v>
      </c>
      <c r="G63" s="22"/>
      <c r="H63" s="22"/>
      <c r="I63" s="22"/>
      <c r="J63" s="22"/>
      <c r="K63" s="22"/>
      <c r="L63" s="22" t="s">
        <v>86</v>
      </c>
      <c r="M63" s="22" t="s">
        <v>86</v>
      </c>
      <c r="N63" s="22" t="s">
        <v>86</v>
      </c>
      <c r="O63" s="22" t="s">
        <v>86</v>
      </c>
      <c r="P63" s="22" t="s">
        <v>86</v>
      </c>
      <c r="Q63" s="22" t="s">
        <v>86</v>
      </c>
      <c r="R63" s="22" t="s">
        <v>86</v>
      </c>
      <c r="S63" s="22" t="s">
        <v>86</v>
      </c>
      <c r="T63" s="22" t="s">
        <v>86</v>
      </c>
      <c r="U63" s="22" t="s">
        <v>86</v>
      </c>
      <c r="V63" s="22" t="s">
        <v>86</v>
      </c>
      <c r="W63" s="22" t="s">
        <v>86</v>
      </c>
      <c r="X63" s="22" t="s">
        <v>86</v>
      </c>
      <c r="Y63" s="22" t="s">
        <v>86</v>
      </c>
      <c r="Z63" s="22" t="s">
        <v>86</v>
      </c>
      <c r="AA63" s="22" t="s">
        <v>86</v>
      </c>
      <c r="AB63" s="22" t="s">
        <v>86</v>
      </c>
      <c r="AC63" s="22" t="s">
        <v>86</v>
      </c>
      <c r="AD63" s="22" t="s">
        <v>86</v>
      </c>
      <c r="AE63" s="22" t="s">
        <v>86</v>
      </c>
      <c r="AF63" s="22" t="s">
        <v>86</v>
      </c>
      <c r="AG63" s="22" t="str">
        <f t="shared" si="134"/>
        <v>unc</v>
      </c>
      <c r="AH63" s="22" t="str">
        <f t="shared" si="134"/>
        <v>unc</v>
      </c>
      <c r="AI63" s="22" t="str">
        <f t="shared" si="134"/>
        <v>unc</v>
      </c>
      <c r="AJ63" s="22" t="str">
        <f t="shared" si="134"/>
        <v>unc</v>
      </c>
      <c r="AK63" s="22" t="str">
        <f t="shared" si="134"/>
        <v>unc</v>
      </c>
      <c r="AL63" s="22" t="str">
        <f t="shared" ref="AL63:AU63" si="141">AK63</f>
        <v>unc</v>
      </c>
      <c r="AM63" s="22" t="str">
        <f t="shared" si="141"/>
        <v>unc</v>
      </c>
      <c r="AN63" s="22" t="str">
        <f t="shared" si="141"/>
        <v>unc</v>
      </c>
      <c r="AO63" s="22" t="str">
        <f t="shared" si="141"/>
        <v>unc</v>
      </c>
      <c r="AP63" s="22" t="str">
        <f t="shared" si="141"/>
        <v>unc</v>
      </c>
      <c r="AQ63" s="22" t="str">
        <f t="shared" si="141"/>
        <v>unc</v>
      </c>
      <c r="AR63" s="22" t="str">
        <f t="shared" si="141"/>
        <v>unc</v>
      </c>
      <c r="AS63" s="22" t="str">
        <f t="shared" si="141"/>
        <v>unc</v>
      </c>
      <c r="AT63" s="22" t="str">
        <f t="shared" si="141"/>
        <v>unc</v>
      </c>
      <c r="AU63" s="22" t="str">
        <f t="shared" si="141"/>
        <v>unc</v>
      </c>
    </row>
    <row r="64" spans="1:47" ht="15.5" x14ac:dyDescent="0.35">
      <c r="A64" s="173" t="str">
        <f t="shared" si="136"/>
        <v>MOST_CNST</v>
      </c>
      <c r="B64" s="25">
        <v>1</v>
      </c>
      <c r="C64" s="25" t="s">
        <v>85</v>
      </c>
      <c r="D64" s="25" t="s">
        <v>27</v>
      </c>
      <c r="E64" s="26" t="s">
        <v>33</v>
      </c>
      <c r="F64" s="26" t="s">
        <v>29</v>
      </c>
      <c r="G64" s="27"/>
      <c r="H64" s="27"/>
      <c r="I64" s="27"/>
      <c r="J64" s="27"/>
      <c r="K64" s="27"/>
      <c r="L64" s="27" t="s">
        <v>86</v>
      </c>
      <c r="M64" s="27" t="s">
        <v>86</v>
      </c>
      <c r="N64" s="27" t="s">
        <v>86</v>
      </c>
      <c r="O64" s="27" t="s">
        <v>86</v>
      </c>
      <c r="P64" s="27" t="s">
        <v>86</v>
      </c>
      <c r="Q64" s="27" t="s">
        <v>86</v>
      </c>
      <c r="R64" s="27" t="s">
        <v>86</v>
      </c>
      <c r="S64" s="27" t="s">
        <v>86</v>
      </c>
      <c r="T64" s="27" t="s">
        <v>86</v>
      </c>
      <c r="U64" s="27" t="s">
        <v>86</v>
      </c>
      <c r="V64" s="27" t="s">
        <v>86</v>
      </c>
      <c r="W64" s="27" t="s">
        <v>86</v>
      </c>
      <c r="X64" s="27" t="s">
        <v>86</v>
      </c>
      <c r="Y64" s="27" t="s">
        <v>86</v>
      </c>
      <c r="Z64" s="27" t="s">
        <v>86</v>
      </c>
      <c r="AA64" s="27" t="s">
        <v>86</v>
      </c>
      <c r="AB64" s="27" t="s">
        <v>86</v>
      </c>
      <c r="AC64" s="27" t="s">
        <v>86</v>
      </c>
      <c r="AD64" s="27" t="s">
        <v>86</v>
      </c>
      <c r="AE64" s="27" t="s">
        <v>86</v>
      </c>
      <c r="AF64" s="27" t="s">
        <v>86</v>
      </c>
      <c r="AG64" s="22" t="str">
        <f t="shared" si="134"/>
        <v>unc</v>
      </c>
      <c r="AH64" s="22" t="str">
        <f t="shared" si="134"/>
        <v>unc</v>
      </c>
      <c r="AI64" s="22" t="str">
        <f t="shared" si="134"/>
        <v>unc</v>
      </c>
      <c r="AJ64" s="22" t="str">
        <f t="shared" si="134"/>
        <v>unc</v>
      </c>
      <c r="AK64" s="22" t="str">
        <f t="shared" si="134"/>
        <v>unc</v>
      </c>
      <c r="AL64" s="22" t="str">
        <f t="shared" ref="AL64:AU66" si="142">AK64</f>
        <v>unc</v>
      </c>
      <c r="AM64" s="22" t="str">
        <f t="shared" si="142"/>
        <v>unc</v>
      </c>
      <c r="AN64" s="22" t="str">
        <f t="shared" si="142"/>
        <v>unc</v>
      </c>
      <c r="AO64" s="22" t="str">
        <f t="shared" si="142"/>
        <v>unc</v>
      </c>
      <c r="AP64" s="22" t="str">
        <f t="shared" si="142"/>
        <v>unc</v>
      </c>
      <c r="AQ64" s="22" t="str">
        <f t="shared" si="142"/>
        <v>unc</v>
      </c>
      <c r="AR64" s="22" t="str">
        <f t="shared" si="142"/>
        <v>unc</v>
      </c>
      <c r="AS64" s="22" t="str">
        <f t="shared" si="142"/>
        <v>unc</v>
      </c>
      <c r="AT64" s="22" t="str">
        <f t="shared" si="142"/>
        <v>unc</v>
      </c>
      <c r="AU64" s="22" t="str">
        <f t="shared" si="142"/>
        <v>unc</v>
      </c>
    </row>
    <row r="65" spans="1:47" ht="15.5" x14ac:dyDescent="0.35">
      <c r="A65" s="170" t="s">
        <v>129</v>
      </c>
      <c r="B65" s="28">
        <v>1</v>
      </c>
      <c r="C65" s="28" t="s">
        <v>85</v>
      </c>
      <c r="D65" s="28" t="s">
        <v>7</v>
      </c>
      <c r="E65" s="15" t="s">
        <v>10</v>
      </c>
      <c r="F65" s="15" t="s">
        <v>9</v>
      </c>
      <c r="G65" s="22"/>
      <c r="H65" s="22"/>
      <c r="I65" s="22"/>
      <c r="J65" s="22"/>
      <c r="K65" s="22"/>
      <c r="L65" s="22" t="s">
        <v>86</v>
      </c>
      <c r="M65" s="22" t="s">
        <v>86</v>
      </c>
      <c r="N65" s="22" t="s">
        <v>86</v>
      </c>
      <c r="O65" s="22" t="s">
        <v>86</v>
      </c>
      <c r="P65" s="22" t="s">
        <v>86</v>
      </c>
      <c r="Q65" s="22" t="s">
        <v>86</v>
      </c>
      <c r="R65" s="22" t="s">
        <v>86</v>
      </c>
      <c r="S65" s="22" t="s">
        <v>86</v>
      </c>
      <c r="T65" s="22" t="s">
        <v>86</v>
      </c>
      <c r="U65" s="22" t="s">
        <v>86</v>
      </c>
      <c r="V65" s="22" t="s">
        <v>86</v>
      </c>
      <c r="W65" s="22" t="s">
        <v>86</v>
      </c>
      <c r="X65" s="22" t="s">
        <v>86</v>
      </c>
      <c r="Y65" s="22" t="s">
        <v>86</v>
      </c>
      <c r="Z65" s="22" t="s">
        <v>86</v>
      </c>
      <c r="AA65" s="22" t="s">
        <v>86</v>
      </c>
      <c r="AB65" s="22" t="s">
        <v>86</v>
      </c>
      <c r="AC65" s="22" t="s">
        <v>86</v>
      </c>
      <c r="AD65" s="22" t="s">
        <v>86</v>
      </c>
      <c r="AE65" s="22" t="s">
        <v>86</v>
      </c>
      <c r="AF65" s="22" t="s">
        <v>86</v>
      </c>
      <c r="AG65" s="22" t="s">
        <v>86</v>
      </c>
      <c r="AH65" s="22" t="s">
        <v>86</v>
      </c>
      <c r="AI65" s="22" t="s">
        <v>86</v>
      </c>
      <c r="AJ65" s="22" t="s">
        <v>86</v>
      </c>
      <c r="AK65" s="22" t="s">
        <v>86</v>
      </c>
      <c r="AL65" s="22" t="str">
        <f t="shared" si="142"/>
        <v>unc</v>
      </c>
      <c r="AM65" s="22" t="str">
        <f t="shared" si="142"/>
        <v>unc</v>
      </c>
      <c r="AN65" s="22" t="str">
        <f t="shared" si="142"/>
        <v>unc</v>
      </c>
      <c r="AO65" s="22" t="str">
        <f t="shared" si="142"/>
        <v>unc</v>
      </c>
      <c r="AP65" s="22" t="str">
        <f t="shared" si="142"/>
        <v>unc</v>
      </c>
      <c r="AQ65" s="22" t="str">
        <f t="shared" si="142"/>
        <v>unc</v>
      </c>
      <c r="AR65" s="22" t="str">
        <f t="shared" si="142"/>
        <v>unc</v>
      </c>
      <c r="AS65" s="22" t="str">
        <f t="shared" si="142"/>
        <v>unc</v>
      </c>
      <c r="AT65" s="22" t="str">
        <f t="shared" si="142"/>
        <v>unc</v>
      </c>
      <c r="AU65" s="22" t="str">
        <f t="shared" si="142"/>
        <v>unc</v>
      </c>
    </row>
    <row r="66" spans="1:47" ht="15.5" x14ac:dyDescent="0.35">
      <c r="A66" s="170" t="str">
        <f t="shared" ref="A66:A77" si="143">A65</f>
        <v>LEAST_CNST_NO_COAL_NUC</v>
      </c>
      <c r="B66" s="29">
        <v>1</v>
      </c>
      <c r="C66" s="29" t="s">
        <v>85</v>
      </c>
      <c r="D66" s="29" t="s">
        <v>7</v>
      </c>
      <c r="E66" s="14" t="s">
        <v>11</v>
      </c>
      <c r="F66" s="14" t="s">
        <v>9</v>
      </c>
      <c r="G66" s="22"/>
      <c r="H66" s="22"/>
      <c r="I66" s="22"/>
      <c r="J66" s="22"/>
      <c r="K66" s="22"/>
      <c r="L66" s="22" t="s">
        <v>86</v>
      </c>
      <c r="M66" s="22" t="s">
        <v>86</v>
      </c>
      <c r="N66" s="22" t="s">
        <v>86</v>
      </c>
      <c r="O66" s="22" t="s">
        <v>86</v>
      </c>
      <c r="P66" s="22" t="s">
        <v>86</v>
      </c>
      <c r="Q66" s="22" t="s">
        <v>86</v>
      </c>
      <c r="R66" s="22" t="s">
        <v>86</v>
      </c>
      <c r="S66" s="22" t="str">
        <f t="shared" ref="S66" si="144">R66</f>
        <v>unc</v>
      </c>
      <c r="T66" s="22" t="str">
        <f t="shared" ref="T66" si="145">S66</f>
        <v>unc</v>
      </c>
      <c r="U66" s="22" t="str">
        <f t="shared" ref="U66" si="146">T66</f>
        <v>unc</v>
      </c>
      <c r="V66" s="22" t="str">
        <f t="shared" ref="V66" si="147">U66</f>
        <v>unc</v>
      </c>
      <c r="W66" s="22" t="str">
        <f t="shared" ref="W66" si="148">V66</f>
        <v>unc</v>
      </c>
      <c r="X66" s="22" t="str">
        <f t="shared" ref="X66" si="149">W66</f>
        <v>unc</v>
      </c>
      <c r="Y66" s="22" t="str">
        <f t="shared" ref="Y66" si="150">X66</f>
        <v>unc</v>
      </c>
      <c r="Z66" s="22" t="str">
        <f t="shared" ref="Z66" si="151">Y66</f>
        <v>unc</v>
      </c>
      <c r="AA66" s="22" t="str">
        <f t="shared" ref="AA66" si="152">Z66</f>
        <v>unc</v>
      </c>
      <c r="AB66" s="22" t="str">
        <f t="shared" ref="AB66" si="153">AA66</f>
        <v>unc</v>
      </c>
      <c r="AC66" s="22" t="str">
        <f t="shared" ref="AC66" si="154">AB66</f>
        <v>unc</v>
      </c>
      <c r="AD66" s="22" t="str">
        <f t="shared" ref="AD66" si="155">AC66</f>
        <v>unc</v>
      </c>
      <c r="AE66" s="22" t="str">
        <f t="shared" ref="AE66" si="156">AD66</f>
        <v>unc</v>
      </c>
      <c r="AF66" s="22" t="str">
        <f t="shared" ref="AF66" si="157">AE66</f>
        <v>unc</v>
      </c>
      <c r="AG66" s="22" t="str">
        <f t="shared" ref="AG66" si="158">AF66</f>
        <v>unc</v>
      </c>
      <c r="AH66" s="22" t="str">
        <f t="shared" ref="AH66" si="159">AG66</f>
        <v>unc</v>
      </c>
      <c r="AI66" s="22" t="str">
        <f t="shared" ref="AI66" si="160">AH66</f>
        <v>unc</v>
      </c>
      <c r="AJ66" s="22" t="str">
        <f t="shared" ref="AJ66" si="161">AI66</f>
        <v>unc</v>
      </c>
      <c r="AK66" s="22" t="str">
        <f t="shared" ref="AK66" si="162">AJ66</f>
        <v>unc</v>
      </c>
      <c r="AL66" s="22" t="str">
        <f t="shared" si="142"/>
        <v>unc</v>
      </c>
      <c r="AM66" s="22" t="str">
        <f t="shared" si="142"/>
        <v>unc</v>
      </c>
      <c r="AN66" s="22" t="str">
        <f t="shared" si="142"/>
        <v>unc</v>
      </c>
      <c r="AO66" s="22" t="str">
        <f t="shared" si="142"/>
        <v>unc</v>
      </c>
      <c r="AP66" s="22" t="str">
        <f t="shared" si="142"/>
        <v>unc</v>
      </c>
      <c r="AQ66" s="22" t="str">
        <f t="shared" si="142"/>
        <v>unc</v>
      </c>
      <c r="AR66" s="22" t="str">
        <f t="shared" si="142"/>
        <v>unc</v>
      </c>
      <c r="AS66" s="22" t="str">
        <f t="shared" si="142"/>
        <v>unc</v>
      </c>
      <c r="AT66" s="22" t="str">
        <f t="shared" si="142"/>
        <v>unc</v>
      </c>
      <c r="AU66" s="22" t="str">
        <f t="shared" si="142"/>
        <v>unc</v>
      </c>
    </row>
    <row r="67" spans="1:47" ht="15.5" x14ac:dyDescent="0.35">
      <c r="A67" s="170" t="str">
        <f t="shared" si="143"/>
        <v>LEAST_CNST_NO_COAL_NUC</v>
      </c>
      <c r="B67" s="28">
        <v>1</v>
      </c>
      <c r="C67" s="28" t="s">
        <v>85</v>
      </c>
      <c r="D67" s="28" t="s">
        <v>7</v>
      </c>
      <c r="E67" s="15" t="s">
        <v>8</v>
      </c>
      <c r="F67" s="15" t="s">
        <v>9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4624</v>
      </c>
      <c r="M67" s="22">
        <v>5299</v>
      </c>
      <c r="N67" s="22">
        <v>5974</v>
      </c>
      <c r="O67" s="22">
        <v>6649</v>
      </c>
      <c r="P67" s="22">
        <v>7324</v>
      </c>
      <c r="Q67" s="22">
        <v>7999</v>
      </c>
      <c r="R67" s="22">
        <v>8674</v>
      </c>
      <c r="S67" s="22">
        <v>9349</v>
      </c>
      <c r="T67" s="22">
        <v>10024</v>
      </c>
      <c r="U67" s="22">
        <v>10699</v>
      </c>
      <c r="V67" s="22">
        <v>11374</v>
      </c>
      <c r="W67" s="22">
        <v>11374</v>
      </c>
      <c r="X67" s="22">
        <v>11374</v>
      </c>
      <c r="Y67" s="22">
        <v>11374</v>
      </c>
      <c r="Z67" s="22">
        <v>11374</v>
      </c>
      <c r="AA67" s="22">
        <v>11374</v>
      </c>
      <c r="AB67" s="22">
        <v>11374</v>
      </c>
      <c r="AC67" s="22">
        <v>11374</v>
      </c>
      <c r="AD67" s="22">
        <v>11374</v>
      </c>
      <c r="AE67" s="22">
        <v>11374</v>
      </c>
      <c r="AF67" s="22">
        <v>11374</v>
      </c>
      <c r="AG67" s="22">
        <v>11374</v>
      </c>
      <c r="AH67" s="22">
        <v>11374</v>
      </c>
      <c r="AI67" s="22">
        <v>11374</v>
      </c>
      <c r="AJ67" s="22">
        <v>11374</v>
      </c>
      <c r="AK67" s="22">
        <v>11374</v>
      </c>
      <c r="AL67" s="22">
        <v>11374</v>
      </c>
      <c r="AM67" s="22">
        <v>11374</v>
      </c>
      <c r="AN67" s="22">
        <v>11374</v>
      </c>
      <c r="AO67" s="22">
        <v>11374</v>
      </c>
      <c r="AP67" s="22">
        <v>11374</v>
      </c>
      <c r="AQ67" s="22">
        <v>11374</v>
      </c>
      <c r="AR67" s="22">
        <v>11374</v>
      </c>
      <c r="AS67" s="22">
        <v>11374</v>
      </c>
      <c r="AT67" s="22">
        <v>11374</v>
      </c>
      <c r="AU67" s="22">
        <v>11374</v>
      </c>
    </row>
    <row r="68" spans="1:47" ht="15.5" x14ac:dyDescent="0.35">
      <c r="A68" s="170" t="str">
        <f t="shared" si="143"/>
        <v>LEAST_CNST_NO_COAL_NUC</v>
      </c>
      <c r="B68" s="29">
        <v>1</v>
      </c>
      <c r="C68" s="29" t="s">
        <v>85</v>
      </c>
      <c r="D68" s="29" t="s">
        <v>7</v>
      </c>
      <c r="E68" s="14" t="s">
        <v>12</v>
      </c>
      <c r="F68" s="14" t="s">
        <v>9</v>
      </c>
      <c r="G68" s="22"/>
      <c r="H68" s="22"/>
      <c r="I68" s="22"/>
      <c r="J68" s="22"/>
      <c r="K68" s="22"/>
      <c r="L68" s="22" t="s">
        <v>86</v>
      </c>
      <c r="M68" s="22" t="s">
        <v>86</v>
      </c>
      <c r="N68" s="22" t="s">
        <v>86</v>
      </c>
      <c r="O68" s="22" t="s">
        <v>86</v>
      </c>
      <c r="P68" s="22" t="s">
        <v>86</v>
      </c>
      <c r="Q68" s="22" t="s">
        <v>86</v>
      </c>
      <c r="R68" s="22" t="s">
        <v>86</v>
      </c>
      <c r="S68" s="22" t="str">
        <f t="shared" ref="S68:S78" si="163">R68</f>
        <v>unc</v>
      </c>
      <c r="T68" s="22" t="str">
        <f t="shared" ref="T68:T78" si="164">S68</f>
        <v>unc</v>
      </c>
      <c r="U68" s="22" t="str">
        <f t="shared" ref="U68:U78" si="165">T68</f>
        <v>unc</v>
      </c>
      <c r="V68" s="22" t="str">
        <f t="shared" ref="V68:V78" si="166">U68</f>
        <v>unc</v>
      </c>
      <c r="W68" s="22" t="str">
        <f t="shared" ref="W68:W78" si="167">V68</f>
        <v>unc</v>
      </c>
      <c r="X68" s="22" t="str">
        <f t="shared" ref="X68:X81" si="168">W68</f>
        <v>unc</v>
      </c>
      <c r="Y68" s="22" t="str">
        <f t="shared" ref="Y68:Y81" si="169">X68</f>
        <v>unc</v>
      </c>
      <c r="Z68" s="22" t="str">
        <f t="shared" ref="Z68:Z81" si="170">Y68</f>
        <v>unc</v>
      </c>
      <c r="AA68" s="22" t="str">
        <f t="shared" ref="AA68:AA81" si="171">Z68</f>
        <v>unc</v>
      </c>
      <c r="AB68" s="22" t="str">
        <f t="shared" ref="AB68:AB81" si="172">AA68</f>
        <v>unc</v>
      </c>
      <c r="AC68" s="22" t="str">
        <f t="shared" ref="AC68:AC81" si="173">AB68</f>
        <v>unc</v>
      </c>
      <c r="AD68" s="22" t="str">
        <f t="shared" ref="AD68:AD81" si="174">AC68</f>
        <v>unc</v>
      </c>
      <c r="AE68" s="22" t="str">
        <f t="shared" ref="AE68:AE81" si="175">AD68</f>
        <v>unc</v>
      </c>
      <c r="AF68" s="22" t="str">
        <f t="shared" ref="AF68:AF81" si="176">AE68</f>
        <v>unc</v>
      </c>
      <c r="AG68" s="22" t="str">
        <f t="shared" ref="AG68:AG81" si="177">AF68</f>
        <v>unc</v>
      </c>
      <c r="AH68" s="22" t="str">
        <f t="shared" ref="AH68:AH81" si="178">AG68</f>
        <v>unc</v>
      </c>
      <c r="AI68" s="22" t="str">
        <f t="shared" ref="AI68:AI81" si="179">AH68</f>
        <v>unc</v>
      </c>
      <c r="AJ68" s="22" t="str">
        <f t="shared" ref="AJ68:AJ81" si="180">AI68</f>
        <v>unc</v>
      </c>
      <c r="AK68" s="22" t="str">
        <f t="shared" ref="AK68:AK81" si="181">AJ68</f>
        <v>unc</v>
      </c>
      <c r="AL68" s="22" t="str">
        <f t="shared" ref="AL68:AL87" si="182">AK68</f>
        <v>unc</v>
      </c>
      <c r="AM68" s="22" t="str">
        <f t="shared" ref="AM68:AM87" si="183">AL68</f>
        <v>unc</v>
      </c>
      <c r="AN68" s="22" t="str">
        <f t="shared" ref="AN68:AN87" si="184">AM68</f>
        <v>unc</v>
      </c>
      <c r="AO68" s="22" t="str">
        <f t="shared" ref="AO68:AO87" si="185">AN68</f>
        <v>unc</v>
      </c>
      <c r="AP68" s="22" t="str">
        <f t="shared" ref="AP68:AP87" si="186">AO68</f>
        <v>unc</v>
      </c>
      <c r="AQ68" s="22" t="str">
        <f t="shared" ref="AQ68:AQ87" si="187">AP68</f>
        <v>unc</v>
      </c>
      <c r="AR68" s="22" t="str">
        <f t="shared" ref="AR68:AR87" si="188">AQ68</f>
        <v>unc</v>
      </c>
      <c r="AS68" s="22" t="str">
        <f t="shared" ref="AS68:AS87" si="189">AR68</f>
        <v>unc</v>
      </c>
      <c r="AT68" s="22" t="str">
        <f t="shared" ref="AT68:AT87" si="190">AS68</f>
        <v>unc</v>
      </c>
      <c r="AU68" s="22" t="str">
        <f t="shared" ref="AU68:AU87" si="191">AT68</f>
        <v>unc</v>
      </c>
    </row>
    <row r="69" spans="1:47" ht="15.5" x14ac:dyDescent="0.35">
      <c r="A69" s="170" t="str">
        <f t="shared" si="143"/>
        <v>LEAST_CNST_NO_COAL_NUC</v>
      </c>
      <c r="B69" s="28">
        <v>1</v>
      </c>
      <c r="C69" s="28" t="s">
        <v>85</v>
      </c>
      <c r="D69" s="28" t="s">
        <v>7</v>
      </c>
      <c r="E69" s="15" t="s">
        <v>13</v>
      </c>
      <c r="F69" s="15" t="s">
        <v>9</v>
      </c>
      <c r="G69" s="22"/>
      <c r="H69" s="22"/>
      <c r="I69" s="22"/>
      <c r="J69" s="22"/>
      <c r="K69" s="22"/>
      <c r="L69" s="22" t="s">
        <v>86</v>
      </c>
      <c r="M69" s="22" t="s">
        <v>86</v>
      </c>
      <c r="N69" s="22" t="s">
        <v>86</v>
      </c>
      <c r="O69" s="22" t="s">
        <v>86</v>
      </c>
      <c r="P69" s="22" t="s">
        <v>86</v>
      </c>
      <c r="Q69" s="22">
        <v>11000</v>
      </c>
      <c r="R69" s="22" t="s">
        <v>86</v>
      </c>
      <c r="S69" s="22" t="str">
        <f t="shared" si="163"/>
        <v>unc</v>
      </c>
      <c r="T69" s="22" t="str">
        <f t="shared" si="164"/>
        <v>unc</v>
      </c>
      <c r="U69" s="22" t="str">
        <f t="shared" si="165"/>
        <v>unc</v>
      </c>
      <c r="V69" s="22" t="str">
        <f t="shared" si="166"/>
        <v>unc</v>
      </c>
      <c r="W69" s="22" t="str">
        <f t="shared" si="167"/>
        <v>unc</v>
      </c>
      <c r="X69" s="22" t="str">
        <f t="shared" si="168"/>
        <v>unc</v>
      </c>
      <c r="Y69" s="22" t="str">
        <f t="shared" si="169"/>
        <v>unc</v>
      </c>
      <c r="Z69" s="22" t="str">
        <f t="shared" si="170"/>
        <v>unc</v>
      </c>
      <c r="AA69" s="22" t="str">
        <f t="shared" si="171"/>
        <v>unc</v>
      </c>
      <c r="AB69" s="22" t="str">
        <f t="shared" si="172"/>
        <v>unc</v>
      </c>
      <c r="AC69" s="22" t="str">
        <f t="shared" si="173"/>
        <v>unc</v>
      </c>
      <c r="AD69" s="22" t="str">
        <f t="shared" si="174"/>
        <v>unc</v>
      </c>
      <c r="AE69" s="22" t="str">
        <f t="shared" si="175"/>
        <v>unc</v>
      </c>
      <c r="AF69" s="22" t="str">
        <f t="shared" si="176"/>
        <v>unc</v>
      </c>
      <c r="AG69" s="22" t="str">
        <f t="shared" si="177"/>
        <v>unc</v>
      </c>
      <c r="AH69" s="22" t="str">
        <f t="shared" si="178"/>
        <v>unc</v>
      </c>
      <c r="AI69" s="22" t="str">
        <f t="shared" si="179"/>
        <v>unc</v>
      </c>
      <c r="AJ69" s="22" t="str">
        <f t="shared" si="180"/>
        <v>unc</v>
      </c>
      <c r="AK69" s="22" t="str">
        <f t="shared" si="181"/>
        <v>unc</v>
      </c>
      <c r="AL69" s="22" t="str">
        <f t="shared" si="182"/>
        <v>unc</v>
      </c>
      <c r="AM69" s="22" t="str">
        <f t="shared" si="183"/>
        <v>unc</v>
      </c>
      <c r="AN69" s="22" t="str">
        <f t="shared" si="184"/>
        <v>unc</v>
      </c>
      <c r="AO69" s="22" t="str">
        <f t="shared" si="185"/>
        <v>unc</v>
      </c>
      <c r="AP69" s="22" t="str">
        <f t="shared" si="186"/>
        <v>unc</v>
      </c>
      <c r="AQ69" s="22" t="str">
        <f t="shared" si="187"/>
        <v>unc</v>
      </c>
      <c r="AR69" s="22" t="str">
        <f t="shared" si="188"/>
        <v>unc</v>
      </c>
      <c r="AS69" s="22" t="str">
        <f t="shared" si="189"/>
        <v>unc</v>
      </c>
      <c r="AT69" s="22" t="str">
        <f t="shared" si="190"/>
        <v>unc</v>
      </c>
      <c r="AU69" s="22" t="str">
        <f t="shared" si="191"/>
        <v>unc</v>
      </c>
    </row>
    <row r="70" spans="1:47" ht="15.5" x14ac:dyDescent="0.35">
      <c r="A70" s="170" t="str">
        <f t="shared" si="143"/>
        <v>LEAST_CNST_NO_COAL_NUC</v>
      </c>
      <c r="B70" s="29">
        <v>1</v>
      </c>
      <c r="C70" s="29" t="s">
        <v>85</v>
      </c>
      <c r="D70" s="29" t="s">
        <v>7</v>
      </c>
      <c r="E70" s="14" t="s">
        <v>14</v>
      </c>
      <c r="F70" s="14" t="s">
        <v>9</v>
      </c>
      <c r="G70" s="22"/>
      <c r="H70" s="22"/>
      <c r="I70" s="22"/>
      <c r="J70" s="22"/>
      <c r="K70" s="22"/>
      <c r="L70" s="22" t="s">
        <v>86</v>
      </c>
      <c r="M70" s="22" t="s">
        <v>86</v>
      </c>
      <c r="N70" s="22" t="s">
        <v>86</v>
      </c>
      <c r="O70" s="22" t="s">
        <v>86</v>
      </c>
      <c r="P70" s="22" t="s">
        <v>86</v>
      </c>
      <c r="Q70" s="22" t="s">
        <v>86</v>
      </c>
      <c r="R70" s="22" t="s">
        <v>86</v>
      </c>
      <c r="S70" s="22" t="str">
        <f t="shared" si="163"/>
        <v>unc</v>
      </c>
      <c r="T70" s="22" t="str">
        <f t="shared" si="164"/>
        <v>unc</v>
      </c>
      <c r="U70" s="22" t="str">
        <f t="shared" si="165"/>
        <v>unc</v>
      </c>
      <c r="V70" s="22" t="str">
        <f t="shared" si="166"/>
        <v>unc</v>
      </c>
      <c r="W70" s="22" t="str">
        <f t="shared" si="167"/>
        <v>unc</v>
      </c>
      <c r="X70" s="22" t="str">
        <f t="shared" si="168"/>
        <v>unc</v>
      </c>
      <c r="Y70" s="22" t="str">
        <f t="shared" si="169"/>
        <v>unc</v>
      </c>
      <c r="Z70" s="22" t="str">
        <f t="shared" si="170"/>
        <v>unc</v>
      </c>
      <c r="AA70" s="22" t="str">
        <f t="shared" si="171"/>
        <v>unc</v>
      </c>
      <c r="AB70" s="22" t="str">
        <f t="shared" si="172"/>
        <v>unc</v>
      </c>
      <c r="AC70" s="22" t="str">
        <f t="shared" si="173"/>
        <v>unc</v>
      </c>
      <c r="AD70" s="22" t="str">
        <f t="shared" si="174"/>
        <v>unc</v>
      </c>
      <c r="AE70" s="22" t="str">
        <f t="shared" si="175"/>
        <v>unc</v>
      </c>
      <c r="AF70" s="22" t="str">
        <f t="shared" si="176"/>
        <v>unc</v>
      </c>
      <c r="AG70" s="22" t="str">
        <f t="shared" si="177"/>
        <v>unc</v>
      </c>
      <c r="AH70" s="22" t="str">
        <f t="shared" si="178"/>
        <v>unc</v>
      </c>
      <c r="AI70" s="22" t="str">
        <f t="shared" si="179"/>
        <v>unc</v>
      </c>
      <c r="AJ70" s="22" t="str">
        <f t="shared" si="180"/>
        <v>unc</v>
      </c>
      <c r="AK70" s="22" t="str">
        <f t="shared" si="181"/>
        <v>unc</v>
      </c>
      <c r="AL70" s="22" t="str">
        <f t="shared" si="182"/>
        <v>unc</v>
      </c>
      <c r="AM70" s="22" t="str">
        <f t="shared" si="183"/>
        <v>unc</v>
      </c>
      <c r="AN70" s="22" t="str">
        <f t="shared" si="184"/>
        <v>unc</v>
      </c>
      <c r="AO70" s="22" t="str">
        <f t="shared" si="185"/>
        <v>unc</v>
      </c>
      <c r="AP70" s="22" t="str">
        <f t="shared" si="186"/>
        <v>unc</v>
      </c>
      <c r="AQ70" s="22" t="str">
        <f t="shared" si="187"/>
        <v>unc</v>
      </c>
      <c r="AR70" s="22" t="str">
        <f t="shared" si="188"/>
        <v>unc</v>
      </c>
      <c r="AS70" s="22" t="str">
        <f t="shared" si="189"/>
        <v>unc</v>
      </c>
      <c r="AT70" s="22" t="str">
        <f t="shared" si="190"/>
        <v>unc</v>
      </c>
      <c r="AU70" s="22" t="str">
        <f t="shared" si="191"/>
        <v>unc</v>
      </c>
    </row>
    <row r="71" spans="1:47" ht="15.5" x14ac:dyDescent="0.35">
      <c r="A71" s="170" t="str">
        <f t="shared" si="143"/>
        <v>LEAST_CNST_NO_COAL_NUC</v>
      </c>
      <c r="B71" s="28">
        <v>1</v>
      </c>
      <c r="C71" s="28" t="s">
        <v>85</v>
      </c>
      <c r="D71" s="28" t="s">
        <v>7</v>
      </c>
      <c r="E71" s="15" t="s">
        <v>15</v>
      </c>
      <c r="F71" s="15" t="s">
        <v>16</v>
      </c>
      <c r="G71" s="22"/>
      <c r="H71" s="22"/>
      <c r="I71" s="22"/>
      <c r="J71" s="22"/>
      <c r="K71" s="22"/>
      <c r="L71" s="22" t="s">
        <v>86</v>
      </c>
      <c r="M71" s="22" t="s">
        <v>86</v>
      </c>
      <c r="N71" s="22" t="s">
        <v>86</v>
      </c>
      <c r="O71" s="22" t="s">
        <v>86</v>
      </c>
      <c r="P71" s="22" t="s">
        <v>86</v>
      </c>
      <c r="Q71" s="22" t="s">
        <v>86</v>
      </c>
      <c r="R71" s="22" t="s">
        <v>86</v>
      </c>
      <c r="S71" s="22" t="str">
        <f t="shared" si="163"/>
        <v>unc</v>
      </c>
      <c r="T71" s="22" t="str">
        <f t="shared" si="164"/>
        <v>unc</v>
      </c>
      <c r="U71" s="22" t="str">
        <f t="shared" si="165"/>
        <v>unc</v>
      </c>
      <c r="V71" s="22" t="str">
        <f t="shared" si="166"/>
        <v>unc</v>
      </c>
      <c r="W71" s="22" t="str">
        <f t="shared" si="167"/>
        <v>unc</v>
      </c>
      <c r="X71" s="22" t="str">
        <f t="shared" si="168"/>
        <v>unc</v>
      </c>
      <c r="Y71" s="22" t="str">
        <f t="shared" si="169"/>
        <v>unc</v>
      </c>
      <c r="Z71" s="22" t="str">
        <f t="shared" si="170"/>
        <v>unc</v>
      </c>
      <c r="AA71" s="22" t="str">
        <f t="shared" si="171"/>
        <v>unc</v>
      </c>
      <c r="AB71" s="22" t="str">
        <f t="shared" si="172"/>
        <v>unc</v>
      </c>
      <c r="AC71" s="22" t="str">
        <f t="shared" si="173"/>
        <v>unc</v>
      </c>
      <c r="AD71" s="22" t="str">
        <f t="shared" si="174"/>
        <v>unc</v>
      </c>
      <c r="AE71" s="22" t="str">
        <f t="shared" si="175"/>
        <v>unc</v>
      </c>
      <c r="AF71" s="22" t="str">
        <f t="shared" si="176"/>
        <v>unc</v>
      </c>
      <c r="AG71" s="22" t="str">
        <f t="shared" si="177"/>
        <v>unc</v>
      </c>
      <c r="AH71" s="22" t="str">
        <f t="shared" si="178"/>
        <v>unc</v>
      </c>
      <c r="AI71" s="22" t="str">
        <f t="shared" si="179"/>
        <v>unc</v>
      </c>
      <c r="AJ71" s="22" t="str">
        <f t="shared" si="180"/>
        <v>unc</v>
      </c>
      <c r="AK71" s="22" t="str">
        <f t="shared" si="181"/>
        <v>unc</v>
      </c>
      <c r="AL71" s="22" t="str">
        <f t="shared" si="182"/>
        <v>unc</v>
      </c>
      <c r="AM71" s="22" t="str">
        <f t="shared" si="183"/>
        <v>unc</v>
      </c>
      <c r="AN71" s="22" t="str">
        <f t="shared" si="184"/>
        <v>unc</v>
      </c>
      <c r="AO71" s="22" t="str">
        <f t="shared" si="185"/>
        <v>unc</v>
      </c>
      <c r="AP71" s="22" t="str">
        <f t="shared" si="186"/>
        <v>unc</v>
      </c>
      <c r="AQ71" s="22" t="str">
        <f t="shared" si="187"/>
        <v>unc</v>
      </c>
      <c r="AR71" s="22" t="str">
        <f t="shared" si="188"/>
        <v>unc</v>
      </c>
      <c r="AS71" s="22" t="str">
        <f t="shared" si="189"/>
        <v>unc</v>
      </c>
      <c r="AT71" s="22" t="str">
        <f t="shared" si="190"/>
        <v>unc</v>
      </c>
      <c r="AU71" s="22" t="str">
        <f t="shared" si="191"/>
        <v>unc</v>
      </c>
    </row>
    <row r="72" spans="1:47" ht="15.5" x14ac:dyDescent="0.35">
      <c r="A72" s="170" t="str">
        <f t="shared" si="143"/>
        <v>LEAST_CNST_NO_COAL_NUC</v>
      </c>
      <c r="B72" s="29">
        <v>1</v>
      </c>
      <c r="C72" s="29" t="s">
        <v>85</v>
      </c>
      <c r="D72" s="29" t="s">
        <v>7</v>
      </c>
      <c r="E72" s="14" t="s">
        <v>17</v>
      </c>
      <c r="F72" s="14" t="s">
        <v>16</v>
      </c>
      <c r="G72" s="22"/>
      <c r="H72" s="22"/>
      <c r="I72" s="22"/>
      <c r="J72" s="22"/>
      <c r="K72" s="22"/>
      <c r="L72" s="22" t="s">
        <v>86</v>
      </c>
      <c r="M72" s="22" t="s">
        <v>86</v>
      </c>
      <c r="N72" s="22" t="s">
        <v>86</v>
      </c>
      <c r="O72" s="22" t="s">
        <v>86</v>
      </c>
      <c r="P72" s="22" t="s">
        <v>86</v>
      </c>
      <c r="Q72" s="22" t="s">
        <v>86</v>
      </c>
      <c r="R72" s="22" t="s">
        <v>86</v>
      </c>
      <c r="S72" s="22" t="str">
        <f t="shared" si="163"/>
        <v>unc</v>
      </c>
      <c r="T72" s="22" t="str">
        <f t="shared" si="164"/>
        <v>unc</v>
      </c>
      <c r="U72" s="22" t="str">
        <f t="shared" si="165"/>
        <v>unc</v>
      </c>
      <c r="V72" s="22" t="str">
        <f t="shared" si="166"/>
        <v>unc</v>
      </c>
      <c r="W72" s="22" t="str">
        <f t="shared" si="167"/>
        <v>unc</v>
      </c>
      <c r="X72" s="22" t="str">
        <f t="shared" si="168"/>
        <v>unc</v>
      </c>
      <c r="Y72" s="22" t="str">
        <f t="shared" si="169"/>
        <v>unc</v>
      </c>
      <c r="Z72" s="22" t="str">
        <f t="shared" si="170"/>
        <v>unc</v>
      </c>
      <c r="AA72" s="22" t="str">
        <f t="shared" si="171"/>
        <v>unc</v>
      </c>
      <c r="AB72" s="22" t="str">
        <f t="shared" si="172"/>
        <v>unc</v>
      </c>
      <c r="AC72" s="22" t="str">
        <f t="shared" si="173"/>
        <v>unc</v>
      </c>
      <c r="AD72" s="22" t="str">
        <f t="shared" si="174"/>
        <v>unc</v>
      </c>
      <c r="AE72" s="22" t="str">
        <f t="shared" si="175"/>
        <v>unc</v>
      </c>
      <c r="AF72" s="22" t="str">
        <f t="shared" si="176"/>
        <v>unc</v>
      </c>
      <c r="AG72" s="22" t="str">
        <f t="shared" si="177"/>
        <v>unc</v>
      </c>
      <c r="AH72" s="22" t="str">
        <f t="shared" si="178"/>
        <v>unc</v>
      </c>
      <c r="AI72" s="22" t="str">
        <f t="shared" si="179"/>
        <v>unc</v>
      </c>
      <c r="AJ72" s="22" t="str">
        <f t="shared" si="180"/>
        <v>unc</v>
      </c>
      <c r="AK72" s="22" t="str">
        <f t="shared" si="181"/>
        <v>unc</v>
      </c>
      <c r="AL72" s="22" t="str">
        <f t="shared" si="182"/>
        <v>unc</v>
      </c>
      <c r="AM72" s="22" t="str">
        <f t="shared" si="183"/>
        <v>unc</v>
      </c>
      <c r="AN72" s="22" t="str">
        <f t="shared" si="184"/>
        <v>unc</v>
      </c>
      <c r="AO72" s="22" t="str">
        <f t="shared" si="185"/>
        <v>unc</v>
      </c>
      <c r="AP72" s="22" t="str">
        <f t="shared" si="186"/>
        <v>unc</v>
      </c>
      <c r="AQ72" s="22" t="str">
        <f t="shared" si="187"/>
        <v>unc</v>
      </c>
      <c r="AR72" s="22" t="str">
        <f t="shared" si="188"/>
        <v>unc</v>
      </c>
      <c r="AS72" s="22" t="str">
        <f t="shared" si="189"/>
        <v>unc</v>
      </c>
      <c r="AT72" s="22" t="str">
        <f t="shared" si="190"/>
        <v>unc</v>
      </c>
      <c r="AU72" s="22" t="str">
        <f t="shared" si="191"/>
        <v>unc</v>
      </c>
    </row>
    <row r="73" spans="1:47" ht="15.5" x14ac:dyDescent="0.35">
      <c r="A73" s="170" t="str">
        <f t="shared" si="143"/>
        <v>LEAST_CNST_NO_COAL_NUC</v>
      </c>
      <c r="B73" s="28">
        <v>1</v>
      </c>
      <c r="C73" s="28" t="s">
        <v>85</v>
      </c>
      <c r="D73" s="28" t="s">
        <v>7</v>
      </c>
      <c r="E73" s="15" t="s">
        <v>18</v>
      </c>
      <c r="F73" s="15" t="s">
        <v>16</v>
      </c>
      <c r="G73" s="22"/>
      <c r="H73" s="22"/>
      <c r="I73" s="22"/>
      <c r="J73" s="22"/>
      <c r="K73" s="22"/>
      <c r="L73" s="22" t="s">
        <v>86</v>
      </c>
      <c r="M73" s="22" t="s">
        <v>86</v>
      </c>
      <c r="N73" s="22" t="s">
        <v>86</v>
      </c>
      <c r="O73" s="22" t="s">
        <v>86</v>
      </c>
      <c r="P73" s="22" t="s">
        <v>86</v>
      </c>
      <c r="Q73" s="22" t="s">
        <v>86</v>
      </c>
      <c r="R73" s="22" t="s">
        <v>86</v>
      </c>
      <c r="S73" s="22" t="str">
        <f t="shared" si="163"/>
        <v>unc</v>
      </c>
      <c r="T73" s="22" t="str">
        <f t="shared" si="164"/>
        <v>unc</v>
      </c>
      <c r="U73" s="22" t="str">
        <f t="shared" si="165"/>
        <v>unc</v>
      </c>
      <c r="V73" s="22" t="str">
        <f t="shared" si="166"/>
        <v>unc</v>
      </c>
      <c r="W73" s="22" t="str">
        <f t="shared" si="167"/>
        <v>unc</v>
      </c>
      <c r="X73" s="22" t="str">
        <f t="shared" si="168"/>
        <v>unc</v>
      </c>
      <c r="Y73" s="22" t="str">
        <f t="shared" si="169"/>
        <v>unc</v>
      </c>
      <c r="Z73" s="22" t="str">
        <f t="shared" si="170"/>
        <v>unc</v>
      </c>
      <c r="AA73" s="22" t="str">
        <f t="shared" si="171"/>
        <v>unc</v>
      </c>
      <c r="AB73" s="22" t="str">
        <f t="shared" si="172"/>
        <v>unc</v>
      </c>
      <c r="AC73" s="22" t="str">
        <f t="shared" si="173"/>
        <v>unc</v>
      </c>
      <c r="AD73" s="22" t="str">
        <f t="shared" si="174"/>
        <v>unc</v>
      </c>
      <c r="AE73" s="22" t="str">
        <f t="shared" si="175"/>
        <v>unc</v>
      </c>
      <c r="AF73" s="22" t="str">
        <f t="shared" si="176"/>
        <v>unc</v>
      </c>
      <c r="AG73" s="22" t="str">
        <f t="shared" si="177"/>
        <v>unc</v>
      </c>
      <c r="AH73" s="22" t="str">
        <f t="shared" si="178"/>
        <v>unc</v>
      </c>
      <c r="AI73" s="22" t="str">
        <f t="shared" si="179"/>
        <v>unc</v>
      </c>
      <c r="AJ73" s="22" t="str">
        <f t="shared" si="180"/>
        <v>unc</v>
      </c>
      <c r="AK73" s="22" t="str">
        <f t="shared" si="181"/>
        <v>unc</v>
      </c>
      <c r="AL73" s="22" t="str">
        <f t="shared" si="182"/>
        <v>unc</v>
      </c>
      <c r="AM73" s="22" t="str">
        <f t="shared" si="183"/>
        <v>unc</v>
      </c>
      <c r="AN73" s="22" t="str">
        <f t="shared" si="184"/>
        <v>unc</v>
      </c>
      <c r="AO73" s="22" t="str">
        <f t="shared" si="185"/>
        <v>unc</v>
      </c>
      <c r="AP73" s="22" t="str">
        <f t="shared" si="186"/>
        <v>unc</v>
      </c>
      <c r="AQ73" s="22" t="str">
        <f t="shared" si="187"/>
        <v>unc</v>
      </c>
      <c r="AR73" s="22" t="str">
        <f t="shared" si="188"/>
        <v>unc</v>
      </c>
      <c r="AS73" s="22" t="str">
        <f t="shared" si="189"/>
        <v>unc</v>
      </c>
      <c r="AT73" s="22" t="str">
        <f t="shared" si="190"/>
        <v>unc</v>
      </c>
      <c r="AU73" s="22" t="str">
        <f t="shared" si="191"/>
        <v>unc</v>
      </c>
    </row>
    <row r="74" spans="1:47" ht="15.5" x14ac:dyDescent="0.35">
      <c r="A74" s="170" t="str">
        <f t="shared" si="143"/>
        <v>LEAST_CNST_NO_COAL_NUC</v>
      </c>
      <c r="B74" s="29">
        <v>1</v>
      </c>
      <c r="C74" s="29" t="s">
        <v>85</v>
      </c>
      <c r="D74" s="29" t="s">
        <v>7</v>
      </c>
      <c r="E74" s="14" t="s">
        <v>19</v>
      </c>
      <c r="F74" s="14" t="s">
        <v>16</v>
      </c>
      <c r="G74" s="22"/>
      <c r="H74" s="22"/>
      <c r="I74" s="22"/>
      <c r="J74" s="22"/>
      <c r="K74" s="22"/>
      <c r="L74" s="22" t="s">
        <v>86</v>
      </c>
      <c r="M74" s="22" t="s">
        <v>86</v>
      </c>
      <c r="N74" s="22" t="s">
        <v>86</v>
      </c>
      <c r="O74" s="22" t="s">
        <v>86</v>
      </c>
      <c r="P74" s="22" t="s">
        <v>86</v>
      </c>
      <c r="Q74" s="22" t="s">
        <v>86</v>
      </c>
      <c r="R74" s="22" t="s">
        <v>86</v>
      </c>
      <c r="S74" s="22" t="str">
        <f t="shared" si="163"/>
        <v>unc</v>
      </c>
      <c r="T74" s="22" t="str">
        <f t="shared" si="164"/>
        <v>unc</v>
      </c>
      <c r="U74" s="22" t="str">
        <f t="shared" si="165"/>
        <v>unc</v>
      </c>
      <c r="V74" s="22" t="str">
        <f t="shared" si="166"/>
        <v>unc</v>
      </c>
      <c r="W74" s="22" t="str">
        <f t="shared" si="167"/>
        <v>unc</v>
      </c>
      <c r="X74" s="22" t="str">
        <f t="shared" si="168"/>
        <v>unc</v>
      </c>
      <c r="Y74" s="22" t="str">
        <f t="shared" si="169"/>
        <v>unc</v>
      </c>
      <c r="Z74" s="22" t="str">
        <f t="shared" si="170"/>
        <v>unc</v>
      </c>
      <c r="AA74" s="22" t="str">
        <f t="shared" si="171"/>
        <v>unc</v>
      </c>
      <c r="AB74" s="22" t="str">
        <f t="shared" si="172"/>
        <v>unc</v>
      </c>
      <c r="AC74" s="22" t="str">
        <f t="shared" si="173"/>
        <v>unc</v>
      </c>
      <c r="AD74" s="22" t="str">
        <f t="shared" si="174"/>
        <v>unc</v>
      </c>
      <c r="AE74" s="22" t="str">
        <f t="shared" si="175"/>
        <v>unc</v>
      </c>
      <c r="AF74" s="22" t="str">
        <f t="shared" si="176"/>
        <v>unc</v>
      </c>
      <c r="AG74" s="22" t="str">
        <f t="shared" si="177"/>
        <v>unc</v>
      </c>
      <c r="AH74" s="22" t="str">
        <f t="shared" si="178"/>
        <v>unc</v>
      </c>
      <c r="AI74" s="22" t="str">
        <f t="shared" si="179"/>
        <v>unc</v>
      </c>
      <c r="AJ74" s="22" t="str">
        <f t="shared" si="180"/>
        <v>unc</v>
      </c>
      <c r="AK74" s="22" t="str">
        <f t="shared" si="181"/>
        <v>unc</v>
      </c>
      <c r="AL74" s="22" t="str">
        <f t="shared" si="182"/>
        <v>unc</v>
      </c>
      <c r="AM74" s="22" t="str">
        <f t="shared" si="183"/>
        <v>unc</v>
      </c>
      <c r="AN74" s="22" t="str">
        <f t="shared" si="184"/>
        <v>unc</v>
      </c>
      <c r="AO74" s="22" t="str">
        <f t="shared" si="185"/>
        <v>unc</v>
      </c>
      <c r="AP74" s="22" t="str">
        <f t="shared" si="186"/>
        <v>unc</v>
      </c>
      <c r="AQ74" s="22" t="str">
        <f t="shared" si="187"/>
        <v>unc</v>
      </c>
      <c r="AR74" s="22" t="str">
        <f t="shared" si="188"/>
        <v>unc</v>
      </c>
      <c r="AS74" s="22" t="str">
        <f t="shared" si="189"/>
        <v>unc</v>
      </c>
      <c r="AT74" s="22" t="str">
        <f t="shared" si="190"/>
        <v>unc</v>
      </c>
      <c r="AU74" s="22" t="str">
        <f t="shared" si="191"/>
        <v>unc</v>
      </c>
    </row>
    <row r="75" spans="1:47" ht="15.5" x14ac:dyDescent="0.35">
      <c r="A75" s="170" t="str">
        <f t="shared" si="143"/>
        <v>LEAST_CNST_NO_COAL_NUC</v>
      </c>
      <c r="B75" s="28">
        <v>1</v>
      </c>
      <c r="C75" s="28" t="s">
        <v>85</v>
      </c>
      <c r="D75" s="28" t="s">
        <v>7</v>
      </c>
      <c r="E75" s="15" t="s">
        <v>20</v>
      </c>
      <c r="F75" s="15" t="s">
        <v>16</v>
      </c>
      <c r="G75" s="22"/>
      <c r="H75" s="22"/>
      <c r="I75" s="22"/>
      <c r="J75" s="22"/>
      <c r="K75" s="22"/>
      <c r="L75" s="22" t="s">
        <v>86</v>
      </c>
      <c r="M75" s="22" t="s">
        <v>86</v>
      </c>
      <c r="N75" s="22" t="s">
        <v>86</v>
      </c>
      <c r="O75" s="22" t="s">
        <v>86</v>
      </c>
      <c r="P75" s="22" t="s">
        <v>86</v>
      </c>
      <c r="Q75" s="22" t="s">
        <v>86</v>
      </c>
      <c r="R75" s="22" t="s">
        <v>86</v>
      </c>
      <c r="S75" s="22" t="str">
        <f t="shared" si="163"/>
        <v>unc</v>
      </c>
      <c r="T75" s="22" t="str">
        <f t="shared" si="164"/>
        <v>unc</v>
      </c>
      <c r="U75" s="22" t="str">
        <f t="shared" si="165"/>
        <v>unc</v>
      </c>
      <c r="V75" s="22" t="str">
        <f t="shared" si="166"/>
        <v>unc</v>
      </c>
      <c r="W75" s="22" t="str">
        <f t="shared" si="167"/>
        <v>unc</v>
      </c>
      <c r="X75" s="22" t="str">
        <f t="shared" si="168"/>
        <v>unc</v>
      </c>
      <c r="Y75" s="22" t="str">
        <f t="shared" si="169"/>
        <v>unc</v>
      </c>
      <c r="Z75" s="22" t="str">
        <f t="shared" si="170"/>
        <v>unc</v>
      </c>
      <c r="AA75" s="22" t="str">
        <f t="shared" si="171"/>
        <v>unc</v>
      </c>
      <c r="AB75" s="22" t="str">
        <f t="shared" si="172"/>
        <v>unc</v>
      </c>
      <c r="AC75" s="22" t="str">
        <f t="shared" si="173"/>
        <v>unc</v>
      </c>
      <c r="AD75" s="22" t="str">
        <f t="shared" si="174"/>
        <v>unc</v>
      </c>
      <c r="AE75" s="22" t="str">
        <f t="shared" si="175"/>
        <v>unc</v>
      </c>
      <c r="AF75" s="22" t="str">
        <f t="shared" si="176"/>
        <v>unc</v>
      </c>
      <c r="AG75" s="22" t="str">
        <f t="shared" si="177"/>
        <v>unc</v>
      </c>
      <c r="AH75" s="22" t="str">
        <f t="shared" si="178"/>
        <v>unc</v>
      </c>
      <c r="AI75" s="22" t="str">
        <f t="shared" si="179"/>
        <v>unc</v>
      </c>
      <c r="AJ75" s="22" t="str">
        <f t="shared" si="180"/>
        <v>unc</v>
      </c>
      <c r="AK75" s="22" t="str">
        <f t="shared" si="181"/>
        <v>unc</v>
      </c>
      <c r="AL75" s="22" t="str">
        <f t="shared" si="182"/>
        <v>unc</v>
      </c>
      <c r="AM75" s="22" t="str">
        <f t="shared" si="183"/>
        <v>unc</v>
      </c>
      <c r="AN75" s="22" t="str">
        <f t="shared" si="184"/>
        <v>unc</v>
      </c>
      <c r="AO75" s="22" t="str">
        <f t="shared" si="185"/>
        <v>unc</v>
      </c>
      <c r="AP75" s="22" t="str">
        <f t="shared" si="186"/>
        <v>unc</v>
      </c>
      <c r="AQ75" s="22" t="str">
        <f t="shared" si="187"/>
        <v>unc</v>
      </c>
      <c r="AR75" s="22" t="str">
        <f t="shared" si="188"/>
        <v>unc</v>
      </c>
      <c r="AS75" s="22" t="str">
        <f t="shared" si="189"/>
        <v>unc</v>
      </c>
      <c r="AT75" s="22" t="str">
        <f t="shared" si="190"/>
        <v>unc</v>
      </c>
      <c r="AU75" s="22" t="str">
        <f t="shared" si="191"/>
        <v>unc</v>
      </c>
    </row>
    <row r="76" spans="1:47" ht="15.5" x14ac:dyDescent="0.35">
      <c r="A76" s="170" t="str">
        <f t="shared" si="143"/>
        <v>LEAST_CNST_NO_COAL_NUC</v>
      </c>
      <c r="B76" s="29">
        <v>1</v>
      </c>
      <c r="C76" s="29" t="s">
        <v>85</v>
      </c>
      <c r="D76" s="29" t="s">
        <v>7</v>
      </c>
      <c r="E76" s="14" t="s">
        <v>21</v>
      </c>
      <c r="F76" s="14" t="s">
        <v>16</v>
      </c>
      <c r="G76" s="22"/>
      <c r="H76" s="22"/>
      <c r="I76" s="22"/>
      <c r="J76" s="22"/>
      <c r="K76" s="22"/>
      <c r="L76" s="22" t="s">
        <v>86</v>
      </c>
      <c r="M76" s="22" t="s">
        <v>86</v>
      </c>
      <c r="N76" s="22" t="s">
        <v>86</v>
      </c>
      <c r="O76" s="22" t="s">
        <v>86</v>
      </c>
      <c r="P76" s="22" t="s">
        <v>86</v>
      </c>
      <c r="Q76" s="22" t="s">
        <v>86</v>
      </c>
      <c r="R76" s="22" t="s">
        <v>86</v>
      </c>
      <c r="S76" s="22" t="str">
        <f t="shared" si="163"/>
        <v>unc</v>
      </c>
      <c r="T76" s="22" t="str">
        <f t="shared" si="164"/>
        <v>unc</v>
      </c>
      <c r="U76" s="22" t="str">
        <f t="shared" si="165"/>
        <v>unc</v>
      </c>
      <c r="V76" s="22" t="str">
        <f t="shared" si="166"/>
        <v>unc</v>
      </c>
      <c r="W76" s="22" t="str">
        <f t="shared" si="167"/>
        <v>unc</v>
      </c>
      <c r="X76" s="22" t="str">
        <f t="shared" si="168"/>
        <v>unc</v>
      </c>
      <c r="Y76" s="22" t="str">
        <f t="shared" si="169"/>
        <v>unc</v>
      </c>
      <c r="Z76" s="22" t="str">
        <f t="shared" si="170"/>
        <v>unc</v>
      </c>
      <c r="AA76" s="22" t="str">
        <f t="shared" si="171"/>
        <v>unc</v>
      </c>
      <c r="AB76" s="22" t="str">
        <f t="shared" si="172"/>
        <v>unc</v>
      </c>
      <c r="AC76" s="22" t="str">
        <f t="shared" si="173"/>
        <v>unc</v>
      </c>
      <c r="AD76" s="22" t="str">
        <f t="shared" si="174"/>
        <v>unc</v>
      </c>
      <c r="AE76" s="22" t="str">
        <f t="shared" si="175"/>
        <v>unc</v>
      </c>
      <c r="AF76" s="22" t="str">
        <f t="shared" si="176"/>
        <v>unc</v>
      </c>
      <c r="AG76" s="22" t="str">
        <f t="shared" si="177"/>
        <v>unc</v>
      </c>
      <c r="AH76" s="22" t="str">
        <f t="shared" si="178"/>
        <v>unc</v>
      </c>
      <c r="AI76" s="22" t="str">
        <f t="shared" si="179"/>
        <v>unc</v>
      </c>
      <c r="AJ76" s="22" t="str">
        <f t="shared" si="180"/>
        <v>unc</v>
      </c>
      <c r="AK76" s="22" t="str">
        <f t="shared" si="181"/>
        <v>unc</v>
      </c>
      <c r="AL76" s="22" t="str">
        <f t="shared" si="182"/>
        <v>unc</v>
      </c>
      <c r="AM76" s="22" t="str">
        <f t="shared" si="183"/>
        <v>unc</v>
      </c>
      <c r="AN76" s="22" t="str">
        <f t="shared" si="184"/>
        <v>unc</v>
      </c>
      <c r="AO76" s="22" t="str">
        <f t="shared" si="185"/>
        <v>unc</v>
      </c>
      <c r="AP76" s="22" t="str">
        <f t="shared" si="186"/>
        <v>unc</v>
      </c>
      <c r="AQ76" s="22" t="str">
        <f t="shared" si="187"/>
        <v>unc</v>
      </c>
      <c r="AR76" s="22" t="str">
        <f t="shared" si="188"/>
        <v>unc</v>
      </c>
      <c r="AS76" s="22" t="str">
        <f t="shared" si="189"/>
        <v>unc</v>
      </c>
      <c r="AT76" s="22" t="str">
        <f t="shared" si="190"/>
        <v>unc</v>
      </c>
      <c r="AU76" s="22" t="str">
        <f t="shared" si="191"/>
        <v>unc</v>
      </c>
    </row>
    <row r="77" spans="1:47" ht="15.5" x14ac:dyDescent="0.35">
      <c r="A77" s="170" t="str">
        <f t="shared" si="143"/>
        <v>LEAST_CNST_NO_COAL_NUC</v>
      </c>
      <c r="B77" s="28">
        <v>1</v>
      </c>
      <c r="C77" s="28" t="s">
        <v>85</v>
      </c>
      <c r="D77" s="28" t="s">
        <v>7</v>
      </c>
      <c r="E77" s="15" t="s">
        <v>22</v>
      </c>
      <c r="F77" s="15" t="s">
        <v>16</v>
      </c>
      <c r="G77" s="22"/>
      <c r="H77" s="22"/>
      <c r="I77" s="22"/>
      <c r="J77" s="22"/>
      <c r="K77" s="22"/>
      <c r="L77" s="22" t="s">
        <v>86</v>
      </c>
      <c r="M77" s="22" t="s">
        <v>86</v>
      </c>
      <c r="N77" s="22" t="s">
        <v>86</v>
      </c>
      <c r="O77" s="22" t="s">
        <v>86</v>
      </c>
      <c r="P77" s="22" t="s">
        <v>86</v>
      </c>
      <c r="Q77" s="22" t="s">
        <v>86</v>
      </c>
      <c r="R77" s="22" t="s">
        <v>86</v>
      </c>
      <c r="S77" s="22" t="str">
        <f t="shared" si="163"/>
        <v>unc</v>
      </c>
      <c r="T77" s="22" t="str">
        <f t="shared" si="164"/>
        <v>unc</v>
      </c>
      <c r="U77" s="22" t="str">
        <f t="shared" si="165"/>
        <v>unc</v>
      </c>
      <c r="V77" s="22" t="str">
        <f t="shared" si="166"/>
        <v>unc</v>
      </c>
      <c r="W77" s="22" t="str">
        <f t="shared" si="167"/>
        <v>unc</v>
      </c>
      <c r="X77" s="22" t="str">
        <f t="shared" si="168"/>
        <v>unc</v>
      </c>
      <c r="Y77" s="22" t="str">
        <f t="shared" si="169"/>
        <v>unc</v>
      </c>
      <c r="Z77" s="22" t="str">
        <f t="shared" si="170"/>
        <v>unc</v>
      </c>
      <c r="AA77" s="22" t="str">
        <f t="shared" si="171"/>
        <v>unc</v>
      </c>
      <c r="AB77" s="22" t="str">
        <f t="shared" si="172"/>
        <v>unc</v>
      </c>
      <c r="AC77" s="22" t="str">
        <f t="shared" si="173"/>
        <v>unc</v>
      </c>
      <c r="AD77" s="22" t="str">
        <f t="shared" si="174"/>
        <v>unc</v>
      </c>
      <c r="AE77" s="22" t="str">
        <f t="shared" si="175"/>
        <v>unc</v>
      </c>
      <c r="AF77" s="22" t="str">
        <f t="shared" si="176"/>
        <v>unc</v>
      </c>
      <c r="AG77" s="22" t="str">
        <f t="shared" si="177"/>
        <v>unc</v>
      </c>
      <c r="AH77" s="22" t="str">
        <f t="shared" si="178"/>
        <v>unc</v>
      </c>
      <c r="AI77" s="22" t="str">
        <f t="shared" si="179"/>
        <v>unc</v>
      </c>
      <c r="AJ77" s="22" t="str">
        <f t="shared" si="180"/>
        <v>unc</v>
      </c>
      <c r="AK77" s="22" t="str">
        <f t="shared" si="181"/>
        <v>unc</v>
      </c>
      <c r="AL77" s="22" t="str">
        <f t="shared" si="182"/>
        <v>unc</v>
      </c>
      <c r="AM77" s="22" t="str">
        <f t="shared" si="183"/>
        <v>unc</v>
      </c>
      <c r="AN77" s="22" t="str">
        <f t="shared" si="184"/>
        <v>unc</v>
      </c>
      <c r="AO77" s="22" t="str">
        <f t="shared" si="185"/>
        <v>unc</v>
      </c>
      <c r="AP77" s="22" t="str">
        <f t="shared" si="186"/>
        <v>unc</v>
      </c>
      <c r="AQ77" s="22" t="str">
        <f t="shared" si="187"/>
        <v>unc</v>
      </c>
      <c r="AR77" s="22" t="str">
        <f t="shared" si="188"/>
        <v>unc</v>
      </c>
      <c r="AS77" s="22" t="str">
        <f t="shared" si="189"/>
        <v>unc</v>
      </c>
      <c r="AT77" s="22" t="str">
        <f t="shared" si="190"/>
        <v>unc</v>
      </c>
      <c r="AU77" s="22" t="str">
        <f t="shared" si="191"/>
        <v>unc</v>
      </c>
    </row>
    <row r="78" spans="1:47" ht="15.5" x14ac:dyDescent="0.35">
      <c r="A78" s="170" t="str">
        <f>A75</f>
        <v>LEAST_CNST_NO_COAL_NUC</v>
      </c>
      <c r="B78" s="29">
        <v>1</v>
      </c>
      <c r="C78" s="29" t="s">
        <v>85</v>
      </c>
      <c r="D78" s="29" t="s">
        <v>7</v>
      </c>
      <c r="E78" s="14" t="s">
        <v>23</v>
      </c>
      <c r="F78" s="14" t="s">
        <v>16</v>
      </c>
      <c r="G78" s="22"/>
      <c r="H78" s="22"/>
      <c r="I78" s="22"/>
      <c r="J78" s="22"/>
      <c r="K78" s="22"/>
      <c r="L78" s="22" t="s">
        <v>86</v>
      </c>
      <c r="M78" s="22" t="s">
        <v>86</v>
      </c>
      <c r="N78" s="22" t="s">
        <v>86</v>
      </c>
      <c r="O78" s="22" t="s">
        <v>86</v>
      </c>
      <c r="P78" s="22" t="s">
        <v>86</v>
      </c>
      <c r="Q78" s="22" t="s">
        <v>86</v>
      </c>
      <c r="R78" s="22" t="s">
        <v>86</v>
      </c>
      <c r="S78" s="22" t="str">
        <f t="shared" si="163"/>
        <v>unc</v>
      </c>
      <c r="T78" s="22" t="str">
        <f t="shared" si="164"/>
        <v>unc</v>
      </c>
      <c r="U78" s="22" t="str">
        <f t="shared" si="165"/>
        <v>unc</v>
      </c>
      <c r="V78" s="22" t="str">
        <f t="shared" si="166"/>
        <v>unc</v>
      </c>
      <c r="W78" s="22" t="str">
        <f t="shared" si="167"/>
        <v>unc</v>
      </c>
      <c r="X78" s="22" t="str">
        <f t="shared" si="168"/>
        <v>unc</v>
      </c>
      <c r="Y78" s="22" t="str">
        <f t="shared" si="169"/>
        <v>unc</v>
      </c>
      <c r="Z78" s="22" t="str">
        <f t="shared" si="170"/>
        <v>unc</v>
      </c>
      <c r="AA78" s="22" t="str">
        <f t="shared" si="171"/>
        <v>unc</v>
      </c>
      <c r="AB78" s="22" t="str">
        <f t="shared" si="172"/>
        <v>unc</v>
      </c>
      <c r="AC78" s="22" t="str">
        <f t="shared" si="173"/>
        <v>unc</v>
      </c>
      <c r="AD78" s="22" t="str">
        <f t="shared" si="174"/>
        <v>unc</v>
      </c>
      <c r="AE78" s="22" t="str">
        <f t="shared" si="175"/>
        <v>unc</v>
      </c>
      <c r="AF78" s="22" t="str">
        <f t="shared" si="176"/>
        <v>unc</v>
      </c>
      <c r="AG78" s="22" t="str">
        <f t="shared" si="177"/>
        <v>unc</v>
      </c>
      <c r="AH78" s="22" t="str">
        <f t="shared" si="178"/>
        <v>unc</v>
      </c>
      <c r="AI78" s="22" t="str">
        <f t="shared" si="179"/>
        <v>unc</v>
      </c>
      <c r="AJ78" s="22" t="str">
        <f t="shared" si="180"/>
        <v>unc</v>
      </c>
      <c r="AK78" s="22" t="str">
        <f t="shared" si="181"/>
        <v>unc</v>
      </c>
      <c r="AL78" s="22" t="str">
        <f t="shared" si="182"/>
        <v>unc</v>
      </c>
      <c r="AM78" s="22" t="str">
        <f t="shared" si="183"/>
        <v>unc</v>
      </c>
      <c r="AN78" s="22" t="str">
        <f t="shared" si="184"/>
        <v>unc</v>
      </c>
      <c r="AO78" s="22" t="str">
        <f t="shared" si="185"/>
        <v>unc</v>
      </c>
      <c r="AP78" s="22" t="str">
        <f t="shared" si="186"/>
        <v>unc</v>
      </c>
      <c r="AQ78" s="22" t="str">
        <f t="shared" si="187"/>
        <v>unc</v>
      </c>
      <c r="AR78" s="22" t="str">
        <f t="shared" si="188"/>
        <v>unc</v>
      </c>
      <c r="AS78" s="22" t="str">
        <f t="shared" si="189"/>
        <v>unc</v>
      </c>
      <c r="AT78" s="22" t="str">
        <f t="shared" si="190"/>
        <v>unc</v>
      </c>
      <c r="AU78" s="22" t="str">
        <f t="shared" si="191"/>
        <v>unc</v>
      </c>
    </row>
    <row r="79" spans="1:47" ht="15.5" x14ac:dyDescent="0.35">
      <c r="A79" s="170" t="str">
        <f>A76</f>
        <v>LEAST_CNST_NO_COAL_NUC</v>
      </c>
      <c r="B79" s="29">
        <v>1</v>
      </c>
      <c r="C79" s="29" t="s">
        <v>85</v>
      </c>
      <c r="D79" s="29" t="s">
        <v>7</v>
      </c>
      <c r="E79" s="14" t="s">
        <v>117</v>
      </c>
      <c r="F79" s="14" t="s">
        <v>16</v>
      </c>
      <c r="G79" s="22"/>
      <c r="H79" s="22"/>
      <c r="I79" s="22"/>
      <c r="J79" s="22"/>
      <c r="K79" s="22"/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f>V79</f>
        <v>0</v>
      </c>
      <c r="X79" s="22">
        <f t="shared" ref="X79" si="192">W79</f>
        <v>0</v>
      </c>
      <c r="Y79" s="22">
        <f t="shared" ref="Y79" si="193">X79</f>
        <v>0</v>
      </c>
      <c r="Z79" s="22">
        <f t="shared" ref="Z79" si="194">Y79</f>
        <v>0</v>
      </c>
      <c r="AA79" s="22">
        <f t="shared" ref="AA79" si="195">Z79</f>
        <v>0</v>
      </c>
      <c r="AB79" s="22">
        <f t="shared" ref="AB79" si="196">AA79</f>
        <v>0</v>
      </c>
      <c r="AC79" s="22">
        <f t="shared" ref="AC79" si="197">AB79</f>
        <v>0</v>
      </c>
      <c r="AD79" s="22">
        <f t="shared" ref="AD79" si="198">AC79</f>
        <v>0</v>
      </c>
      <c r="AE79" s="22">
        <f t="shared" ref="AE79" si="199">AD79</f>
        <v>0</v>
      </c>
      <c r="AF79" s="22">
        <f t="shared" ref="AF79" si="200">AE79</f>
        <v>0</v>
      </c>
      <c r="AG79" s="22">
        <f t="shared" ref="AG79" si="201">AF79</f>
        <v>0</v>
      </c>
      <c r="AH79" s="22">
        <f t="shared" ref="AH79" si="202">AG79</f>
        <v>0</v>
      </c>
      <c r="AI79" s="22">
        <f t="shared" ref="AI79" si="203">AH79</f>
        <v>0</v>
      </c>
      <c r="AJ79" s="22">
        <f t="shared" ref="AJ79" si="204">AI79</f>
        <v>0</v>
      </c>
      <c r="AK79" s="22">
        <f t="shared" ref="AK79" si="205">AJ79</f>
        <v>0</v>
      </c>
      <c r="AL79" s="22">
        <f t="shared" ref="AL79" si="206">AK79</f>
        <v>0</v>
      </c>
      <c r="AM79" s="22">
        <f t="shared" ref="AM79" si="207">AL79</f>
        <v>0</v>
      </c>
      <c r="AN79" s="22">
        <f t="shared" ref="AN79" si="208">AM79</f>
        <v>0</v>
      </c>
      <c r="AO79" s="22">
        <f t="shared" ref="AO79" si="209">AN79</f>
        <v>0</v>
      </c>
      <c r="AP79" s="22">
        <f t="shared" ref="AP79" si="210">AO79</f>
        <v>0</v>
      </c>
      <c r="AQ79" s="22">
        <f t="shared" ref="AQ79" si="211">AP79</f>
        <v>0</v>
      </c>
      <c r="AR79" s="22">
        <f t="shared" ref="AR79" si="212">AQ79</f>
        <v>0</v>
      </c>
      <c r="AS79" s="22">
        <f t="shared" ref="AS79" si="213">AR79</f>
        <v>0</v>
      </c>
      <c r="AT79" s="22">
        <f t="shared" ref="AT79" si="214">AS79</f>
        <v>0</v>
      </c>
      <c r="AU79" s="22">
        <f t="shared" ref="AU79" si="215">AT79</f>
        <v>0</v>
      </c>
    </row>
    <row r="80" spans="1:47" ht="15.5" x14ac:dyDescent="0.35">
      <c r="A80" s="170" t="str">
        <f>A78</f>
        <v>LEAST_CNST_NO_COAL_NUC</v>
      </c>
      <c r="B80" s="23">
        <v>1</v>
      </c>
      <c r="C80" s="23" t="s">
        <v>85</v>
      </c>
      <c r="D80" s="23" t="s">
        <v>7</v>
      </c>
      <c r="E80" s="24" t="s">
        <v>25</v>
      </c>
      <c r="F80" s="24" t="s">
        <v>16</v>
      </c>
      <c r="G80" s="22"/>
      <c r="H80" s="22"/>
      <c r="I80" s="22"/>
      <c r="J80" s="22"/>
      <c r="K80" s="22"/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f>V80</f>
        <v>0</v>
      </c>
      <c r="X80" s="22">
        <f t="shared" si="168"/>
        <v>0</v>
      </c>
      <c r="Y80" s="22">
        <f t="shared" si="169"/>
        <v>0</v>
      </c>
      <c r="Z80" s="22">
        <f t="shared" si="170"/>
        <v>0</v>
      </c>
      <c r="AA80" s="22">
        <f t="shared" si="171"/>
        <v>0</v>
      </c>
      <c r="AB80" s="22">
        <f t="shared" si="172"/>
        <v>0</v>
      </c>
      <c r="AC80" s="22">
        <f t="shared" si="173"/>
        <v>0</v>
      </c>
      <c r="AD80" s="22">
        <f t="shared" si="174"/>
        <v>0</v>
      </c>
      <c r="AE80" s="22">
        <f t="shared" si="175"/>
        <v>0</v>
      </c>
      <c r="AF80" s="22">
        <f t="shared" si="176"/>
        <v>0</v>
      </c>
      <c r="AG80" s="22">
        <f t="shared" si="177"/>
        <v>0</v>
      </c>
      <c r="AH80" s="22">
        <f t="shared" si="178"/>
        <v>0</v>
      </c>
      <c r="AI80" s="22">
        <f t="shared" si="179"/>
        <v>0</v>
      </c>
      <c r="AJ80" s="22">
        <f t="shared" si="180"/>
        <v>0</v>
      </c>
      <c r="AK80" s="22">
        <f t="shared" si="181"/>
        <v>0</v>
      </c>
      <c r="AL80" s="22">
        <f t="shared" si="182"/>
        <v>0</v>
      </c>
      <c r="AM80" s="22">
        <f t="shared" si="183"/>
        <v>0</v>
      </c>
      <c r="AN80" s="22">
        <f t="shared" si="184"/>
        <v>0</v>
      </c>
      <c r="AO80" s="22">
        <f t="shared" si="185"/>
        <v>0</v>
      </c>
      <c r="AP80" s="22">
        <f t="shared" si="186"/>
        <v>0</v>
      </c>
      <c r="AQ80" s="22">
        <f t="shared" si="187"/>
        <v>0</v>
      </c>
      <c r="AR80" s="22">
        <f t="shared" si="188"/>
        <v>0</v>
      </c>
      <c r="AS80" s="22">
        <f t="shared" si="189"/>
        <v>0</v>
      </c>
      <c r="AT80" s="22">
        <f t="shared" si="190"/>
        <v>0</v>
      </c>
      <c r="AU80" s="22">
        <f t="shared" si="191"/>
        <v>0</v>
      </c>
    </row>
    <row r="81" spans="1:47" ht="15.5" x14ac:dyDescent="0.35">
      <c r="A81" s="170" t="str">
        <f t="shared" ref="A81:A85" si="216">A80</f>
        <v>LEAST_CNST_NO_COAL_NUC</v>
      </c>
      <c r="B81" s="20">
        <v>1</v>
      </c>
      <c r="C81" s="20" t="s">
        <v>85</v>
      </c>
      <c r="D81" s="20" t="s">
        <v>7</v>
      </c>
      <c r="E81" s="21" t="s">
        <v>26</v>
      </c>
      <c r="F81" s="21" t="s">
        <v>16</v>
      </c>
      <c r="G81" s="22"/>
      <c r="H81" s="22"/>
      <c r="I81" s="22"/>
      <c r="J81" s="22"/>
      <c r="K81" s="22"/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f>V81</f>
        <v>0</v>
      </c>
      <c r="X81" s="22">
        <f t="shared" si="168"/>
        <v>0</v>
      </c>
      <c r="Y81" s="22">
        <f t="shared" si="169"/>
        <v>0</v>
      </c>
      <c r="Z81" s="22">
        <f t="shared" si="170"/>
        <v>0</v>
      </c>
      <c r="AA81" s="22">
        <f t="shared" si="171"/>
        <v>0</v>
      </c>
      <c r="AB81" s="22">
        <f t="shared" si="172"/>
        <v>0</v>
      </c>
      <c r="AC81" s="22">
        <f t="shared" si="173"/>
        <v>0</v>
      </c>
      <c r="AD81" s="22">
        <f t="shared" si="174"/>
        <v>0</v>
      </c>
      <c r="AE81" s="22">
        <f t="shared" si="175"/>
        <v>0</v>
      </c>
      <c r="AF81" s="22">
        <f t="shared" si="176"/>
        <v>0</v>
      </c>
      <c r="AG81" s="22">
        <f t="shared" si="177"/>
        <v>0</v>
      </c>
      <c r="AH81" s="22">
        <f t="shared" si="178"/>
        <v>0</v>
      </c>
      <c r="AI81" s="22">
        <f t="shared" si="179"/>
        <v>0</v>
      </c>
      <c r="AJ81" s="22">
        <f t="shared" si="180"/>
        <v>0</v>
      </c>
      <c r="AK81" s="22">
        <f t="shared" si="181"/>
        <v>0</v>
      </c>
      <c r="AL81" s="22">
        <f t="shared" si="182"/>
        <v>0</v>
      </c>
      <c r="AM81" s="22">
        <f t="shared" si="183"/>
        <v>0</v>
      </c>
      <c r="AN81" s="22">
        <f t="shared" si="184"/>
        <v>0</v>
      </c>
      <c r="AO81" s="22">
        <f t="shared" si="185"/>
        <v>0</v>
      </c>
      <c r="AP81" s="22">
        <f t="shared" si="186"/>
        <v>0</v>
      </c>
      <c r="AQ81" s="22">
        <f t="shared" si="187"/>
        <v>0</v>
      </c>
      <c r="AR81" s="22">
        <f t="shared" si="188"/>
        <v>0</v>
      </c>
      <c r="AS81" s="22">
        <f t="shared" si="189"/>
        <v>0</v>
      </c>
      <c r="AT81" s="22">
        <f t="shared" si="190"/>
        <v>0</v>
      </c>
      <c r="AU81" s="22">
        <f t="shared" si="191"/>
        <v>0</v>
      </c>
    </row>
    <row r="82" spans="1:47" ht="15.5" x14ac:dyDescent="0.35">
      <c r="A82" s="170" t="str">
        <f t="shared" si="216"/>
        <v>LEAST_CNST_NO_COAL_NUC</v>
      </c>
      <c r="B82" s="23">
        <v>1</v>
      </c>
      <c r="C82" s="23" t="s">
        <v>85</v>
      </c>
      <c r="D82" s="23" t="s">
        <v>27</v>
      </c>
      <c r="E82" s="24" t="s">
        <v>28</v>
      </c>
      <c r="F82" s="24" t="s">
        <v>29</v>
      </c>
      <c r="G82" s="22"/>
      <c r="H82" s="22"/>
      <c r="I82" s="22"/>
      <c r="J82" s="22"/>
      <c r="K82" s="22"/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1500</v>
      </c>
      <c r="W82" s="22">
        <f t="shared" ref="W82" si="217">V82</f>
        <v>1500</v>
      </c>
      <c r="X82" s="22">
        <f t="shared" ref="X82" si="218">W82</f>
        <v>1500</v>
      </c>
      <c r="Y82" s="22">
        <f t="shared" ref="Y82" si="219">X82</f>
        <v>1500</v>
      </c>
      <c r="Z82" s="22">
        <f t="shared" ref="Z82" si="220">Y82</f>
        <v>1500</v>
      </c>
      <c r="AA82" s="22">
        <f t="shared" ref="AA82" si="221">Z82</f>
        <v>1500</v>
      </c>
      <c r="AB82" s="22">
        <f t="shared" ref="AB82" si="222">AA82</f>
        <v>1500</v>
      </c>
      <c r="AC82" s="22">
        <f t="shared" ref="AC82" si="223">AB82</f>
        <v>1500</v>
      </c>
      <c r="AD82" s="22">
        <f t="shared" ref="AD82" si="224">AC82</f>
        <v>1500</v>
      </c>
      <c r="AE82" s="22">
        <f t="shared" ref="AE82" si="225">AD82</f>
        <v>1500</v>
      </c>
      <c r="AF82" s="22">
        <f t="shared" ref="AF82" si="226">AE82</f>
        <v>1500</v>
      </c>
      <c r="AG82" s="22">
        <f t="shared" ref="AG82" si="227">AF82</f>
        <v>1500</v>
      </c>
      <c r="AH82" s="22">
        <f t="shared" ref="AH82" si="228">AG82</f>
        <v>1500</v>
      </c>
      <c r="AI82" s="22">
        <f t="shared" ref="AI82" si="229">AH82</f>
        <v>1500</v>
      </c>
      <c r="AJ82" s="22">
        <f t="shared" ref="AJ82" si="230">AI82</f>
        <v>1500</v>
      </c>
      <c r="AK82" s="22">
        <f t="shared" ref="AK82" si="231">AJ82</f>
        <v>1500</v>
      </c>
      <c r="AL82" s="22">
        <f t="shared" si="182"/>
        <v>1500</v>
      </c>
      <c r="AM82" s="22">
        <f t="shared" si="183"/>
        <v>1500</v>
      </c>
      <c r="AN82" s="22">
        <f t="shared" si="184"/>
        <v>1500</v>
      </c>
      <c r="AO82" s="22">
        <f t="shared" si="185"/>
        <v>1500</v>
      </c>
      <c r="AP82" s="22">
        <f t="shared" si="186"/>
        <v>1500</v>
      </c>
      <c r="AQ82" s="22">
        <f t="shared" si="187"/>
        <v>1500</v>
      </c>
      <c r="AR82" s="22">
        <f t="shared" si="188"/>
        <v>1500</v>
      </c>
      <c r="AS82" s="22">
        <f t="shared" si="189"/>
        <v>1500</v>
      </c>
      <c r="AT82" s="22">
        <f t="shared" si="190"/>
        <v>1500</v>
      </c>
      <c r="AU82" s="22">
        <f t="shared" si="191"/>
        <v>1500</v>
      </c>
    </row>
    <row r="83" spans="1:47" ht="15.5" x14ac:dyDescent="0.35">
      <c r="A83" s="170" t="str">
        <f t="shared" si="216"/>
        <v>LEAST_CNST_NO_COAL_NUC</v>
      </c>
      <c r="B83" s="20">
        <v>1</v>
      </c>
      <c r="C83" s="20" t="s">
        <v>85</v>
      </c>
      <c r="D83" s="20" t="s">
        <v>27</v>
      </c>
      <c r="E83" s="21" t="s">
        <v>30</v>
      </c>
      <c r="F83" s="21" t="s">
        <v>29</v>
      </c>
      <c r="G83" s="22"/>
      <c r="H83" s="22"/>
      <c r="I83" s="22"/>
      <c r="J83" s="22"/>
      <c r="K83" s="22"/>
      <c r="L83" s="22" t="s">
        <v>86</v>
      </c>
      <c r="M83" s="22" t="s">
        <v>86</v>
      </c>
      <c r="N83" s="22" t="s">
        <v>86</v>
      </c>
      <c r="O83" s="22" t="s">
        <v>86</v>
      </c>
      <c r="P83" s="22" t="s">
        <v>86</v>
      </c>
      <c r="Q83" s="22" t="s">
        <v>86</v>
      </c>
      <c r="R83" s="22" t="s">
        <v>86</v>
      </c>
      <c r="S83" s="22" t="s">
        <v>86</v>
      </c>
      <c r="T83" s="22" t="s">
        <v>86</v>
      </c>
      <c r="U83" s="22" t="s">
        <v>86</v>
      </c>
      <c r="V83" s="22" t="s">
        <v>86</v>
      </c>
      <c r="W83" s="22" t="s">
        <v>86</v>
      </c>
      <c r="X83" s="22" t="s">
        <v>86</v>
      </c>
      <c r="Y83" s="22" t="s">
        <v>86</v>
      </c>
      <c r="Z83" s="22" t="s">
        <v>86</v>
      </c>
      <c r="AA83" s="22" t="s">
        <v>86</v>
      </c>
      <c r="AB83" s="22" t="s">
        <v>86</v>
      </c>
      <c r="AC83" s="22" t="s">
        <v>86</v>
      </c>
      <c r="AD83" s="22" t="s">
        <v>86</v>
      </c>
      <c r="AE83" s="22" t="s">
        <v>86</v>
      </c>
      <c r="AF83" s="22" t="s">
        <v>86</v>
      </c>
      <c r="AG83" s="22" t="s">
        <v>86</v>
      </c>
      <c r="AH83" s="22" t="s">
        <v>86</v>
      </c>
      <c r="AI83" s="22" t="s">
        <v>86</v>
      </c>
      <c r="AJ83" s="22" t="s">
        <v>86</v>
      </c>
      <c r="AK83" s="22" t="s">
        <v>86</v>
      </c>
      <c r="AL83" s="22" t="str">
        <f t="shared" si="182"/>
        <v>unc</v>
      </c>
      <c r="AM83" s="22" t="str">
        <f t="shared" si="183"/>
        <v>unc</v>
      </c>
      <c r="AN83" s="22" t="str">
        <f t="shared" si="184"/>
        <v>unc</v>
      </c>
      <c r="AO83" s="22" t="str">
        <f t="shared" si="185"/>
        <v>unc</v>
      </c>
      <c r="AP83" s="22" t="str">
        <f t="shared" si="186"/>
        <v>unc</v>
      </c>
      <c r="AQ83" s="22" t="str">
        <f t="shared" si="187"/>
        <v>unc</v>
      </c>
      <c r="AR83" s="22" t="str">
        <f t="shared" si="188"/>
        <v>unc</v>
      </c>
      <c r="AS83" s="22" t="str">
        <f t="shared" si="189"/>
        <v>unc</v>
      </c>
      <c r="AT83" s="22" t="str">
        <f t="shared" si="190"/>
        <v>unc</v>
      </c>
      <c r="AU83" s="22" t="str">
        <f t="shared" si="191"/>
        <v>unc</v>
      </c>
    </row>
    <row r="84" spans="1:47" ht="15.5" x14ac:dyDescent="0.35">
      <c r="A84" s="170" t="str">
        <f t="shared" si="216"/>
        <v>LEAST_CNST_NO_COAL_NUC</v>
      </c>
      <c r="B84" s="23">
        <v>1</v>
      </c>
      <c r="C84" s="23" t="s">
        <v>85</v>
      </c>
      <c r="D84" s="23" t="s">
        <v>27</v>
      </c>
      <c r="E84" s="24" t="s">
        <v>32</v>
      </c>
      <c r="F84" s="24" t="s">
        <v>29</v>
      </c>
      <c r="G84" s="22"/>
      <c r="H84" s="22"/>
      <c r="I84" s="22"/>
      <c r="J84" s="22"/>
      <c r="K84" s="22"/>
      <c r="L84" s="22" t="s">
        <v>86</v>
      </c>
      <c r="M84" s="22" t="s">
        <v>86</v>
      </c>
      <c r="N84" s="22" t="s">
        <v>86</v>
      </c>
      <c r="O84" s="22" t="s">
        <v>86</v>
      </c>
      <c r="P84" s="22" t="s">
        <v>86</v>
      </c>
      <c r="Q84" s="22" t="s">
        <v>86</v>
      </c>
      <c r="R84" s="22" t="s">
        <v>86</v>
      </c>
      <c r="S84" s="22" t="s">
        <v>86</v>
      </c>
      <c r="T84" s="22" t="s">
        <v>86</v>
      </c>
      <c r="U84" s="22" t="s">
        <v>86</v>
      </c>
      <c r="V84" s="22" t="s">
        <v>86</v>
      </c>
      <c r="W84" s="22" t="s">
        <v>86</v>
      </c>
      <c r="X84" s="22" t="s">
        <v>86</v>
      </c>
      <c r="Y84" s="22" t="s">
        <v>86</v>
      </c>
      <c r="Z84" s="22" t="s">
        <v>86</v>
      </c>
      <c r="AA84" s="22" t="s">
        <v>86</v>
      </c>
      <c r="AB84" s="22" t="s">
        <v>86</v>
      </c>
      <c r="AC84" s="22" t="s">
        <v>86</v>
      </c>
      <c r="AD84" s="22" t="s">
        <v>86</v>
      </c>
      <c r="AE84" s="22" t="s">
        <v>86</v>
      </c>
      <c r="AF84" s="22" t="s">
        <v>86</v>
      </c>
      <c r="AG84" s="22" t="s">
        <v>86</v>
      </c>
      <c r="AH84" s="22" t="s">
        <v>86</v>
      </c>
      <c r="AI84" s="22" t="s">
        <v>86</v>
      </c>
      <c r="AJ84" s="22" t="s">
        <v>86</v>
      </c>
      <c r="AK84" s="22" t="s">
        <v>86</v>
      </c>
      <c r="AL84" s="22" t="str">
        <f t="shared" si="182"/>
        <v>unc</v>
      </c>
      <c r="AM84" s="22" t="str">
        <f t="shared" si="183"/>
        <v>unc</v>
      </c>
      <c r="AN84" s="22" t="str">
        <f t="shared" si="184"/>
        <v>unc</v>
      </c>
      <c r="AO84" s="22" t="str">
        <f t="shared" si="185"/>
        <v>unc</v>
      </c>
      <c r="AP84" s="22" t="str">
        <f t="shared" si="186"/>
        <v>unc</v>
      </c>
      <c r="AQ84" s="22" t="str">
        <f t="shared" si="187"/>
        <v>unc</v>
      </c>
      <c r="AR84" s="22" t="str">
        <f t="shared" si="188"/>
        <v>unc</v>
      </c>
      <c r="AS84" s="22" t="str">
        <f t="shared" si="189"/>
        <v>unc</v>
      </c>
      <c r="AT84" s="22" t="str">
        <f t="shared" si="190"/>
        <v>unc</v>
      </c>
      <c r="AU84" s="22" t="str">
        <f t="shared" si="191"/>
        <v>unc</v>
      </c>
    </row>
    <row r="85" spans="1:47" ht="15.5" x14ac:dyDescent="0.35">
      <c r="A85" s="171" t="str">
        <f t="shared" si="216"/>
        <v>LEAST_CNST_NO_COAL_NUC</v>
      </c>
      <c r="B85" s="25">
        <v>1</v>
      </c>
      <c r="C85" s="25" t="s">
        <v>85</v>
      </c>
      <c r="D85" s="25" t="s">
        <v>27</v>
      </c>
      <c r="E85" s="26" t="s">
        <v>33</v>
      </c>
      <c r="F85" s="26" t="s">
        <v>29</v>
      </c>
      <c r="G85" s="27"/>
      <c r="H85" s="27"/>
      <c r="I85" s="27"/>
      <c r="J85" s="27"/>
      <c r="K85" s="27"/>
      <c r="L85" s="27" t="s">
        <v>86</v>
      </c>
      <c r="M85" s="27" t="s">
        <v>86</v>
      </c>
      <c r="N85" s="27" t="s">
        <v>86</v>
      </c>
      <c r="O85" s="27" t="s">
        <v>86</v>
      </c>
      <c r="P85" s="27" t="s">
        <v>86</v>
      </c>
      <c r="Q85" s="27" t="s">
        <v>86</v>
      </c>
      <c r="R85" s="27" t="s">
        <v>86</v>
      </c>
      <c r="S85" s="27" t="s">
        <v>86</v>
      </c>
      <c r="T85" s="27" t="s">
        <v>86</v>
      </c>
      <c r="U85" s="27" t="s">
        <v>86</v>
      </c>
      <c r="V85" s="27" t="s">
        <v>86</v>
      </c>
      <c r="W85" s="27" t="s">
        <v>86</v>
      </c>
      <c r="X85" s="27" t="s">
        <v>86</v>
      </c>
      <c r="Y85" s="27" t="s">
        <v>86</v>
      </c>
      <c r="Z85" s="27" t="s">
        <v>86</v>
      </c>
      <c r="AA85" s="27" t="s">
        <v>86</v>
      </c>
      <c r="AB85" s="27" t="s">
        <v>86</v>
      </c>
      <c r="AC85" s="27" t="s">
        <v>86</v>
      </c>
      <c r="AD85" s="27" t="s">
        <v>86</v>
      </c>
      <c r="AE85" s="27" t="s">
        <v>86</v>
      </c>
      <c r="AF85" s="27" t="s">
        <v>86</v>
      </c>
      <c r="AG85" s="27" t="s">
        <v>86</v>
      </c>
      <c r="AH85" s="27" t="s">
        <v>86</v>
      </c>
      <c r="AI85" s="27" t="s">
        <v>86</v>
      </c>
      <c r="AJ85" s="27" t="s">
        <v>86</v>
      </c>
      <c r="AK85" s="27" t="s">
        <v>86</v>
      </c>
      <c r="AL85" s="22" t="str">
        <f t="shared" si="182"/>
        <v>unc</v>
      </c>
      <c r="AM85" s="22" t="str">
        <f t="shared" si="183"/>
        <v>unc</v>
      </c>
      <c r="AN85" s="22" t="str">
        <f t="shared" si="184"/>
        <v>unc</v>
      </c>
      <c r="AO85" s="22" t="str">
        <f t="shared" si="185"/>
        <v>unc</v>
      </c>
      <c r="AP85" s="22" t="str">
        <f t="shared" si="186"/>
        <v>unc</v>
      </c>
      <c r="AQ85" s="22" t="str">
        <f t="shared" si="187"/>
        <v>unc</v>
      </c>
      <c r="AR85" s="22" t="str">
        <f t="shared" si="188"/>
        <v>unc</v>
      </c>
      <c r="AS85" s="22" t="str">
        <f t="shared" si="189"/>
        <v>unc</v>
      </c>
      <c r="AT85" s="22" t="str">
        <f t="shared" si="190"/>
        <v>unc</v>
      </c>
      <c r="AU85" s="22" t="str">
        <f t="shared" si="191"/>
        <v>unc</v>
      </c>
    </row>
    <row r="86" spans="1:47" ht="15.5" x14ac:dyDescent="0.35">
      <c r="A86" s="172" t="s">
        <v>130</v>
      </c>
      <c r="B86" s="28">
        <v>1</v>
      </c>
      <c r="C86" s="28" t="s">
        <v>85</v>
      </c>
      <c r="D86" s="28" t="s">
        <v>7</v>
      </c>
      <c r="E86" s="15" t="s">
        <v>10</v>
      </c>
      <c r="F86" s="15" t="s">
        <v>9</v>
      </c>
      <c r="G86" s="22"/>
      <c r="H86" s="22"/>
      <c r="I86" s="22"/>
      <c r="J86" s="22"/>
      <c r="K86" s="22"/>
      <c r="L86" s="22" t="s">
        <v>86</v>
      </c>
      <c r="M86" s="22" t="s">
        <v>86</v>
      </c>
      <c r="N86" s="22" t="s">
        <v>86</v>
      </c>
      <c r="O86" s="22" t="s">
        <v>86</v>
      </c>
      <c r="P86" s="22" t="s">
        <v>86</v>
      </c>
      <c r="Q86" s="22" t="s">
        <v>86</v>
      </c>
      <c r="R86" s="22" t="s">
        <v>86</v>
      </c>
      <c r="S86" s="22" t="str">
        <f t="shared" ref="S86:S87" si="232">R86</f>
        <v>unc</v>
      </c>
      <c r="T86" s="22" t="str">
        <f t="shared" ref="T86:T87" si="233">S86</f>
        <v>unc</v>
      </c>
      <c r="U86" s="22" t="str">
        <f t="shared" ref="U86:U87" si="234">T86</f>
        <v>unc</v>
      </c>
      <c r="V86" s="22" t="str">
        <f t="shared" ref="V86:V87" si="235">U86</f>
        <v>unc</v>
      </c>
      <c r="W86" s="22" t="str">
        <f t="shared" ref="W86:W87" si="236">V86</f>
        <v>unc</v>
      </c>
      <c r="X86" s="22" t="str">
        <f t="shared" ref="X86:X87" si="237">W86</f>
        <v>unc</v>
      </c>
      <c r="Y86" s="22" t="str">
        <f t="shared" ref="Y86:Y87" si="238">X86</f>
        <v>unc</v>
      </c>
      <c r="Z86" s="22" t="str">
        <f t="shared" ref="Z86:Z87" si="239">Y86</f>
        <v>unc</v>
      </c>
      <c r="AA86" s="22" t="str">
        <f t="shared" ref="AA86:AA87" si="240">Z86</f>
        <v>unc</v>
      </c>
      <c r="AB86" s="22" t="str">
        <f t="shared" ref="AB86:AB87" si="241">AA86</f>
        <v>unc</v>
      </c>
      <c r="AC86" s="22" t="str">
        <f t="shared" ref="AC86:AC87" si="242">AB86</f>
        <v>unc</v>
      </c>
      <c r="AD86" s="22" t="str">
        <f t="shared" ref="AD86:AD87" si="243">AC86</f>
        <v>unc</v>
      </c>
      <c r="AE86" s="22" t="str">
        <f t="shared" ref="AE86:AE87" si="244">AD86</f>
        <v>unc</v>
      </c>
      <c r="AF86" s="22" t="str">
        <f t="shared" ref="AF86:AF87" si="245">AE86</f>
        <v>unc</v>
      </c>
      <c r="AG86" s="22" t="str">
        <f t="shared" ref="AG86:AG87" si="246">AF86</f>
        <v>unc</v>
      </c>
      <c r="AH86" s="22" t="str">
        <f t="shared" ref="AH86:AH87" si="247">AG86</f>
        <v>unc</v>
      </c>
      <c r="AI86" s="22" t="str">
        <f t="shared" ref="AI86:AI87" si="248">AH86</f>
        <v>unc</v>
      </c>
      <c r="AJ86" s="22" t="str">
        <f t="shared" ref="AJ86:AJ87" si="249">AI86</f>
        <v>unc</v>
      </c>
      <c r="AK86" s="22" t="str">
        <f t="shared" ref="AK86:AK87" si="250">AJ86</f>
        <v>unc</v>
      </c>
      <c r="AL86" s="22" t="str">
        <f t="shared" si="182"/>
        <v>unc</v>
      </c>
      <c r="AM86" s="22" t="str">
        <f t="shared" si="183"/>
        <v>unc</v>
      </c>
      <c r="AN86" s="22" t="str">
        <f t="shared" si="184"/>
        <v>unc</v>
      </c>
      <c r="AO86" s="22" t="str">
        <f t="shared" si="185"/>
        <v>unc</v>
      </c>
      <c r="AP86" s="22" t="str">
        <f t="shared" si="186"/>
        <v>unc</v>
      </c>
      <c r="AQ86" s="22" t="str">
        <f t="shared" si="187"/>
        <v>unc</v>
      </c>
      <c r="AR86" s="22" t="str">
        <f t="shared" si="188"/>
        <v>unc</v>
      </c>
      <c r="AS86" s="22" t="str">
        <f t="shared" si="189"/>
        <v>unc</v>
      </c>
      <c r="AT86" s="22" t="str">
        <f t="shared" si="190"/>
        <v>unc</v>
      </c>
      <c r="AU86" s="22" t="str">
        <f t="shared" si="191"/>
        <v>unc</v>
      </c>
    </row>
    <row r="87" spans="1:47" ht="15.5" x14ac:dyDescent="0.35">
      <c r="A87" s="172" t="str">
        <f t="shared" ref="A87:A98" si="251">A86</f>
        <v>MOD_CNST_NO_COAL_NUC</v>
      </c>
      <c r="B87" s="29">
        <v>1</v>
      </c>
      <c r="C87" s="29" t="s">
        <v>85</v>
      </c>
      <c r="D87" s="29" t="s">
        <v>7</v>
      </c>
      <c r="E87" s="14" t="s">
        <v>11</v>
      </c>
      <c r="F87" s="14" t="s">
        <v>9</v>
      </c>
      <c r="G87" s="22"/>
      <c r="H87" s="22"/>
      <c r="I87" s="22"/>
      <c r="J87" s="22"/>
      <c r="K87" s="22"/>
      <c r="L87" s="22" t="s">
        <v>86</v>
      </c>
      <c r="M87" s="22" t="s">
        <v>86</v>
      </c>
      <c r="N87" s="22" t="s">
        <v>86</v>
      </c>
      <c r="O87" s="22" t="s">
        <v>86</v>
      </c>
      <c r="P87" s="22" t="s">
        <v>86</v>
      </c>
      <c r="Q87" s="22" t="s">
        <v>86</v>
      </c>
      <c r="R87" s="22" t="s">
        <v>86</v>
      </c>
      <c r="S87" s="22" t="str">
        <f t="shared" si="232"/>
        <v>unc</v>
      </c>
      <c r="T87" s="22" t="str">
        <f t="shared" si="233"/>
        <v>unc</v>
      </c>
      <c r="U87" s="22" t="str">
        <f t="shared" si="234"/>
        <v>unc</v>
      </c>
      <c r="V87" s="22" t="str">
        <f t="shared" si="235"/>
        <v>unc</v>
      </c>
      <c r="W87" s="22" t="str">
        <f t="shared" si="236"/>
        <v>unc</v>
      </c>
      <c r="X87" s="22" t="str">
        <f t="shared" si="237"/>
        <v>unc</v>
      </c>
      <c r="Y87" s="22" t="str">
        <f t="shared" si="238"/>
        <v>unc</v>
      </c>
      <c r="Z87" s="22" t="str">
        <f t="shared" si="239"/>
        <v>unc</v>
      </c>
      <c r="AA87" s="22" t="str">
        <f t="shared" si="240"/>
        <v>unc</v>
      </c>
      <c r="AB87" s="22" t="str">
        <f t="shared" si="241"/>
        <v>unc</v>
      </c>
      <c r="AC87" s="22" t="str">
        <f t="shared" si="242"/>
        <v>unc</v>
      </c>
      <c r="AD87" s="22" t="str">
        <f t="shared" si="243"/>
        <v>unc</v>
      </c>
      <c r="AE87" s="22" t="str">
        <f t="shared" si="244"/>
        <v>unc</v>
      </c>
      <c r="AF87" s="22" t="str">
        <f t="shared" si="245"/>
        <v>unc</v>
      </c>
      <c r="AG87" s="22" t="str">
        <f t="shared" si="246"/>
        <v>unc</v>
      </c>
      <c r="AH87" s="22" t="str">
        <f t="shared" si="247"/>
        <v>unc</v>
      </c>
      <c r="AI87" s="22" t="str">
        <f t="shared" si="248"/>
        <v>unc</v>
      </c>
      <c r="AJ87" s="22" t="str">
        <f t="shared" si="249"/>
        <v>unc</v>
      </c>
      <c r="AK87" s="22" t="str">
        <f t="shared" si="250"/>
        <v>unc</v>
      </c>
      <c r="AL87" s="22" t="str">
        <f t="shared" si="182"/>
        <v>unc</v>
      </c>
      <c r="AM87" s="22" t="str">
        <f t="shared" si="183"/>
        <v>unc</v>
      </c>
      <c r="AN87" s="22" t="str">
        <f t="shared" si="184"/>
        <v>unc</v>
      </c>
      <c r="AO87" s="22" t="str">
        <f t="shared" si="185"/>
        <v>unc</v>
      </c>
      <c r="AP87" s="22" t="str">
        <f t="shared" si="186"/>
        <v>unc</v>
      </c>
      <c r="AQ87" s="22" t="str">
        <f t="shared" si="187"/>
        <v>unc</v>
      </c>
      <c r="AR87" s="22" t="str">
        <f t="shared" si="188"/>
        <v>unc</v>
      </c>
      <c r="AS87" s="22" t="str">
        <f t="shared" si="189"/>
        <v>unc</v>
      </c>
      <c r="AT87" s="22" t="str">
        <f t="shared" si="190"/>
        <v>unc</v>
      </c>
      <c r="AU87" s="22" t="str">
        <f t="shared" si="191"/>
        <v>unc</v>
      </c>
    </row>
    <row r="88" spans="1:47" ht="15.5" x14ac:dyDescent="0.35">
      <c r="A88" s="172" t="str">
        <f t="shared" si="251"/>
        <v>MOD_CNST_NO_COAL_NUC</v>
      </c>
      <c r="B88" s="28">
        <v>1</v>
      </c>
      <c r="C88" s="28" t="s">
        <v>85</v>
      </c>
      <c r="D88" s="28" t="s">
        <v>7</v>
      </c>
      <c r="E88" s="15" t="s">
        <v>8</v>
      </c>
      <c r="F88" s="15" t="s">
        <v>9</v>
      </c>
      <c r="G88" s="22"/>
      <c r="H88" s="22"/>
      <c r="I88" s="22"/>
      <c r="J88" s="22"/>
      <c r="K88" s="22"/>
      <c r="L88" s="22">
        <v>4624</v>
      </c>
      <c r="M88" s="22">
        <v>5299</v>
      </c>
      <c r="N88" s="22">
        <v>5974</v>
      </c>
      <c r="O88" s="22">
        <v>6649</v>
      </c>
      <c r="P88" s="22">
        <v>7324</v>
      </c>
      <c r="Q88" s="22">
        <v>7999</v>
      </c>
      <c r="R88" s="22">
        <v>8674</v>
      </c>
      <c r="S88" s="22">
        <v>9349</v>
      </c>
      <c r="T88" s="22">
        <v>10024</v>
      </c>
      <c r="U88" s="22">
        <v>10699</v>
      </c>
      <c r="V88" s="22">
        <v>11374</v>
      </c>
      <c r="W88" s="22">
        <v>11374</v>
      </c>
      <c r="X88" s="22">
        <v>11374</v>
      </c>
      <c r="Y88" s="22">
        <v>11374</v>
      </c>
      <c r="Z88" s="22">
        <v>11374</v>
      </c>
      <c r="AA88" s="22">
        <v>11374</v>
      </c>
      <c r="AB88" s="22">
        <v>11374</v>
      </c>
      <c r="AC88" s="22">
        <v>11374</v>
      </c>
      <c r="AD88" s="22">
        <v>11374</v>
      </c>
      <c r="AE88" s="22">
        <v>11374</v>
      </c>
      <c r="AF88" s="22">
        <v>11374</v>
      </c>
      <c r="AG88" s="22">
        <v>11374</v>
      </c>
      <c r="AH88" s="22">
        <v>11374</v>
      </c>
      <c r="AI88" s="22">
        <v>11374</v>
      </c>
      <c r="AJ88" s="22">
        <v>11374</v>
      </c>
      <c r="AK88" s="22">
        <v>11374</v>
      </c>
      <c r="AL88" s="22">
        <v>11374</v>
      </c>
      <c r="AM88" s="22">
        <v>11374</v>
      </c>
      <c r="AN88" s="22">
        <v>11374</v>
      </c>
      <c r="AO88" s="22">
        <v>11374</v>
      </c>
      <c r="AP88" s="22">
        <v>11374</v>
      </c>
      <c r="AQ88" s="22">
        <v>11374</v>
      </c>
      <c r="AR88" s="22">
        <v>11374</v>
      </c>
      <c r="AS88" s="22">
        <v>11374</v>
      </c>
      <c r="AT88" s="22">
        <v>11374</v>
      </c>
      <c r="AU88" s="22">
        <v>11374</v>
      </c>
    </row>
    <row r="89" spans="1:47" ht="15.5" x14ac:dyDescent="0.35">
      <c r="A89" s="172" t="str">
        <f t="shared" si="251"/>
        <v>MOD_CNST_NO_COAL_NUC</v>
      </c>
      <c r="B89" s="29">
        <v>1</v>
      </c>
      <c r="C89" s="29" t="s">
        <v>85</v>
      </c>
      <c r="D89" s="29" t="s">
        <v>7</v>
      </c>
      <c r="E89" s="14" t="s">
        <v>12</v>
      </c>
      <c r="F89" s="14" t="s">
        <v>9</v>
      </c>
      <c r="G89" s="22"/>
      <c r="H89" s="22"/>
      <c r="I89" s="22"/>
      <c r="J89" s="22"/>
      <c r="K89" s="22"/>
      <c r="L89" s="22" t="s">
        <v>86</v>
      </c>
      <c r="M89" s="22" t="s">
        <v>86</v>
      </c>
      <c r="N89" s="22" t="s">
        <v>86</v>
      </c>
      <c r="O89" s="22" t="s">
        <v>86</v>
      </c>
      <c r="P89" s="22" t="s">
        <v>86</v>
      </c>
      <c r="Q89" s="22" t="s">
        <v>86</v>
      </c>
      <c r="R89" s="22" t="s">
        <v>86</v>
      </c>
      <c r="S89" s="22" t="str">
        <f t="shared" ref="S89:S99" si="252">R89</f>
        <v>unc</v>
      </c>
      <c r="T89" s="22" t="str">
        <f t="shared" ref="T89:T99" si="253">S89</f>
        <v>unc</v>
      </c>
      <c r="U89" s="22" t="str">
        <f t="shared" ref="U89:U99" si="254">T89</f>
        <v>unc</v>
      </c>
      <c r="V89" s="22" t="str">
        <f t="shared" ref="V89:V99" si="255">U89</f>
        <v>unc</v>
      </c>
      <c r="W89" s="22" t="str">
        <f t="shared" ref="W89:W99" si="256">V89</f>
        <v>unc</v>
      </c>
      <c r="X89" s="22" t="str">
        <f t="shared" ref="X89:X102" si="257">W89</f>
        <v>unc</v>
      </c>
      <c r="Y89" s="22" t="str">
        <f t="shared" ref="Y89:Y102" si="258">X89</f>
        <v>unc</v>
      </c>
      <c r="Z89" s="22" t="str">
        <f t="shared" ref="Z89:Z102" si="259">Y89</f>
        <v>unc</v>
      </c>
      <c r="AA89" s="22" t="str">
        <f t="shared" ref="AA89:AA102" si="260">Z89</f>
        <v>unc</v>
      </c>
      <c r="AB89" s="22" t="str">
        <f t="shared" ref="AB89:AB107" si="261">AA89</f>
        <v>unc</v>
      </c>
      <c r="AC89" s="22" t="str">
        <f t="shared" ref="AC89:AC107" si="262">AB89</f>
        <v>unc</v>
      </c>
      <c r="AD89" s="22" t="str">
        <f t="shared" ref="AD89:AD107" si="263">AC89</f>
        <v>unc</v>
      </c>
      <c r="AE89" s="22" t="str">
        <f t="shared" ref="AE89:AE107" si="264">AD89</f>
        <v>unc</v>
      </c>
      <c r="AF89" s="22" t="str">
        <f t="shared" ref="AF89:AF107" si="265">AE89</f>
        <v>unc</v>
      </c>
      <c r="AG89" s="22" t="str">
        <f t="shared" ref="AG89:AG107" si="266">AF89</f>
        <v>unc</v>
      </c>
      <c r="AH89" s="22" t="str">
        <f t="shared" ref="AH89:AH107" si="267">AG89</f>
        <v>unc</v>
      </c>
      <c r="AI89" s="22" t="str">
        <f t="shared" ref="AI89:AI107" si="268">AH89</f>
        <v>unc</v>
      </c>
      <c r="AJ89" s="22" t="str">
        <f t="shared" ref="AJ89:AJ107" si="269">AI89</f>
        <v>unc</v>
      </c>
      <c r="AK89" s="22" t="str">
        <f t="shared" ref="AK89:AK107" si="270">AJ89</f>
        <v>unc</v>
      </c>
      <c r="AL89" s="22" t="str">
        <f t="shared" ref="AL89:AL108" si="271">AK89</f>
        <v>unc</v>
      </c>
      <c r="AM89" s="22" t="str">
        <f t="shared" ref="AM89:AM108" si="272">AL89</f>
        <v>unc</v>
      </c>
      <c r="AN89" s="22" t="str">
        <f t="shared" ref="AN89:AN108" si="273">AM89</f>
        <v>unc</v>
      </c>
      <c r="AO89" s="22" t="str">
        <f t="shared" ref="AO89:AO108" si="274">AN89</f>
        <v>unc</v>
      </c>
      <c r="AP89" s="22" t="str">
        <f t="shared" ref="AP89:AP108" si="275">AO89</f>
        <v>unc</v>
      </c>
      <c r="AQ89" s="22" t="str">
        <f t="shared" ref="AQ89:AQ108" si="276">AP89</f>
        <v>unc</v>
      </c>
      <c r="AR89" s="22" t="str">
        <f t="shared" ref="AR89:AR108" si="277">AQ89</f>
        <v>unc</v>
      </c>
      <c r="AS89" s="22" t="str">
        <f t="shared" ref="AS89:AS108" si="278">AR89</f>
        <v>unc</v>
      </c>
      <c r="AT89" s="22" t="str">
        <f t="shared" ref="AT89:AT108" si="279">AS89</f>
        <v>unc</v>
      </c>
      <c r="AU89" s="22" t="str">
        <f t="shared" ref="AU89:AU108" si="280">AT89</f>
        <v>unc</v>
      </c>
    </row>
    <row r="90" spans="1:47" ht="15.5" x14ac:dyDescent="0.35">
      <c r="A90" s="172" t="str">
        <f t="shared" si="251"/>
        <v>MOD_CNST_NO_COAL_NUC</v>
      </c>
      <c r="B90" s="28">
        <v>1</v>
      </c>
      <c r="C90" s="28" t="s">
        <v>85</v>
      </c>
      <c r="D90" s="28" t="s">
        <v>7</v>
      </c>
      <c r="E90" s="15" t="s">
        <v>13</v>
      </c>
      <c r="F90" s="15" t="s">
        <v>9</v>
      </c>
      <c r="G90" s="22"/>
      <c r="H90" s="22"/>
      <c r="I90" s="22"/>
      <c r="J90" s="22"/>
      <c r="K90" s="22"/>
      <c r="L90" s="22" t="s">
        <v>86</v>
      </c>
      <c r="M90" s="22" t="s">
        <v>86</v>
      </c>
      <c r="N90" s="22" t="s">
        <v>86</v>
      </c>
      <c r="O90" s="22" t="s">
        <v>86</v>
      </c>
      <c r="P90" s="22" t="s">
        <v>86</v>
      </c>
      <c r="Q90" s="22">
        <v>9000</v>
      </c>
      <c r="R90" s="22" t="s">
        <v>86</v>
      </c>
      <c r="S90" s="22" t="str">
        <f t="shared" si="252"/>
        <v>unc</v>
      </c>
      <c r="T90" s="22" t="str">
        <f t="shared" si="253"/>
        <v>unc</v>
      </c>
      <c r="U90" s="22" t="str">
        <f t="shared" si="254"/>
        <v>unc</v>
      </c>
      <c r="V90" s="22" t="str">
        <f t="shared" si="255"/>
        <v>unc</v>
      </c>
      <c r="W90" s="22" t="str">
        <f t="shared" si="256"/>
        <v>unc</v>
      </c>
      <c r="X90" s="22" t="str">
        <f t="shared" si="257"/>
        <v>unc</v>
      </c>
      <c r="Y90" s="22" t="str">
        <f t="shared" si="258"/>
        <v>unc</v>
      </c>
      <c r="Z90" s="22" t="str">
        <f t="shared" si="259"/>
        <v>unc</v>
      </c>
      <c r="AA90" s="22" t="str">
        <f t="shared" si="260"/>
        <v>unc</v>
      </c>
      <c r="AB90" s="22" t="str">
        <f t="shared" si="261"/>
        <v>unc</v>
      </c>
      <c r="AC90" s="22" t="str">
        <f t="shared" si="262"/>
        <v>unc</v>
      </c>
      <c r="AD90" s="22" t="str">
        <f t="shared" si="263"/>
        <v>unc</v>
      </c>
      <c r="AE90" s="22" t="str">
        <f t="shared" si="264"/>
        <v>unc</v>
      </c>
      <c r="AF90" s="22" t="str">
        <f t="shared" si="265"/>
        <v>unc</v>
      </c>
      <c r="AG90" s="22" t="str">
        <f t="shared" si="266"/>
        <v>unc</v>
      </c>
      <c r="AH90" s="22" t="str">
        <f t="shared" si="267"/>
        <v>unc</v>
      </c>
      <c r="AI90" s="22" t="str">
        <f t="shared" si="268"/>
        <v>unc</v>
      </c>
      <c r="AJ90" s="22" t="str">
        <f t="shared" si="269"/>
        <v>unc</v>
      </c>
      <c r="AK90" s="22" t="str">
        <f t="shared" si="270"/>
        <v>unc</v>
      </c>
      <c r="AL90" s="22" t="str">
        <f t="shared" si="271"/>
        <v>unc</v>
      </c>
      <c r="AM90" s="22" t="str">
        <f t="shared" si="272"/>
        <v>unc</v>
      </c>
      <c r="AN90" s="22" t="str">
        <f t="shared" si="273"/>
        <v>unc</v>
      </c>
      <c r="AO90" s="22" t="str">
        <f t="shared" si="274"/>
        <v>unc</v>
      </c>
      <c r="AP90" s="22" t="str">
        <f t="shared" si="275"/>
        <v>unc</v>
      </c>
      <c r="AQ90" s="22" t="str">
        <f t="shared" si="276"/>
        <v>unc</v>
      </c>
      <c r="AR90" s="22" t="str">
        <f t="shared" si="277"/>
        <v>unc</v>
      </c>
      <c r="AS90" s="22" t="str">
        <f t="shared" si="278"/>
        <v>unc</v>
      </c>
      <c r="AT90" s="22" t="str">
        <f t="shared" si="279"/>
        <v>unc</v>
      </c>
      <c r="AU90" s="22" t="str">
        <f t="shared" si="280"/>
        <v>unc</v>
      </c>
    </row>
    <row r="91" spans="1:47" ht="15.5" x14ac:dyDescent="0.35">
      <c r="A91" s="172" t="str">
        <f t="shared" si="251"/>
        <v>MOD_CNST_NO_COAL_NUC</v>
      </c>
      <c r="B91" s="29">
        <v>1</v>
      </c>
      <c r="C91" s="29" t="s">
        <v>85</v>
      </c>
      <c r="D91" s="29" t="s">
        <v>7</v>
      </c>
      <c r="E91" s="14" t="s">
        <v>14</v>
      </c>
      <c r="F91" s="14" t="s">
        <v>9</v>
      </c>
      <c r="G91" s="22"/>
      <c r="H91" s="22"/>
      <c r="I91" s="22"/>
      <c r="J91" s="22"/>
      <c r="K91" s="22"/>
      <c r="L91" s="22" t="s">
        <v>86</v>
      </c>
      <c r="M91" s="22" t="s">
        <v>86</v>
      </c>
      <c r="N91" s="22" t="s">
        <v>86</v>
      </c>
      <c r="O91" s="22" t="s">
        <v>86</v>
      </c>
      <c r="P91" s="22" t="s">
        <v>86</v>
      </c>
      <c r="Q91" s="22" t="s">
        <v>86</v>
      </c>
      <c r="R91" s="22" t="s">
        <v>86</v>
      </c>
      <c r="S91" s="22" t="str">
        <f t="shared" si="252"/>
        <v>unc</v>
      </c>
      <c r="T91" s="22" t="str">
        <f t="shared" si="253"/>
        <v>unc</v>
      </c>
      <c r="U91" s="22" t="str">
        <f t="shared" si="254"/>
        <v>unc</v>
      </c>
      <c r="V91" s="22" t="str">
        <f t="shared" si="255"/>
        <v>unc</v>
      </c>
      <c r="W91" s="22" t="str">
        <f t="shared" si="256"/>
        <v>unc</v>
      </c>
      <c r="X91" s="22" t="str">
        <f t="shared" si="257"/>
        <v>unc</v>
      </c>
      <c r="Y91" s="22" t="str">
        <f t="shared" si="258"/>
        <v>unc</v>
      </c>
      <c r="Z91" s="22" t="str">
        <f t="shared" si="259"/>
        <v>unc</v>
      </c>
      <c r="AA91" s="22" t="str">
        <f t="shared" si="260"/>
        <v>unc</v>
      </c>
      <c r="AB91" s="22" t="str">
        <f t="shared" si="261"/>
        <v>unc</v>
      </c>
      <c r="AC91" s="22" t="str">
        <f t="shared" si="262"/>
        <v>unc</v>
      </c>
      <c r="AD91" s="22" t="str">
        <f t="shared" si="263"/>
        <v>unc</v>
      </c>
      <c r="AE91" s="22" t="str">
        <f t="shared" si="264"/>
        <v>unc</v>
      </c>
      <c r="AF91" s="22" t="str">
        <f t="shared" si="265"/>
        <v>unc</v>
      </c>
      <c r="AG91" s="22" t="str">
        <f t="shared" si="266"/>
        <v>unc</v>
      </c>
      <c r="AH91" s="22" t="str">
        <f t="shared" si="267"/>
        <v>unc</v>
      </c>
      <c r="AI91" s="22" t="str">
        <f t="shared" si="268"/>
        <v>unc</v>
      </c>
      <c r="AJ91" s="22" t="str">
        <f t="shared" si="269"/>
        <v>unc</v>
      </c>
      <c r="AK91" s="22" t="str">
        <f t="shared" si="270"/>
        <v>unc</v>
      </c>
      <c r="AL91" s="22" t="str">
        <f t="shared" si="271"/>
        <v>unc</v>
      </c>
      <c r="AM91" s="22" t="str">
        <f t="shared" si="272"/>
        <v>unc</v>
      </c>
      <c r="AN91" s="22" t="str">
        <f t="shared" si="273"/>
        <v>unc</v>
      </c>
      <c r="AO91" s="22" t="str">
        <f t="shared" si="274"/>
        <v>unc</v>
      </c>
      <c r="AP91" s="22" t="str">
        <f t="shared" si="275"/>
        <v>unc</v>
      </c>
      <c r="AQ91" s="22" t="str">
        <f t="shared" si="276"/>
        <v>unc</v>
      </c>
      <c r="AR91" s="22" t="str">
        <f t="shared" si="277"/>
        <v>unc</v>
      </c>
      <c r="AS91" s="22" t="str">
        <f t="shared" si="278"/>
        <v>unc</v>
      </c>
      <c r="AT91" s="22" t="str">
        <f t="shared" si="279"/>
        <v>unc</v>
      </c>
      <c r="AU91" s="22" t="str">
        <f t="shared" si="280"/>
        <v>unc</v>
      </c>
    </row>
    <row r="92" spans="1:47" ht="15.5" x14ac:dyDescent="0.35">
      <c r="A92" s="172" t="str">
        <f t="shared" si="251"/>
        <v>MOD_CNST_NO_COAL_NUC</v>
      </c>
      <c r="B92" s="28">
        <v>1</v>
      </c>
      <c r="C92" s="28" t="s">
        <v>85</v>
      </c>
      <c r="D92" s="28" t="s">
        <v>7</v>
      </c>
      <c r="E92" s="15" t="s">
        <v>15</v>
      </c>
      <c r="F92" s="15" t="s">
        <v>16</v>
      </c>
      <c r="G92" s="22"/>
      <c r="H92" s="22"/>
      <c r="I92" s="22"/>
      <c r="J92" s="22"/>
      <c r="K92" s="22"/>
      <c r="L92" s="22" t="s">
        <v>86</v>
      </c>
      <c r="M92" s="22" t="s">
        <v>86</v>
      </c>
      <c r="N92" s="22" t="s">
        <v>86</v>
      </c>
      <c r="O92" s="22" t="s">
        <v>86</v>
      </c>
      <c r="P92" s="22" t="s">
        <v>86</v>
      </c>
      <c r="Q92" s="22" t="s">
        <v>86</v>
      </c>
      <c r="R92" s="22" t="s">
        <v>86</v>
      </c>
      <c r="S92" s="22" t="str">
        <f t="shared" si="252"/>
        <v>unc</v>
      </c>
      <c r="T92" s="22" t="str">
        <f t="shared" si="253"/>
        <v>unc</v>
      </c>
      <c r="U92" s="22" t="str">
        <f t="shared" si="254"/>
        <v>unc</v>
      </c>
      <c r="V92" s="22" t="str">
        <f t="shared" si="255"/>
        <v>unc</v>
      </c>
      <c r="W92" s="22" t="str">
        <f t="shared" si="256"/>
        <v>unc</v>
      </c>
      <c r="X92" s="22" t="str">
        <f t="shared" si="257"/>
        <v>unc</v>
      </c>
      <c r="Y92" s="22" t="str">
        <f t="shared" si="258"/>
        <v>unc</v>
      </c>
      <c r="Z92" s="22" t="str">
        <f t="shared" si="259"/>
        <v>unc</v>
      </c>
      <c r="AA92" s="22" t="str">
        <f t="shared" si="260"/>
        <v>unc</v>
      </c>
      <c r="AB92" s="22" t="str">
        <f t="shared" si="261"/>
        <v>unc</v>
      </c>
      <c r="AC92" s="22" t="str">
        <f t="shared" si="262"/>
        <v>unc</v>
      </c>
      <c r="AD92" s="22" t="str">
        <f t="shared" si="263"/>
        <v>unc</v>
      </c>
      <c r="AE92" s="22" t="str">
        <f t="shared" si="264"/>
        <v>unc</v>
      </c>
      <c r="AF92" s="22" t="str">
        <f t="shared" si="265"/>
        <v>unc</v>
      </c>
      <c r="AG92" s="22" t="str">
        <f t="shared" si="266"/>
        <v>unc</v>
      </c>
      <c r="AH92" s="22" t="str">
        <f t="shared" si="267"/>
        <v>unc</v>
      </c>
      <c r="AI92" s="22" t="str">
        <f t="shared" si="268"/>
        <v>unc</v>
      </c>
      <c r="AJ92" s="22" t="str">
        <f t="shared" si="269"/>
        <v>unc</v>
      </c>
      <c r="AK92" s="22" t="str">
        <f t="shared" si="270"/>
        <v>unc</v>
      </c>
      <c r="AL92" s="22" t="str">
        <f t="shared" si="271"/>
        <v>unc</v>
      </c>
      <c r="AM92" s="22" t="str">
        <f t="shared" si="272"/>
        <v>unc</v>
      </c>
      <c r="AN92" s="22" t="str">
        <f t="shared" si="273"/>
        <v>unc</v>
      </c>
      <c r="AO92" s="22" t="str">
        <f t="shared" si="274"/>
        <v>unc</v>
      </c>
      <c r="AP92" s="22" t="str">
        <f t="shared" si="275"/>
        <v>unc</v>
      </c>
      <c r="AQ92" s="22" t="str">
        <f t="shared" si="276"/>
        <v>unc</v>
      </c>
      <c r="AR92" s="22" t="str">
        <f t="shared" si="277"/>
        <v>unc</v>
      </c>
      <c r="AS92" s="22" t="str">
        <f t="shared" si="278"/>
        <v>unc</v>
      </c>
      <c r="AT92" s="22" t="str">
        <f t="shared" si="279"/>
        <v>unc</v>
      </c>
      <c r="AU92" s="22" t="str">
        <f t="shared" si="280"/>
        <v>unc</v>
      </c>
    </row>
    <row r="93" spans="1:47" ht="15.5" x14ac:dyDescent="0.35">
      <c r="A93" s="172" t="str">
        <f t="shared" si="251"/>
        <v>MOD_CNST_NO_COAL_NUC</v>
      </c>
      <c r="B93" s="29">
        <v>1</v>
      </c>
      <c r="C93" s="29" t="s">
        <v>85</v>
      </c>
      <c r="D93" s="29" t="s">
        <v>7</v>
      </c>
      <c r="E93" s="14" t="s">
        <v>17</v>
      </c>
      <c r="F93" s="14" t="s">
        <v>16</v>
      </c>
      <c r="G93" s="22"/>
      <c r="H93" s="22"/>
      <c r="I93" s="22"/>
      <c r="J93" s="22"/>
      <c r="K93" s="22"/>
      <c r="L93" s="22" t="s">
        <v>86</v>
      </c>
      <c r="M93" s="22" t="s">
        <v>86</v>
      </c>
      <c r="N93" s="22" t="s">
        <v>86</v>
      </c>
      <c r="O93" s="22" t="s">
        <v>86</v>
      </c>
      <c r="P93" s="22" t="s">
        <v>86</v>
      </c>
      <c r="Q93" s="22" t="s">
        <v>86</v>
      </c>
      <c r="R93" s="22" t="s">
        <v>86</v>
      </c>
      <c r="S93" s="22" t="str">
        <f t="shared" si="252"/>
        <v>unc</v>
      </c>
      <c r="T93" s="22" t="str">
        <f t="shared" si="253"/>
        <v>unc</v>
      </c>
      <c r="U93" s="22" t="str">
        <f t="shared" si="254"/>
        <v>unc</v>
      </c>
      <c r="V93" s="22" t="str">
        <f t="shared" si="255"/>
        <v>unc</v>
      </c>
      <c r="W93" s="22" t="str">
        <f t="shared" si="256"/>
        <v>unc</v>
      </c>
      <c r="X93" s="22" t="str">
        <f t="shared" si="257"/>
        <v>unc</v>
      </c>
      <c r="Y93" s="22" t="str">
        <f t="shared" si="258"/>
        <v>unc</v>
      </c>
      <c r="Z93" s="22" t="str">
        <f t="shared" si="259"/>
        <v>unc</v>
      </c>
      <c r="AA93" s="22" t="str">
        <f t="shared" si="260"/>
        <v>unc</v>
      </c>
      <c r="AB93" s="22" t="str">
        <f t="shared" si="261"/>
        <v>unc</v>
      </c>
      <c r="AC93" s="22" t="str">
        <f t="shared" si="262"/>
        <v>unc</v>
      </c>
      <c r="AD93" s="22" t="str">
        <f t="shared" si="263"/>
        <v>unc</v>
      </c>
      <c r="AE93" s="22" t="str">
        <f t="shared" si="264"/>
        <v>unc</v>
      </c>
      <c r="AF93" s="22" t="str">
        <f t="shared" si="265"/>
        <v>unc</v>
      </c>
      <c r="AG93" s="22" t="str">
        <f t="shared" si="266"/>
        <v>unc</v>
      </c>
      <c r="AH93" s="22" t="str">
        <f t="shared" si="267"/>
        <v>unc</v>
      </c>
      <c r="AI93" s="22" t="str">
        <f t="shared" si="268"/>
        <v>unc</v>
      </c>
      <c r="AJ93" s="22" t="str">
        <f t="shared" si="269"/>
        <v>unc</v>
      </c>
      <c r="AK93" s="22" t="str">
        <f t="shared" si="270"/>
        <v>unc</v>
      </c>
      <c r="AL93" s="22" t="str">
        <f t="shared" si="271"/>
        <v>unc</v>
      </c>
      <c r="AM93" s="22" t="str">
        <f t="shared" si="272"/>
        <v>unc</v>
      </c>
      <c r="AN93" s="22" t="str">
        <f t="shared" si="273"/>
        <v>unc</v>
      </c>
      <c r="AO93" s="22" t="str">
        <f t="shared" si="274"/>
        <v>unc</v>
      </c>
      <c r="AP93" s="22" t="str">
        <f t="shared" si="275"/>
        <v>unc</v>
      </c>
      <c r="AQ93" s="22" t="str">
        <f t="shared" si="276"/>
        <v>unc</v>
      </c>
      <c r="AR93" s="22" t="str">
        <f t="shared" si="277"/>
        <v>unc</v>
      </c>
      <c r="AS93" s="22" t="str">
        <f t="shared" si="278"/>
        <v>unc</v>
      </c>
      <c r="AT93" s="22" t="str">
        <f t="shared" si="279"/>
        <v>unc</v>
      </c>
      <c r="AU93" s="22" t="str">
        <f t="shared" si="280"/>
        <v>unc</v>
      </c>
    </row>
    <row r="94" spans="1:47" ht="15.5" x14ac:dyDescent="0.35">
      <c r="A94" s="172" t="str">
        <f t="shared" si="251"/>
        <v>MOD_CNST_NO_COAL_NUC</v>
      </c>
      <c r="B94" s="28">
        <v>1</v>
      </c>
      <c r="C94" s="28" t="s">
        <v>85</v>
      </c>
      <c r="D94" s="28" t="s">
        <v>7</v>
      </c>
      <c r="E94" s="15" t="s">
        <v>18</v>
      </c>
      <c r="F94" s="15" t="s">
        <v>16</v>
      </c>
      <c r="G94" s="22"/>
      <c r="H94" s="22"/>
      <c r="I94" s="22"/>
      <c r="J94" s="22"/>
      <c r="K94" s="22"/>
      <c r="L94" s="22" t="s">
        <v>86</v>
      </c>
      <c r="M94" s="22" t="s">
        <v>86</v>
      </c>
      <c r="N94" s="22" t="s">
        <v>86</v>
      </c>
      <c r="O94" s="22" t="s">
        <v>86</v>
      </c>
      <c r="P94" s="22" t="s">
        <v>86</v>
      </c>
      <c r="Q94" s="22" t="s">
        <v>86</v>
      </c>
      <c r="R94" s="22" t="s">
        <v>86</v>
      </c>
      <c r="S94" s="22" t="str">
        <f t="shared" si="252"/>
        <v>unc</v>
      </c>
      <c r="T94" s="22" t="str">
        <f t="shared" si="253"/>
        <v>unc</v>
      </c>
      <c r="U94" s="22" t="str">
        <f t="shared" si="254"/>
        <v>unc</v>
      </c>
      <c r="V94" s="22" t="str">
        <f t="shared" si="255"/>
        <v>unc</v>
      </c>
      <c r="W94" s="22" t="str">
        <f t="shared" si="256"/>
        <v>unc</v>
      </c>
      <c r="X94" s="22" t="str">
        <f t="shared" si="257"/>
        <v>unc</v>
      </c>
      <c r="Y94" s="22" t="str">
        <f t="shared" si="258"/>
        <v>unc</v>
      </c>
      <c r="Z94" s="22" t="str">
        <f t="shared" si="259"/>
        <v>unc</v>
      </c>
      <c r="AA94" s="22" t="str">
        <f t="shared" si="260"/>
        <v>unc</v>
      </c>
      <c r="AB94" s="22" t="str">
        <f t="shared" si="261"/>
        <v>unc</v>
      </c>
      <c r="AC94" s="22" t="str">
        <f t="shared" si="262"/>
        <v>unc</v>
      </c>
      <c r="AD94" s="22" t="str">
        <f t="shared" si="263"/>
        <v>unc</v>
      </c>
      <c r="AE94" s="22" t="str">
        <f t="shared" si="264"/>
        <v>unc</v>
      </c>
      <c r="AF94" s="22" t="str">
        <f t="shared" si="265"/>
        <v>unc</v>
      </c>
      <c r="AG94" s="22" t="str">
        <f t="shared" si="266"/>
        <v>unc</v>
      </c>
      <c r="AH94" s="22" t="str">
        <f t="shared" si="267"/>
        <v>unc</v>
      </c>
      <c r="AI94" s="22" t="str">
        <f t="shared" si="268"/>
        <v>unc</v>
      </c>
      <c r="AJ94" s="22" t="str">
        <f t="shared" si="269"/>
        <v>unc</v>
      </c>
      <c r="AK94" s="22" t="str">
        <f t="shared" si="270"/>
        <v>unc</v>
      </c>
      <c r="AL94" s="22" t="str">
        <f t="shared" si="271"/>
        <v>unc</v>
      </c>
      <c r="AM94" s="22" t="str">
        <f t="shared" si="272"/>
        <v>unc</v>
      </c>
      <c r="AN94" s="22" t="str">
        <f t="shared" si="273"/>
        <v>unc</v>
      </c>
      <c r="AO94" s="22" t="str">
        <f t="shared" si="274"/>
        <v>unc</v>
      </c>
      <c r="AP94" s="22" t="str">
        <f t="shared" si="275"/>
        <v>unc</v>
      </c>
      <c r="AQ94" s="22" t="str">
        <f t="shared" si="276"/>
        <v>unc</v>
      </c>
      <c r="AR94" s="22" t="str">
        <f t="shared" si="277"/>
        <v>unc</v>
      </c>
      <c r="AS94" s="22" t="str">
        <f t="shared" si="278"/>
        <v>unc</v>
      </c>
      <c r="AT94" s="22" t="str">
        <f t="shared" si="279"/>
        <v>unc</v>
      </c>
      <c r="AU94" s="22" t="str">
        <f t="shared" si="280"/>
        <v>unc</v>
      </c>
    </row>
    <row r="95" spans="1:47" ht="15.5" x14ac:dyDescent="0.35">
      <c r="A95" s="172" t="str">
        <f t="shared" si="251"/>
        <v>MOD_CNST_NO_COAL_NUC</v>
      </c>
      <c r="B95" s="29">
        <v>1</v>
      </c>
      <c r="C95" s="29" t="s">
        <v>85</v>
      </c>
      <c r="D95" s="29" t="s">
        <v>7</v>
      </c>
      <c r="E95" s="14" t="s">
        <v>19</v>
      </c>
      <c r="F95" s="14" t="s">
        <v>16</v>
      </c>
      <c r="G95" s="22"/>
      <c r="H95" s="22"/>
      <c r="I95" s="22"/>
      <c r="J95" s="22"/>
      <c r="K95" s="22"/>
      <c r="L95" s="22" t="s">
        <v>86</v>
      </c>
      <c r="M95" s="22" t="s">
        <v>86</v>
      </c>
      <c r="N95" s="22" t="s">
        <v>86</v>
      </c>
      <c r="O95" s="22" t="s">
        <v>86</v>
      </c>
      <c r="P95" s="22" t="s">
        <v>86</v>
      </c>
      <c r="Q95" s="22" t="s">
        <v>86</v>
      </c>
      <c r="R95" s="22" t="s">
        <v>86</v>
      </c>
      <c r="S95" s="22" t="str">
        <f t="shared" si="252"/>
        <v>unc</v>
      </c>
      <c r="T95" s="22" t="str">
        <f t="shared" si="253"/>
        <v>unc</v>
      </c>
      <c r="U95" s="22" t="str">
        <f t="shared" si="254"/>
        <v>unc</v>
      </c>
      <c r="V95" s="22" t="str">
        <f t="shared" si="255"/>
        <v>unc</v>
      </c>
      <c r="W95" s="22" t="str">
        <f t="shared" si="256"/>
        <v>unc</v>
      </c>
      <c r="X95" s="22" t="str">
        <f t="shared" si="257"/>
        <v>unc</v>
      </c>
      <c r="Y95" s="22" t="str">
        <f t="shared" si="258"/>
        <v>unc</v>
      </c>
      <c r="Z95" s="22" t="str">
        <f t="shared" si="259"/>
        <v>unc</v>
      </c>
      <c r="AA95" s="22" t="str">
        <f t="shared" si="260"/>
        <v>unc</v>
      </c>
      <c r="AB95" s="22" t="str">
        <f t="shared" si="261"/>
        <v>unc</v>
      </c>
      <c r="AC95" s="22" t="str">
        <f t="shared" si="262"/>
        <v>unc</v>
      </c>
      <c r="AD95" s="22" t="str">
        <f t="shared" si="263"/>
        <v>unc</v>
      </c>
      <c r="AE95" s="22" t="str">
        <f t="shared" si="264"/>
        <v>unc</v>
      </c>
      <c r="AF95" s="22" t="str">
        <f t="shared" si="265"/>
        <v>unc</v>
      </c>
      <c r="AG95" s="22" t="str">
        <f t="shared" si="266"/>
        <v>unc</v>
      </c>
      <c r="AH95" s="22" t="str">
        <f t="shared" si="267"/>
        <v>unc</v>
      </c>
      <c r="AI95" s="22" t="str">
        <f t="shared" si="268"/>
        <v>unc</v>
      </c>
      <c r="AJ95" s="22" t="str">
        <f t="shared" si="269"/>
        <v>unc</v>
      </c>
      <c r="AK95" s="22" t="str">
        <f t="shared" si="270"/>
        <v>unc</v>
      </c>
      <c r="AL95" s="22" t="str">
        <f t="shared" si="271"/>
        <v>unc</v>
      </c>
      <c r="AM95" s="22" t="str">
        <f t="shared" si="272"/>
        <v>unc</v>
      </c>
      <c r="AN95" s="22" t="str">
        <f t="shared" si="273"/>
        <v>unc</v>
      </c>
      <c r="AO95" s="22" t="str">
        <f t="shared" si="274"/>
        <v>unc</v>
      </c>
      <c r="AP95" s="22" t="str">
        <f t="shared" si="275"/>
        <v>unc</v>
      </c>
      <c r="AQ95" s="22" t="str">
        <f t="shared" si="276"/>
        <v>unc</v>
      </c>
      <c r="AR95" s="22" t="str">
        <f t="shared" si="277"/>
        <v>unc</v>
      </c>
      <c r="AS95" s="22" t="str">
        <f t="shared" si="278"/>
        <v>unc</v>
      </c>
      <c r="AT95" s="22" t="str">
        <f t="shared" si="279"/>
        <v>unc</v>
      </c>
      <c r="AU95" s="22" t="str">
        <f t="shared" si="280"/>
        <v>unc</v>
      </c>
    </row>
    <row r="96" spans="1:47" ht="15.5" x14ac:dyDescent="0.35">
      <c r="A96" s="172" t="str">
        <f t="shared" si="251"/>
        <v>MOD_CNST_NO_COAL_NUC</v>
      </c>
      <c r="B96" s="28">
        <v>1</v>
      </c>
      <c r="C96" s="28" t="s">
        <v>85</v>
      </c>
      <c r="D96" s="28" t="s">
        <v>7</v>
      </c>
      <c r="E96" s="15" t="s">
        <v>20</v>
      </c>
      <c r="F96" s="15" t="s">
        <v>16</v>
      </c>
      <c r="G96" s="22"/>
      <c r="H96" s="22"/>
      <c r="I96" s="22"/>
      <c r="J96" s="22"/>
      <c r="K96" s="22"/>
      <c r="L96" s="22" t="s">
        <v>86</v>
      </c>
      <c r="M96" s="22" t="s">
        <v>86</v>
      </c>
      <c r="N96" s="22" t="s">
        <v>86</v>
      </c>
      <c r="O96" s="22" t="s">
        <v>86</v>
      </c>
      <c r="P96" s="22" t="s">
        <v>86</v>
      </c>
      <c r="Q96" s="22" t="s">
        <v>86</v>
      </c>
      <c r="R96" s="22" t="s">
        <v>86</v>
      </c>
      <c r="S96" s="22" t="str">
        <f t="shared" si="252"/>
        <v>unc</v>
      </c>
      <c r="T96" s="22" t="str">
        <f t="shared" si="253"/>
        <v>unc</v>
      </c>
      <c r="U96" s="22" t="str">
        <f t="shared" si="254"/>
        <v>unc</v>
      </c>
      <c r="V96" s="22" t="str">
        <f t="shared" si="255"/>
        <v>unc</v>
      </c>
      <c r="W96" s="22" t="str">
        <f t="shared" si="256"/>
        <v>unc</v>
      </c>
      <c r="X96" s="22" t="str">
        <f t="shared" si="257"/>
        <v>unc</v>
      </c>
      <c r="Y96" s="22" t="str">
        <f t="shared" si="258"/>
        <v>unc</v>
      </c>
      <c r="Z96" s="22" t="str">
        <f t="shared" si="259"/>
        <v>unc</v>
      </c>
      <c r="AA96" s="22" t="str">
        <f t="shared" si="260"/>
        <v>unc</v>
      </c>
      <c r="AB96" s="22" t="str">
        <f t="shared" si="261"/>
        <v>unc</v>
      </c>
      <c r="AC96" s="22" t="str">
        <f t="shared" si="262"/>
        <v>unc</v>
      </c>
      <c r="AD96" s="22" t="str">
        <f t="shared" si="263"/>
        <v>unc</v>
      </c>
      <c r="AE96" s="22" t="str">
        <f t="shared" si="264"/>
        <v>unc</v>
      </c>
      <c r="AF96" s="22" t="str">
        <f t="shared" si="265"/>
        <v>unc</v>
      </c>
      <c r="AG96" s="22" t="str">
        <f t="shared" si="266"/>
        <v>unc</v>
      </c>
      <c r="AH96" s="22" t="str">
        <f t="shared" si="267"/>
        <v>unc</v>
      </c>
      <c r="AI96" s="22" t="str">
        <f t="shared" si="268"/>
        <v>unc</v>
      </c>
      <c r="AJ96" s="22" t="str">
        <f t="shared" si="269"/>
        <v>unc</v>
      </c>
      <c r="AK96" s="22" t="str">
        <f t="shared" si="270"/>
        <v>unc</v>
      </c>
      <c r="AL96" s="22" t="str">
        <f t="shared" si="271"/>
        <v>unc</v>
      </c>
      <c r="AM96" s="22" t="str">
        <f t="shared" si="272"/>
        <v>unc</v>
      </c>
      <c r="AN96" s="22" t="str">
        <f t="shared" si="273"/>
        <v>unc</v>
      </c>
      <c r="AO96" s="22" t="str">
        <f t="shared" si="274"/>
        <v>unc</v>
      </c>
      <c r="AP96" s="22" t="str">
        <f t="shared" si="275"/>
        <v>unc</v>
      </c>
      <c r="AQ96" s="22" t="str">
        <f t="shared" si="276"/>
        <v>unc</v>
      </c>
      <c r="AR96" s="22" t="str">
        <f t="shared" si="277"/>
        <v>unc</v>
      </c>
      <c r="AS96" s="22" t="str">
        <f t="shared" si="278"/>
        <v>unc</v>
      </c>
      <c r="AT96" s="22" t="str">
        <f t="shared" si="279"/>
        <v>unc</v>
      </c>
      <c r="AU96" s="22" t="str">
        <f t="shared" si="280"/>
        <v>unc</v>
      </c>
    </row>
    <row r="97" spans="1:47" ht="15.5" x14ac:dyDescent="0.35">
      <c r="A97" s="172" t="str">
        <f t="shared" si="251"/>
        <v>MOD_CNST_NO_COAL_NUC</v>
      </c>
      <c r="B97" s="29">
        <v>1</v>
      </c>
      <c r="C97" s="29" t="s">
        <v>85</v>
      </c>
      <c r="D97" s="29" t="s">
        <v>7</v>
      </c>
      <c r="E97" s="14" t="s">
        <v>21</v>
      </c>
      <c r="F97" s="14" t="s">
        <v>16</v>
      </c>
      <c r="G97" s="22"/>
      <c r="H97" s="22"/>
      <c r="I97" s="22"/>
      <c r="J97" s="22"/>
      <c r="K97" s="22"/>
      <c r="L97" s="22" t="s">
        <v>86</v>
      </c>
      <c r="M97" s="22" t="s">
        <v>86</v>
      </c>
      <c r="N97" s="22" t="s">
        <v>86</v>
      </c>
      <c r="O97" s="22" t="s">
        <v>86</v>
      </c>
      <c r="P97" s="22" t="s">
        <v>86</v>
      </c>
      <c r="Q97" s="22" t="s">
        <v>86</v>
      </c>
      <c r="R97" s="22" t="s">
        <v>86</v>
      </c>
      <c r="S97" s="22" t="str">
        <f t="shared" si="252"/>
        <v>unc</v>
      </c>
      <c r="T97" s="22" t="str">
        <f t="shared" si="253"/>
        <v>unc</v>
      </c>
      <c r="U97" s="22" t="str">
        <f t="shared" si="254"/>
        <v>unc</v>
      </c>
      <c r="V97" s="22" t="str">
        <f t="shared" si="255"/>
        <v>unc</v>
      </c>
      <c r="W97" s="22" t="str">
        <f t="shared" si="256"/>
        <v>unc</v>
      </c>
      <c r="X97" s="22" t="str">
        <f t="shared" si="257"/>
        <v>unc</v>
      </c>
      <c r="Y97" s="22" t="str">
        <f t="shared" si="258"/>
        <v>unc</v>
      </c>
      <c r="Z97" s="22" t="str">
        <f t="shared" si="259"/>
        <v>unc</v>
      </c>
      <c r="AA97" s="22" t="str">
        <f t="shared" si="260"/>
        <v>unc</v>
      </c>
      <c r="AB97" s="22" t="str">
        <f t="shared" si="261"/>
        <v>unc</v>
      </c>
      <c r="AC97" s="22" t="str">
        <f t="shared" si="262"/>
        <v>unc</v>
      </c>
      <c r="AD97" s="22" t="str">
        <f t="shared" si="263"/>
        <v>unc</v>
      </c>
      <c r="AE97" s="22" t="str">
        <f t="shared" si="264"/>
        <v>unc</v>
      </c>
      <c r="AF97" s="22" t="str">
        <f t="shared" si="265"/>
        <v>unc</v>
      </c>
      <c r="AG97" s="22" t="str">
        <f t="shared" si="266"/>
        <v>unc</v>
      </c>
      <c r="AH97" s="22" t="str">
        <f t="shared" si="267"/>
        <v>unc</v>
      </c>
      <c r="AI97" s="22" t="str">
        <f t="shared" si="268"/>
        <v>unc</v>
      </c>
      <c r="AJ97" s="22" t="str">
        <f t="shared" si="269"/>
        <v>unc</v>
      </c>
      <c r="AK97" s="22" t="str">
        <f t="shared" si="270"/>
        <v>unc</v>
      </c>
      <c r="AL97" s="22" t="str">
        <f t="shared" si="271"/>
        <v>unc</v>
      </c>
      <c r="AM97" s="22" t="str">
        <f t="shared" si="272"/>
        <v>unc</v>
      </c>
      <c r="AN97" s="22" t="str">
        <f t="shared" si="273"/>
        <v>unc</v>
      </c>
      <c r="AO97" s="22" t="str">
        <f t="shared" si="274"/>
        <v>unc</v>
      </c>
      <c r="AP97" s="22" t="str">
        <f t="shared" si="275"/>
        <v>unc</v>
      </c>
      <c r="AQ97" s="22" t="str">
        <f t="shared" si="276"/>
        <v>unc</v>
      </c>
      <c r="AR97" s="22" t="str">
        <f t="shared" si="277"/>
        <v>unc</v>
      </c>
      <c r="AS97" s="22" t="str">
        <f t="shared" si="278"/>
        <v>unc</v>
      </c>
      <c r="AT97" s="22" t="str">
        <f t="shared" si="279"/>
        <v>unc</v>
      </c>
      <c r="AU97" s="22" t="str">
        <f t="shared" si="280"/>
        <v>unc</v>
      </c>
    </row>
    <row r="98" spans="1:47" ht="15.5" x14ac:dyDescent="0.35">
      <c r="A98" s="172" t="str">
        <f t="shared" si="251"/>
        <v>MOD_CNST_NO_COAL_NUC</v>
      </c>
      <c r="B98" s="28">
        <v>1</v>
      </c>
      <c r="C98" s="28" t="s">
        <v>85</v>
      </c>
      <c r="D98" s="28" t="s">
        <v>7</v>
      </c>
      <c r="E98" s="15" t="s">
        <v>22</v>
      </c>
      <c r="F98" s="15" t="s">
        <v>16</v>
      </c>
      <c r="G98" s="22"/>
      <c r="H98" s="22"/>
      <c r="I98" s="22"/>
      <c r="J98" s="22"/>
      <c r="K98" s="22"/>
      <c r="L98" s="22" t="s">
        <v>86</v>
      </c>
      <c r="M98" s="22" t="s">
        <v>86</v>
      </c>
      <c r="N98" s="22" t="s">
        <v>86</v>
      </c>
      <c r="O98" s="22" t="s">
        <v>86</v>
      </c>
      <c r="P98" s="22" t="s">
        <v>86</v>
      </c>
      <c r="Q98" s="22" t="s">
        <v>86</v>
      </c>
      <c r="R98" s="22" t="s">
        <v>86</v>
      </c>
      <c r="S98" s="22" t="str">
        <f t="shared" si="252"/>
        <v>unc</v>
      </c>
      <c r="T98" s="22" t="str">
        <f t="shared" si="253"/>
        <v>unc</v>
      </c>
      <c r="U98" s="22" t="str">
        <f t="shared" si="254"/>
        <v>unc</v>
      </c>
      <c r="V98" s="22" t="str">
        <f t="shared" si="255"/>
        <v>unc</v>
      </c>
      <c r="W98" s="22" t="str">
        <f t="shared" si="256"/>
        <v>unc</v>
      </c>
      <c r="X98" s="22" t="str">
        <f t="shared" si="257"/>
        <v>unc</v>
      </c>
      <c r="Y98" s="22" t="str">
        <f t="shared" si="258"/>
        <v>unc</v>
      </c>
      <c r="Z98" s="22" t="str">
        <f t="shared" si="259"/>
        <v>unc</v>
      </c>
      <c r="AA98" s="22" t="str">
        <f t="shared" si="260"/>
        <v>unc</v>
      </c>
      <c r="AB98" s="22" t="str">
        <f t="shared" si="261"/>
        <v>unc</v>
      </c>
      <c r="AC98" s="22" t="str">
        <f t="shared" si="262"/>
        <v>unc</v>
      </c>
      <c r="AD98" s="22" t="str">
        <f t="shared" si="263"/>
        <v>unc</v>
      </c>
      <c r="AE98" s="22" t="str">
        <f t="shared" si="264"/>
        <v>unc</v>
      </c>
      <c r="AF98" s="22" t="str">
        <f t="shared" si="265"/>
        <v>unc</v>
      </c>
      <c r="AG98" s="22" t="str">
        <f t="shared" si="266"/>
        <v>unc</v>
      </c>
      <c r="AH98" s="22" t="str">
        <f t="shared" si="267"/>
        <v>unc</v>
      </c>
      <c r="AI98" s="22" t="str">
        <f t="shared" si="268"/>
        <v>unc</v>
      </c>
      <c r="AJ98" s="22" t="str">
        <f t="shared" si="269"/>
        <v>unc</v>
      </c>
      <c r="AK98" s="22" t="str">
        <f t="shared" si="270"/>
        <v>unc</v>
      </c>
      <c r="AL98" s="22" t="str">
        <f t="shared" si="271"/>
        <v>unc</v>
      </c>
      <c r="AM98" s="22" t="str">
        <f t="shared" si="272"/>
        <v>unc</v>
      </c>
      <c r="AN98" s="22" t="str">
        <f t="shared" si="273"/>
        <v>unc</v>
      </c>
      <c r="AO98" s="22" t="str">
        <f t="shared" si="274"/>
        <v>unc</v>
      </c>
      <c r="AP98" s="22" t="str">
        <f t="shared" si="275"/>
        <v>unc</v>
      </c>
      <c r="AQ98" s="22" t="str">
        <f t="shared" si="276"/>
        <v>unc</v>
      </c>
      <c r="AR98" s="22" t="str">
        <f t="shared" si="277"/>
        <v>unc</v>
      </c>
      <c r="AS98" s="22" t="str">
        <f t="shared" si="278"/>
        <v>unc</v>
      </c>
      <c r="AT98" s="22" t="str">
        <f t="shared" si="279"/>
        <v>unc</v>
      </c>
      <c r="AU98" s="22" t="str">
        <f t="shared" si="280"/>
        <v>unc</v>
      </c>
    </row>
    <row r="99" spans="1:47" ht="15.5" x14ac:dyDescent="0.35">
      <c r="A99" s="172" t="str">
        <f>A96</f>
        <v>MOD_CNST_NO_COAL_NUC</v>
      </c>
      <c r="B99" s="29">
        <v>1</v>
      </c>
      <c r="C99" s="29" t="s">
        <v>85</v>
      </c>
      <c r="D99" s="29" t="s">
        <v>7</v>
      </c>
      <c r="E99" s="14" t="s">
        <v>23</v>
      </c>
      <c r="F99" s="14" t="s">
        <v>16</v>
      </c>
      <c r="G99" s="22"/>
      <c r="H99" s="22"/>
      <c r="I99" s="22"/>
      <c r="J99" s="22"/>
      <c r="K99" s="22"/>
      <c r="L99" s="22" t="s">
        <v>86</v>
      </c>
      <c r="M99" s="22" t="s">
        <v>86</v>
      </c>
      <c r="N99" s="22" t="s">
        <v>86</v>
      </c>
      <c r="O99" s="22" t="s">
        <v>86</v>
      </c>
      <c r="P99" s="22" t="s">
        <v>86</v>
      </c>
      <c r="Q99" s="22" t="s">
        <v>86</v>
      </c>
      <c r="R99" s="22" t="s">
        <v>86</v>
      </c>
      <c r="S99" s="22" t="str">
        <f t="shared" si="252"/>
        <v>unc</v>
      </c>
      <c r="T99" s="22" t="str">
        <f t="shared" si="253"/>
        <v>unc</v>
      </c>
      <c r="U99" s="22" t="str">
        <f t="shared" si="254"/>
        <v>unc</v>
      </c>
      <c r="V99" s="22" t="str">
        <f t="shared" si="255"/>
        <v>unc</v>
      </c>
      <c r="W99" s="22" t="str">
        <f t="shared" si="256"/>
        <v>unc</v>
      </c>
      <c r="X99" s="22" t="str">
        <f t="shared" si="257"/>
        <v>unc</v>
      </c>
      <c r="Y99" s="22" t="str">
        <f t="shared" si="258"/>
        <v>unc</v>
      </c>
      <c r="Z99" s="22" t="str">
        <f t="shared" si="259"/>
        <v>unc</v>
      </c>
      <c r="AA99" s="22" t="str">
        <f t="shared" si="260"/>
        <v>unc</v>
      </c>
      <c r="AB99" s="22" t="str">
        <f t="shared" si="261"/>
        <v>unc</v>
      </c>
      <c r="AC99" s="22" t="str">
        <f t="shared" si="262"/>
        <v>unc</v>
      </c>
      <c r="AD99" s="22" t="str">
        <f t="shared" si="263"/>
        <v>unc</v>
      </c>
      <c r="AE99" s="22" t="str">
        <f t="shared" si="264"/>
        <v>unc</v>
      </c>
      <c r="AF99" s="22" t="str">
        <f t="shared" si="265"/>
        <v>unc</v>
      </c>
      <c r="AG99" s="22" t="str">
        <f t="shared" si="266"/>
        <v>unc</v>
      </c>
      <c r="AH99" s="22" t="str">
        <f t="shared" si="267"/>
        <v>unc</v>
      </c>
      <c r="AI99" s="22" t="str">
        <f t="shared" si="268"/>
        <v>unc</v>
      </c>
      <c r="AJ99" s="22" t="str">
        <f t="shared" si="269"/>
        <v>unc</v>
      </c>
      <c r="AK99" s="22" t="str">
        <f t="shared" si="270"/>
        <v>unc</v>
      </c>
      <c r="AL99" s="22" t="str">
        <f t="shared" si="271"/>
        <v>unc</v>
      </c>
      <c r="AM99" s="22" t="str">
        <f t="shared" si="272"/>
        <v>unc</v>
      </c>
      <c r="AN99" s="22" t="str">
        <f t="shared" si="273"/>
        <v>unc</v>
      </c>
      <c r="AO99" s="22" t="str">
        <f t="shared" si="274"/>
        <v>unc</v>
      </c>
      <c r="AP99" s="22" t="str">
        <f t="shared" si="275"/>
        <v>unc</v>
      </c>
      <c r="AQ99" s="22" t="str">
        <f t="shared" si="276"/>
        <v>unc</v>
      </c>
      <c r="AR99" s="22" t="str">
        <f t="shared" si="277"/>
        <v>unc</v>
      </c>
      <c r="AS99" s="22" t="str">
        <f t="shared" si="278"/>
        <v>unc</v>
      </c>
      <c r="AT99" s="22" t="str">
        <f t="shared" si="279"/>
        <v>unc</v>
      </c>
      <c r="AU99" s="22" t="str">
        <f t="shared" si="280"/>
        <v>unc</v>
      </c>
    </row>
    <row r="100" spans="1:47" ht="15.5" x14ac:dyDescent="0.35">
      <c r="A100" s="172" t="str">
        <f>A97</f>
        <v>MOD_CNST_NO_COAL_NUC</v>
      </c>
      <c r="B100" s="29">
        <v>1</v>
      </c>
      <c r="C100" s="29" t="s">
        <v>85</v>
      </c>
      <c r="D100" s="29" t="s">
        <v>7</v>
      </c>
      <c r="E100" s="14" t="s">
        <v>117</v>
      </c>
      <c r="F100" s="14" t="s">
        <v>16</v>
      </c>
      <c r="G100" s="22"/>
      <c r="H100" s="22"/>
      <c r="I100" s="22"/>
      <c r="J100" s="22"/>
      <c r="K100" s="22"/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f>V100</f>
        <v>0</v>
      </c>
      <c r="X100" s="22">
        <f t="shared" si="257"/>
        <v>0</v>
      </c>
      <c r="Y100" s="22">
        <f t="shared" si="258"/>
        <v>0</v>
      </c>
      <c r="Z100" s="22">
        <f t="shared" si="259"/>
        <v>0</v>
      </c>
      <c r="AA100" s="22">
        <f t="shared" si="260"/>
        <v>0</v>
      </c>
      <c r="AB100" s="22">
        <f t="shared" si="261"/>
        <v>0</v>
      </c>
      <c r="AC100" s="22">
        <f t="shared" si="262"/>
        <v>0</v>
      </c>
      <c r="AD100" s="22">
        <f t="shared" si="263"/>
        <v>0</v>
      </c>
      <c r="AE100" s="22">
        <f t="shared" si="264"/>
        <v>0</v>
      </c>
      <c r="AF100" s="22">
        <f t="shared" si="265"/>
        <v>0</v>
      </c>
      <c r="AG100" s="22">
        <f t="shared" si="266"/>
        <v>0</v>
      </c>
      <c r="AH100" s="22">
        <f t="shared" si="267"/>
        <v>0</v>
      </c>
      <c r="AI100" s="22">
        <f t="shared" si="268"/>
        <v>0</v>
      </c>
      <c r="AJ100" s="22">
        <f t="shared" si="269"/>
        <v>0</v>
      </c>
      <c r="AK100" s="22">
        <f t="shared" si="270"/>
        <v>0</v>
      </c>
      <c r="AL100" s="22">
        <f t="shared" si="271"/>
        <v>0</v>
      </c>
      <c r="AM100" s="22">
        <f t="shared" si="272"/>
        <v>0</v>
      </c>
      <c r="AN100" s="22">
        <f t="shared" si="273"/>
        <v>0</v>
      </c>
      <c r="AO100" s="22">
        <f t="shared" si="274"/>
        <v>0</v>
      </c>
      <c r="AP100" s="22">
        <f t="shared" si="275"/>
        <v>0</v>
      </c>
      <c r="AQ100" s="22">
        <f t="shared" si="276"/>
        <v>0</v>
      </c>
      <c r="AR100" s="22">
        <f t="shared" si="277"/>
        <v>0</v>
      </c>
      <c r="AS100" s="22">
        <f t="shared" si="278"/>
        <v>0</v>
      </c>
      <c r="AT100" s="22">
        <f t="shared" si="279"/>
        <v>0</v>
      </c>
      <c r="AU100" s="22">
        <f t="shared" si="280"/>
        <v>0</v>
      </c>
    </row>
    <row r="101" spans="1:47" ht="15.5" x14ac:dyDescent="0.35">
      <c r="A101" s="172" t="str">
        <f>A99</f>
        <v>MOD_CNST_NO_COAL_NUC</v>
      </c>
      <c r="B101" s="23">
        <v>1</v>
      </c>
      <c r="C101" s="23" t="s">
        <v>85</v>
      </c>
      <c r="D101" s="23" t="s">
        <v>7</v>
      </c>
      <c r="E101" s="24" t="s">
        <v>25</v>
      </c>
      <c r="F101" s="24" t="s">
        <v>16</v>
      </c>
      <c r="G101" s="22"/>
      <c r="H101" s="22"/>
      <c r="I101" s="22"/>
      <c r="J101" s="22"/>
      <c r="K101" s="22"/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f>V101</f>
        <v>0</v>
      </c>
      <c r="X101" s="22">
        <f t="shared" si="257"/>
        <v>0</v>
      </c>
      <c r="Y101" s="22">
        <f t="shared" si="258"/>
        <v>0</v>
      </c>
      <c r="Z101" s="22">
        <f t="shared" si="259"/>
        <v>0</v>
      </c>
      <c r="AA101" s="22">
        <f t="shared" si="260"/>
        <v>0</v>
      </c>
      <c r="AB101" s="22">
        <f t="shared" si="261"/>
        <v>0</v>
      </c>
      <c r="AC101" s="22">
        <f t="shared" si="262"/>
        <v>0</v>
      </c>
      <c r="AD101" s="22">
        <f t="shared" si="263"/>
        <v>0</v>
      </c>
      <c r="AE101" s="22">
        <f t="shared" si="264"/>
        <v>0</v>
      </c>
      <c r="AF101" s="22">
        <f t="shared" si="265"/>
        <v>0</v>
      </c>
      <c r="AG101" s="22">
        <f t="shared" si="266"/>
        <v>0</v>
      </c>
      <c r="AH101" s="22">
        <f t="shared" si="267"/>
        <v>0</v>
      </c>
      <c r="AI101" s="22">
        <f t="shared" si="268"/>
        <v>0</v>
      </c>
      <c r="AJ101" s="22">
        <f t="shared" si="269"/>
        <v>0</v>
      </c>
      <c r="AK101" s="22">
        <f t="shared" si="270"/>
        <v>0</v>
      </c>
      <c r="AL101" s="22">
        <f t="shared" si="271"/>
        <v>0</v>
      </c>
      <c r="AM101" s="22">
        <f t="shared" si="272"/>
        <v>0</v>
      </c>
      <c r="AN101" s="22">
        <f t="shared" si="273"/>
        <v>0</v>
      </c>
      <c r="AO101" s="22">
        <f t="shared" si="274"/>
        <v>0</v>
      </c>
      <c r="AP101" s="22">
        <f t="shared" si="275"/>
        <v>0</v>
      </c>
      <c r="AQ101" s="22">
        <f t="shared" si="276"/>
        <v>0</v>
      </c>
      <c r="AR101" s="22">
        <f t="shared" si="277"/>
        <v>0</v>
      </c>
      <c r="AS101" s="22">
        <f t="shared" si="278"/>
        <v>0</v>
      </c>
      <c r="AT101" s="22">
        <f t="shared" si="279"/>
        <v>0</v>
      </c>
      <c r="AU101" s="22">
        <f t="shared" si="280"/>
        <v>0</v>
      </c>
    </row>
    <row r="102" spans="1:47" ht="15.5" x14ac:dyDescent="0.35">
      <c r="A102" s="172" t="str">
        <f t="shared" ref="A102:A106" si="281">A101</f>
        <v>MOD_CNST_NO_COAL_NUC</v>
      </c>
      <c r="B102" s="20">
        <v>1</v>
      </c>
      <c r="C102" s="20" t="s">
        <v>85</v>
      </c>
      <c r="D102" s="20" t="s">
        <v>7</v>
      </c>
      <c r="E102" s="21" t="s">
        <v>26</v>
      </c>
      <c r="F102" s="21" t="s">
        <v>16</v>
      </c>
      <c r="G102" s="22"/>
      <c r="H102" s="22"/>
      <c r="I102" s="22"/>
      <c r="J102" s="22"/>
      <c r="K102" s="22"/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f>V102</f>
        <v>0</v>
      </c>
      <c r="X102" s="22">
        <f t="shared" si="257"/>
        <v>0</v>
      </c>
      <c r="Y102" s="22">
        <f t="shared" si="258"/>
        <v>0</v>
      </c>
      <c r="Z102" s="22">
        <f t="shared" si="259"/>
        <v>0</v>
      </c>
      <c r="AA102" s="22">
        <f t="shared" si="260"/>
        <v>0</v>
      </c>
      <c r="AB102" s="22">
        <f t="shared" si="261"/>
        <v>0</v>
      </c>
      <c r="AC102" s="22">
        <f t="shared" si="262"/>
        <v>0</v>
      </c>
      <c r="AD102" s="22">
        <f t="shared" si="263"/>
        <v>0</v>
      </c>
      <c r="AE102" s="22">
        <f t="shared" si="264"/>
        <v>0</v>
      </c>
      <c r="AF102" s="22">
        <f t="shared" si="265"/>
        <v>0</v>
      </c>
      <c r="AG102" s="22">
        <f t="shared" si="266"/>
        <v>0</v>
      </c>
      <c r="AH102" s="22">
        <f t="shared" si="267"/>
        <v>0</v>
      </c>
      <c r="AI102" s="22">
        <f t="shared" si="268"/>
        <v>0</v>
      </c>
      <c r="AJ102" s="22">
        <f t="shared" si="269"/>
        <v>0</v>
      </c>
      <c r="AK102" s="22">
        <f t="shared" si="270"/>
        <v>0</v>
      </c>
      <c r="AL102" s="22">
        <f t="shared" si="271"/>
        <v>0</v>
      </c>
      <c r="AM102" s="22">
        <f t="shared" si="272"/>
        <v>0</v>
      </c>
      <c r="AN102" s="22">
        <f t="shared" si="273"/>
        <v>0</v>
      </c>
      <c r="AO102" s="22">
        <f t="shared" si="274"/>
        <v>0</v>
      </c>
      <c r="AP102" s="22">
        <f t="shared" si="275"/>
        <v>0</v>
      </c>
      <c r="AQ102" s="22">
        <f t="shared" si="276"/>
        <v>0</v>
      </c>
      <c r="AR102" s="22">
        <f t="shared" si="277"/>
        <v>0</v>
      </c>
      <c r="AS102" s="22">
        <f t="shared" si="278"/>
        <v>0</v>
      </c>
      <c r="AT102" s="22">
        <f t="shared" si="279"/>
        <v>0</v>
      </c>
      <c r="AU102" s="22">
        <f t="shared" si="280"/>
        <v>0</v>
      </c>
    </row>
    <row r="103" spans="1:47" ht="15.5" x14ac:dyDescent="0.35">
      <c r="A103" s="172" t="str">
        <f t="shared" si="281"/>
        <v>MOD_CNST_NO_COAL_NUC</v>
      </c>
      <c r="B103" s="23">
        <v>1</v>
      </c>
      <c r="C103" s="23" t="s">
        <v>85</v>
      </c>
      <c r="D103" s="23" t="s">
        <v>27</v>
      </c>
      <c r="E103" s="24" t="s">
        <v>28</v>
      </c>
      <c r="F103" s="24" t="s">
        <v>29</v>
      </c>
      <c r="G103" s="22"/>
      <c r="H103" s="22"/>
      <c r="I103" s="22"/>
      <c r="J103" s="22"/>
      <c r="K103" s="22"/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1500</v>
      </c>
      <c r="W103" s="22">
        <f>V103</f>
        <v>1500</v>
      </c>
      <c r="X103" s="22">
        <f>W103</f>
        <v>1500</v>
      </c>
      <c r="Y103" s="22">
        <f>X103</f>
        <v>1500</v>
      </c>
      <c r="Z103" s="22">
        <f>Y103</f>
        <v>1500</v>
      </c>
      <c r="AA103" s="22">
        <f>Z103</f>
        <v>1500</v>
      </c>
      <c r="AB103" s="22">
        <f t="shared" si="261"/>
        <v>1500</v>
      </c>
      <c r="AC103" s="22">
        <f t="shared" si="262"/>
        <v>1500</v>
      </c>
      <c r="AD103" s="22">
        <f t="shared" si="263"/>
        <v>1500</v>
      </c>
      <c r="AE103" s="22">
        <f t="shared" si="264"/>
        <v>1500</v>
      </c>
      <c r="AF103" s="22">
        <f t="shared" si="265"/>
        <v>1500</v>
      </c>
      <c r="AG103" s="22">
        <f t="shared" si="266"/>
        <v>1500</v>
      </c>
      <c r="AH103" s="22">
        <f t="shared" si="267"/>
        <v>1500</v>
      </c>
      <c r="AI103" s="22">
        <f t="shared" si="268"/>
        <v>1500</v>
      </c>
      <c r="AJ103" s="22">
        <f t="shared" si="269"/>
        <v>1500</v>
      </c>
      <c r="AK103" s="22">
        <f t="shared" si="270"/>
        <v>1500</v>
      </c>
      <c r="AL103" s="22">
        <f t="shared" si="271"/>
        <v>1500</v>
      </c>
      <c r="AM103" s="22">
        <f t="shared" si="272"/>
        <v>1500</v>
      </c>
      <c r="AN103" s="22">
        <f t="shared" si="273"/>
        <v>1500</v>
      </c>
      <c r="AO103" s="22">
        <f t="shared" si="274"/>
        <v>1500</v>
      </c>
      <c r="AP103" s="22">
        <f t="shared" si="275"/>
        <v>1500</v>
      </c>
      <c r="AQ103" s="22">
        <f t="shared" si="276"/>
        <v>1500</v>
      </c>
      <c r="AR103" s="22">
        <f t="shared" si="277"/>
        <v>1500</v>
      </c>
      <c r="AS103" s="22">
        <f t="shared" si="278"/>
        <v>1500</v>
      </c>
      <c r="AT103" s="22">
        <f t="shared" si="279"/>
        <v>1500</v>
      </c>
      <c r="AU103" s="22">
        <f t="shared" si="280"/>
        <v>1500</v>
      </c>
    </row>
    <row r="104" spans="1:47" ht="15.5" x14ac:dyDescent="0.35">
      <c r="A104" s="172" t="str">
        <f t="shared" si="281"/>
        <v>MOD_CNST_NO_COAL_NUC</v>
      </c>
      <c r="B104" s="20">
        <v>1</v>
      </c>
      <c r="C104" s="20" t="s">
        <v>85</v>
      </c>
      <c r="D104" s="20" t="s">
        <v>27</v>
      </c>
      <c r="E104" s="21" t="s">
        <v>30</v>
      </c>
      <c r="F104" s="21" t="s">
        <v>29</v>
      </c>
      <c r="G104" s="22"/>
      <c r="H104" s="22"/>
      <c r="I104" s="22"/>
      <c r="J104" s="22"/>
      <c r="K104" s="22"/>
      <c r="L104" s="22" t="s">
        <v>86</v>
      </c>
      <c r="M104" s="22" t="s">
        <v>86</v>
      </c>
      <c r="N104" s="22" t="s">
        <v>86</v>
      </c>
      <c r="O104" s="22" t="s">
        <v>86</v>
      </c>
      <c r="P104" s="22" t="s">
        <v>86</v>
      </c>
      <c r="Q104" s="22" t="s">
        <v>86</v>
      </c>
      <c r="R104" s="22" t="s">
        <v>86</v>
      </c>
      <c r="S104" s="22" t="s">
        <v>86</v>
      </c>
      <c r="T104" s="22" t="s">
        <v>86</v>
      </c>
      <c r="U104" s="22" t="s">
        <v>86</v>
      </c>
      <c r="V104" s="22" t="s">
        <v>86</v>
      </c>
      <c r="W104" s="22" t="s">
        <v>86</v>
      </c>
      <c r="X104" s="22" t="s">
        <v>86</v>
      </c>
      <c r="Y104" s="22" t="s">
        <v>86</v>
      </c>
      <c r="Z104" s="22" t="s">
        <v>86</v>
      </c>
      <c r="AA104" s="22" t="s">
        <v>86</v>
      </c>
      <c r="AB104" s="22" t="str">
        <f t="shared" si="261"/>
        <v>unc</v>
      </c>
      <c r="AC104" s="22" t="str">
        <f t="shared" si="262"/>
        <v>unc</v>
      </c>
      <c r="AD104" s="22" t="str">
        <f t="shared" si="263"/>
        <v>unc</v>
      </c>
      <c r="AE104" s="22" t="str">
        <f t="shared" si="264"/>
        <v>unc</v>
      </c>
      <c r="AF104" s="22" t="str">
        <f t="shared" si="265"/>
        <v>unc</v>
      </c>
      <c r="AG104" s="22" t="str">
        <f t="shared" si="266"/>
        <v>unc</v>
      </c>
      <c r="AH104" s="22" t="str">
        <f t="shared" si="267"/>
        <v>unc</v>
      </c>
      <c r="AI104" s="22" t="str">
        <f t="shared" si="268"/>
        <v>unc</v>
      </c>
      <c r="AJ104" s="22" t="str">
        <f t="shared" si="269"/>
        <v>unc</v>
      </c>
      <c r="AK104" s="22" t="str">
        <f t="shared" si="270"/>
        <v>unc</v>
      </c>
      <c r="AL104" s="22" t="str">
        <f t="shared" si="271"/>
        <v>unc</v>
      </c>
      <c r="AM104" s="22" t="str">
        <f t="shared" si="272"/>
        <v>unc</v>
      </c>
      <c r="AN104" s="22" t="str">
        <f t="shared" si="273"/>
        <v>unc</v>
      </c>
      <c r="AO104" s="22" t="str">
        <f t="shared" si="274"/>
        <v>unc</v>
      </c>
      <c r="AP104" s="22" t="str">
        <f t="shared" si="275"/>
        <v>unc</v>
      </c>
      <c r="AQ104" s="22" t="str">
        <f t="shared" si="276"/>
        <v>unc</v>
      </c>
      <c r="AR104" s="22" t="str">
        <f t="shared" si="277"/>
        <v>unc</v>
      </c>
      <c r="AS104" s="22" t="str">
        <f t="shared" si="278"/>
        <v>unc</v>
      </c>
      <c r="AT104" s="22" t="str">
        <f t="shared" si="279"/>
        <v>unc</v>
      </c>
      <c r="AU104" s="22" t="str">
        <f t="shared" si="280"/>
        <v>unc</v>
      </c>
    </row>
    <row r="105" spans="1:47" ht="15.5" x14ac:dyDescent="0.35">
      <c r="A105" s="172" t="str">
        <f t="shared" si="281"/>
        <v>MOD_CNST_NO_COAL_NUC</v>
      </c>
      <c r="B105" s="23">
        <v>1</v>
      </c>
      <c r="C105" s="23" t="s">
        <v>85</v>
      </c>
      <c r="D105" s="23" t="s">
        <v>27</v>
      </c>
      <c r="E105" s="24" t="s">
        <v>32</v>
      </c>
      <c r="F105" s="24" t="s">
        <v>29</v>
      </c>
      <c r="G105" s="22"/>
      <c r="H105" s="22"/>
      <c r="I105" s="22"/>
      <c r="J105" s="22"/>
      <c r="K105" s="22"/>
      <c r="L105" s="22" t="s">
        <v>86</v>
      </c>
      <c r="M105" s="22" t="s">
        <v>86</v>
      </c>
      <c r="N105" s="22" t="s">
        <v>86</v>
      </c>
      <c r="O105" s="22" t="s">
        <v>86</v>
      </c>
      <c r="P105" s="22" t="s">
        <v>86</v>
      </c>
      <c r="Q105" s="22" t="s">
        <v>86</v>
      </c>
      <c r="R105" s="22" t="s">
        <v>86</v>
      </c>
      <c r="S105" s="22" t="s">
        <v>86</v>
      </c>
      <c r="T105" s="22" t="s">
        <v>86</v>
      </c>
      <c r="U105" s="22" t="s">
        <v>86</v>
      </c>
      <c r="V105" s="22" t="s">
        <v>86</v>
      </c>
      <c r="W105" s="22" t="s">
        <v>86</v>
      </c>
      <c r="X105" s="22" t="s">
        <v>86</v>
      </c>
      <c r="Y105" s="22" t="s">
        <v>86</v>
      </c>
      <c r="Z105" s="22" t="s">
        <v>86</v>
      </c>
      <c r="AA105" s="22" t="s">
        <v>86</v>
      </c>
      <c r="AB105" s="22" t="str">
        <f t="shared" si="261"/>
        <v>unc</v>
      </c>
      <c r="AC105" s="22" t="str">
        <f t="shared" si="262"/>
        <v>unc</v>
      </c>
      <c r="AD105" s="22" t="str">
        <f t="shared" si="263"/>
        <v>unc</v>
      </c>
      <c r="AE105" s="22" t="str">
        <f t="shared" si="264"/>
        <v>unc</v>
      </c>
      <c r="AF105" s="22" t="str">
        <f t="shared" si="265"/>
        <v>unc</v>
      </c>
      <c r="AG105" s="22" t="str">
        <f t="shared" si="266"/>
        <v>unc</v>
      </c>
      <c r="AH105" s="22" t="str">
        <f t="shared" si="267"/>
        <v>unc</v>
      </c>
      <c r="AI105" s="22" t="str">
        <f t="shared" si="268"/>
        <v>unc</v>
      </c>
      <c r="AJ105" s="22" t="str">
        <f t="shared" si="269"/>
        <v>unc</v>
      </c>
      <c r="AK105" s="22" t="str">
        <f t="shared" si="270"/>
        <v>unc</v>
      </c>
      <c r="AL105" s="22" t="str">
        <f t="shared" si="271"/>
        <v>unc</v>
      </c>
      <c r="AM105" s="22" t="str">
        <f t="shared" si="272"/>
        <v>unc</v>
      </c>
      <c r="AN105" s="22" t="str">
        <f t="shared" si="273"/>
        <v>unc</v>
      </c>
      <c r="AO105" s="22" t="str">
        <f t="shared" si="274"/>
        <v>unc</v>
      </c>
      <c r="AP105" s="22" t="str">
        <f t="shared" si="275"/>
        <v>unc</v>
      </c>
      <c r="AQ105" s="22" t="str">
        <f t="shared" si="276"/>
        <v>unc</v>
      </c>
      <c r="AR105" s="22" t="str">
        <f t="shared" si="277"/>
        <v>unc</v>
      </c>
      <c r="AS105" s="22" t="str">
        <f t="shared" si="278"/>
        <v>unc</v>
      </c>
      <c r="AT105" s="22" t="str">
        <f t="shared" si="279"/>
        <v>unc</v>
      </c>
      <c r="AU105" s="22" t="str">
        <f t="shared" si="280"/>
        <v>unc</v>
      </c>
    </row>
    <row r="106" spans="1:47" ht="15.5" x14ac:dyDescent="0.35">
      <c r="A106" s="172" t="str">
        <f t="shared" si="281"/>
        <v>MOD_CNST_NO_COAL_NUC</v>
      </c>
      <c r="B106" s="25">
        <v>1</v>
      </c>
      <c r="C106" s="25" t="s">
        <v>85</v>
      </c>
      <c r="D106" s="25" t="s">
        <v>27</v>
      </c>
      <c r="E106" s="26" t="s">
        <v>33</v>
      </c>
      <c r="F106" s="26" t="s">
        <v>29</v>
      </c>
      <c r="G106" s="27"/>
      <c r="H106" s="27"/>
      <c r="I106" s="27"/>
      <c r="J106" s="27"/>
      <c r="K106" s="27"/>
      <c r="L106" s="27" t="s">
        <v>86</v>
      </c>
      <c r="M106" s="27" t="s">
        <v>86</v>
      </c>
      <c r="N106" s="27" t="s">
        <v>86</v>
      </c>
      <c r="O106" s="27" t="s">
        <v>86</v>
      </c>
      <c r="P106" s="27" t="s">
        <v>86</v>
      </c>
      <c r="Q106" s="27" t="s">
        <v>86</v>
      </c>
      <c r="R106" s="27" t="s">
        <v>86</v>
      </c>
      <c r="S106" s="27" t="s">
        <v>86</v>
      </c>
      <c r="T106" s="27" t="s">
        <v>86</v>
      </c>
      <c r="U106" s="27" t="s">
        <v>86</v>
      </c>
      <c r="V106" s="27" t="s">
        <v>86</v>
      </c>
      <c r="W106" s="27" t="s">
        <v>86</v>
      </c>
      <c r="X106" s="27" t="s">
        <v>86</v>
      </c>
      <c r="Y106" s="27" t="s">
        <v>86</v>
      </c>
      <c r="Z106" s="27" t="s">
        <v>86</v>
      </c>
      <c r="AA106" s="27" t="s">
        <v>86</v>
      </c>
      <c r="AB106" s="22" t="str">
        <f t="shared" si="261"/>
        <v>unc</v>
      </c>
      <c r="AC106" s="22" t="str">
        <f t="shared" si="262"/>
        <v>unc</v>
      </c>
      <c r="AD106" s="22" t="str">
        <f t="shared" si="263"/>
        <v>unc</v>
      </c>
      <c r="AE106" s="22" t="str">
        <f t="shared" si="264"/>
        <v>unc</v>
      </c>
      <c r="AF106" s="22" t="str">
        <f t="shared" si="265"/>
        <v>unc</v>
      </c>
      <c r="AG106" s="22" t="str">
        <f t="shared" si="266"/>
        <v>unc</v>
      </c>
      <c r="AH106" s="22" t="str">
        <f t="shared" si="267"/>
        <v>unc</v>
      </c>
      <c r="AI106" s="22" t="str">
        <f t="shared" si="268"/>
        <v>unc</v>
      </c>
      <c r="AJ106" s="22" t="str">
        <f t="shared" si="269"/>
        <v>unc</v>
      </c>
      <c r="AK106" s="22" t="str">
        <f t="shared" si="270"/>
        <v>unc</v>
      </c>
      <c r="AL106" s="22" t="str">
        <f t="shared" si="271"/>
        <v>unc</v>
      </c>
      <c r="AM106" s="22" t="str">
        <f t="shared" si="272"/>
        <v>unc</v>
      </c>
      <c r="AN106" s="22" t="str">
        <f t="shared" si="273"/>
        <v>unc</v>
      </c>
      <c r="AO106" s="22" t="str">
        <f t="shared" si="274"/>
        <v>unc</v>
      </c>
      <c r="AP106" s="22" t="str">
        <f t="shared" si="275"/>
        <v>unc</v>
      </c>
      <c r="AQ106" s="22" t="str">
        <f t="shared" si="276"/>
        <v>unc</v>
      </c>
      <c r="AR106" s="22" t="str">
        <f t="shared" si="277"/>
        <v>unc</v>
      </c>
      <c r="AS106" s="22" t="str">
        <f t="shared" si="278"/>
        <v>unc</v>
      </c>
      <c r="AT106" s="22" t="str">
        <f t="shared" si="279"/>
        <v>unc</v>
      </c>
      <c r="AU106" s="22" t="str">
        <f t="shared" si="280"/>
        <v>unc</v>
      </c>
    </row>
    <row r="107" spans="1:47" ht="15.5" x14ac:dyDescent="0.35">
      <c r="A107" s="173" t="s">
        <v>131</v>
      </c>
      <c r="B107" s="28">
        <v>1</v>
      </c>
      <c r="C107" s="28" t="s">
        <v>85</v>
      </c>
      <c r="D107" s="28" t="s">
        <v>7</v>
      </c>
      <c r="E107" s="15" t="s">
        <v>10</v>
      </c>
      <c r="F107" s="15" t="s">
        <v>9</v>
      </c>
      <c r="G107" s="22"/>
      <c r="H107" s="22"/>
      <c r="I107" s="22"/>
      <c r="J107" s="22"/>
      <c r="K107" s="22"/>
      <c r="L107" s="22" t="s">
        <v>86</v>
      </c>
      <c r="M107" s="22" t="s">
        <v>86</v>
      </c>
      <c r="N107" s="22" t="s">
        <v>86</v>
      </c>
      <c r="O107" s="22" t="s">
        <v>86</v>
      </c>
      <c r="P107" s="22" t="s">
        <v>86</v>
      </c>
      <c r="Q107" s="22" t="s">
        <v>86</v>
      </c>
      <c r="R107" s="22" t="s">
        <v>86</v>
      </c>
      <c r="S107" s="22" t="str">
        <f t="shared" ref="S107" si="282">R107</f>
        <v>unc</v>
      </c>
      <c r="T107" s="22" t="str">
        <f t="shared" ref="T107" si="283">S107</f>
        <v>unc</v>
      </c>
      <c r="U107" s="22" t="str">
        <f t="shared" ref="U107" si="284">T107</f>
        <v>unc</v>
      </c>
      <c r="V107" s="22" t="str">
        <f t="shared" ref="V107" si="285">U107</f>
        <v>unc</v>
      </c>
      <c r="W107" s="22" t="str">
        <f t="shared" ref="W107" si="286">V107</f>
        <v>unc</v>
      </c>
      <c r="X107" s="22" t="str">
        <f t="shared" ref="X107" si="287">W107</f>
        <v>unc</v>
      </c>
      <c r="Y107" s="22" t="str">
        <f t="shared" ref="Y107" si="288">X107</f>
        <v>unc</v>
      </c>
      <c r="Z107" s="22" t="str">
        <f t="shared" ref="Z107" si="289">Y107</f>
        <v>unc</v>
      </c>
      <c r="AA107" s="22" t="str">
        <f t="shared" ref="AA107" si="290">Z107</f>
        <v>unc</v>
      </c>
      <c r="AB107" s="22" t="str">
        <f t="shared" si="261"/>
        <v>unc</v>
      </c>
      <c r="AC107" s="22" t="str">
        <f t="shared" si="262"/>
        <v>unc</v>
      </c>
      <c r="AD107" s="22" t="str">
        <f t="shared" si="263"/>
        <v>unc</v>
      </c>
      <c r="AE107" s="22" t="str">
        <f t="shared" si="264"/>
        <v>unc</v>
      </c>
      <c r="AF107" s="22" t="str">
        <f t="shared" si="265"/>
        <v>unc</v>
      </c>
      <c r="AG107" s="22" t="str">
        <f t="shared" si="266"/>
        <v>unc</v>
      </c>
      <c r="AH107" s="22" t="str">
        <f t="shared" si="267"/>
        <v>unc</v>
      </c>
      <c r="AI107" s="22" t="str">
        <f t="shared" si="268"/>
        <v>unc</v>
      </c>
      <c r="AJ107" s="22" t="str">
        <f t="shared" si="269"/>
        <v>unc</v>
      </c>
      <c r="AK107" s="22" t="str">
        <f t="shared" si="270"/>
        <v>unc</v>
      </c>
      <c r="AL107" s="22" t="str">
        <f t="shared" si="271"/>
        <v>unc</v>
      </c>
      <c r="AM107" s="22" t="str">
        <f t="shared" si="272"/>
        <v>unc</v>
      </c>
      <c r="AN107" s="22" t="str">
        <f t="shared" si="273"/>
        <v>unc</v>
      </c>
      <c r="AO107" s="22" t="str">
        <f t="shared" si="274"/>
        <v>unc</v>
      </c>
      <c r="AP107" s="22" t="str">
        <f t="shared" si="275"/>
        <v>unc</v>
      </c>
      <c r="AQ107" s="22" t="str">
        <f t="shared" si="276"/>
        <v>unc</v>
      </c>
      <c r="AR107" s="22" t="str">
        <f t="shared" si="277"/>
        <v>unc</v>
      </c>
      <c r="AS107" s="22" t="str">
        <f t="shared" si="278"/>
        <v>unc</v>
      </c>
      <c r="AT107" s="22" t="str">
        <f t="shared" si="279"/>
        <v>unc</v>
      </c>
      <c r="AU107" s="22" t="str">
        <f t="shared" si="280"/>
        <v>unc</v>
      </c>
    </row>
    <row r="108" spans="1:47" ht="15.5" x14ac:dyDescent="0.35">
      <c r="A108" s="173" t="str">
        <f t="shared" ref="A108:A119" si="291">A107</f>
        <v>MOST_CNST_NO_COAL_NUC</v>
      </c>
      <c r="B108" s="29">
        <v>1</v>
      </c>
      <c r="C108" s="29" t="s">
        <v>85</v>
      </c>
      <c r="D108" s="29" t="s">
        <v>7</v>
      </c>
      <c r="E108" s="14" t="s">
        <v>11</v>
      </c>
      <c r="F108" s="14" t="s">
        <v>9</v>
      </c>
      <c r="G108" s="22"/>
      <c r="H108" s="22"/>
      <c r="I108" s="22"/>
      <c r="J108" s="22"/>
      <c r="K108" s="22"/>
      <c r="L108" s="22" t="s">
        <v>86</v>
      </c>
      <c r="M108" s="22" t="s">
        <v>86</v>
      </c>
      <c r="N108" s="22" t="s">
        <v>86</v>
      </c>
      <c r="O108" s="22" t="s">
        <v>86</v>
      </c>
      <c r="P108" s="22" t="s">
        <v>86</v>
      </c>
      <c r="Q108" s="22" t="s">
        <v>86</v>
      </c>
      <c r="R108" s="22" t="s">
        <v>86</v>
      </c>
      <c r="S108" s="22" t="s">
        <v>86</v>
      </c>
      <c r="T108" s="22" t="s">
        <v>86</v>
      </c>
      <c r="U108" s="22" t="s">
        <v>86</v>
      </c>
      <c r="V108" s="22" t="s">
        <v>86</v>
      </c>
      <c r="W108" s="22" t="s">
        <v>86</v>
      </c>
      <c r="X108" s="22" t="s">
        <v>86</v>
      </c>
      <c r="Y108" s="22" t="s">
        <v>86</v>
      </c>
      <c r="Z108" s="22" t="s">
        <v>86</v>
      </c>
      <c r="AA108" s="22" t="s">
        <v>86</v>
      </c>
      <c r="AB108" s="22" t="s">
        <v>86</v>
      </c>
      <c r="AC108" s="22" t="s">
        <v>86</v>
      </c>
      <c r="AD108" s="22" t="s">
        <v>86</v>
      </c>
      <c r="AE108" s="22" t="s">
        <v>86</v>
      </c>
      <c r="AF108" s="22" t="s">
        <v>86</v>
      </c>
      <c r="AG108" s="22" t="s">
        <v>86</v>
      </c>
      <c r="AH108" s="22" t="s">
        <v>86</v>
      </c>
      <c r="AI108" s="22" t="s">
        <v>86</v>
      </c>
      <c r="AJ108" s="22" t="s">
        <v>86</v>
      </c>
      <c r="AK108" s="22" t="s">
        <v>86</v>
      </c>
      <c r="AL108" s="22" t="str">
        <f t="shared" si="271"/>
        <v>unc</v>
      </c>
      <c r="AM108" s="22" t="str">
        <f t="shared" si="272"/>
        <v>unc</v>
      </c>
      <c r="AN108" s="22" t="str">
        <f t="shared" si="273"/>
        <v>unc</v>
      </c>
      <c r="AO108" s="22" t="str">
        <f t="shared" si="274"/>
        <v>unc</v>
      </c>
      <c r="AP108" s="22" t="str">
        <f t="shared" si="275"/>
        <v>unc</v>
      </c>
      <c r="AQ108" s="22" t="str">
        <f t="shared" si="276"/>
        <v>unc</v>
      </c>
      <c r="AR108" s="22" t="str">
        <f t="shared" si="277"/>
        <v>unc</v>
      </c>
      <c r="AS108" s="22" t="str">
        <f t="shared" si="278"/>
        <v>unc</v>
      </c>
      <c r="AT108" s="22" t="str">
        <f t="shared" si="279"/>
        <v>unc</v>
      </c>
      <c r="AU108" s="22" t="str">
        <f t="shared" si="280"/>
        <v>unc</v>
      </c>
    </row>
    <row r="109" spans="1:47" ht="15.5" x14ac:dyDescent="0.35">
      <c r="A109" s="173" t="str">
        <f t="shared" si="291"/>
        <v>MOST_CNST_NO_COAL_NUC</v>
      </c>
      <c r="B109" s="28">
        <v>1</v>
      </c>
      <c r="C109" s="28" t="s">
        <v>85</v>
      </c>
      <c r="D109" s="28" t="s">
        <v>7</v>
      </c>
      <c r="E109" s="15" t="s">
        <v>8</v>
      </c>
      <c r="F109" s="15" t="s">
        <v>9</v>
      </c>
      <c r="G109" s="22"/>
      <c r="H109" s="22"/>
      <c r="I109" s="22"/>
      <c r="J109" s="22"/>
      <c r="K109" s="22"/>
      <c r="L109" s="22">
        <v>4624</v>
      </c>
      <c r="M109" s="22">
        <v>5299</v>
      </c>
      <c r="N109" s="22">
        <v>5974</v>
      </c>
      <c r="O109" s="22">
        <v>6649</v>
      </c>
      <c r="P109" s="22">
        <v>7324</v>
      </c>
      <c r="Q109" s="22">
        <v>7999</v>
      </c>
      <c r="R109" s="22">
        <v>8674</v>
      </c>
      <c r="S109" s="22">
        <v>9349</v>
      </c>
      <c r="T109" s="22">
        <v>10024</v>
      </c>
      <c r="U109" s="22">
        <v>10699</v>
      </c>
      <c r="V109" s="22">
        <v>11374</v>
      </c>
      <c r="W109" s="22">
        <v>11374</v>
      </c>
      <c r="X109" s="22">
        <v>11374</v>
      </c>
      <c r="Y109" s="22">
        <v>11374</v>
      </c>
      <c r="Z109" s="22">
        <v>11374</v>
      </c>
      <c r="AA109" s="22">
        <v>11374</v>
      </c>
      <c r="AB109" s="22">
        <v>11374</v>
      </c>
      <c r="AC109" s="22">
        <v>11374</v>
      </c>
      <c r="AD109" s="22">
        <v>11374</v>
      </c>
      <c r="AE109" s="22">
        <v>11374</v>
      </c>
      <c r="AF109" s="22">
        <v>11374</v>
      </c>
      <c r="AG109" s="22">
        <v>11374</v>
      </c>
      <c r="AH109" s="22">
        <v>11374</v>
      </c>
      <c r="AI109" s="22">
        <v>11374</v>
      </c>
      <c r="AJ109" s="22">
        <v>11374</v>
      </c>
      <c r="AK109" s="22">
        <v>11374</v>
      </c>
      <c r="AL109" s="22">
        <v>11374</v>
      </c>
      <c r="AM109" s="22">
        <v>11374</v>
      </c>
      <c r="AN109" s="22">
        <v>11374</v>
      </c>
      <c r="AO109" s="22">
        <v>11374</v>
      </c>
      <c r="AP109" s="22">
        <v>11374</v>
      </c>
      <c r="AQ109" s="22">
        <v>11374</v>
      </c>
      <c r="AR109" s="22">
        <v>11374</v>
      </c>
      <c r="AS109" s="22">
        <v>11374</v>
      </c>
      <c r="AT109" s="22">
        <v>11374</v>
      </c>
      <c r="AU109" s="22">
        <v>11374</v>
      </c>
    </row>
    <row r="110" spans="1:47" ht="15.5" x14ac:dyDescent="0.35">
      <c r="A110" s="173" t="str">
        <f t="shared" si="291"/>
        <v>MOST_CNST_NO_COAL_NUC</v>
      </c>
      <c r="B110" s="29">
        <v>1</v>
      </c>
      <c r="C110" s="29" t="s">
        <v>85</v>
      </c>
      <c r="D110" s="29" t="s">
        <v>7</v>
      </c>
      <c r="E110" s="14" t="s">
        <v>12</v>
      </c>
      <c r="F110" s="14" t="s">
        <v>9</v>
      </c>
      <c r="G110" s="22"/>
      <c r="H110" s="22"/>
      <c r="I110" s="22"/>
      <c r="J110" s="22"/>
      <c r="K110" s="22"/>
      <c r="L110" s="22" t="s">
        <v>86</v>
      </c>
      <c r="M110" s="22" t="s">
        <v>86</v>
      </c>
      <c r="N110" s="22" t="s">
        <v>86</v>
      </c>
      <c r="O110" s="22" t="s">
        <v>86</v>
      </c>
      <c r="P110" s="22" t="s">
        <v>86</v>
      </c>
      <c r="Q110" s="22" t="s">
        <v>86</v>
      </c>
      <c r="R110" s="22" t="s">
        <v>86</v>
      </c>
      <c r="S110" s="22" t="str">
        <f t="shared" ref="S110:S120" si="292">R110</f>
        <v>unc</v>
      </c>
      <c r="T110" s="22" t="str">
        <f t="shared" ref="T110:T120" si="293">S110</f>
        <v>unc</v>
      </c>
      <c r="U110" s="22" t="str">
        <f t="shared" ref="U110:U120" si="294">T110</f>
        <v>unc</v>
      </c>
      <c r="V110" s="22" t="str">
        <f t="shared" ref="V110:V120" si="295">U110</f>
        <v>unc</v>
      </c>
      <c r="W110" s="22" t="str">
        <f t="shared" ref="W110:W120" si="296">V110</f>
        <v>unc</v>
      </c>
      <c r="X110" s="22" t="str">
        <f t="shared" ref="X110:X122" si="297">W110</f>
        <v>unc</v>
      </c>
      <c r="Y110" s="22" t="str">
        <f t="shared" ref="Y110:Y122" si="298">X110</f>
        <v>unc</v>
      </c>
      <c r="Z110" s="22" t="str">
        <f t="shared" ref="Z110:Z122" si="299">Y110</f>
        <v>unc</v>
      </c>
      <c r="AA110" s="22" t="str">
        <f t="shared" ref="AA110:AA122" si="300">Z110</f>
        <v>unc</v>
      </c>
      <c r="AB110" s="22" t="str">
        <f t="shared" ref="AB110:AB122" si="301">AA110</f>
        <v>unc</v>
      </c>
      <c r="AC110" s="22" t="str">
        <f t="shared" ref="AC110:AC122" si="302">AB110</f>
        <v>unc</v>
      </c>
      <c r="AD110" s="22" t="str">
        <f t="shared" ref="AD110:AD122" si="303">AC110</f>
        <v>unc</v>
      </c>
      <c r="AE110" s="22" t="str">
        <f t="shared" ref="AE110:AE122" si="304">AD110</f>
        <v>unc</v>
      </c>
      <c r="AF110" s="22" t="str">
        <f t="shared" ref="AF110:AF122" si="305">AE110</f>
        <v>unc</v>
      </c>
      <c r="AG110" s="22" t="str">
        <f t="shared" ref="AG110:AG127" si="306">AF110</f>
        <v>unc</v>
      </c>
      <c r="AH110" s="22" t="str">
        <f t="shared" ref="AH110:AH127" si="307">AG110</f>
        <v>unc</v>
      </c>
      <c r="AI110" s="22" t="str">
        <f t="shared" ref="AI110:AI127" si="308">AH110</f>
        <v>unc</v>
      </c>
      <c r="AJ110" s="22" t="str">
        <f t="shared" ref="AJ110:AJ127" si="309">AI110</f>
        <v>unc</v>
      </c>
      <c r="AK110" s="22" t="str">
        <f t="shared" ref="AK110:AK127" si="310">AJ110</f>
        <v>unc</v>
      </c>
      <c r="AL110" s="22" t="str">
        <f t="shared" ref="AL110:AL127" si="311">AK110</f>
        <v>unc</v>
      </c>
      <c r="AM110" s="22" t="str">
        <f t="shared" ref="AM110:AM127" si="312">AL110</f>
        <v>unc</v>
      </c>
      <c r="AN110" s="22" t="str">
        <f t="shared" ref="AN110:AN127" si="313">AM110</f>
        <v>unc</v>
      </c>
      <c r="AO110" s="22" t="str">
        <f t="shared" ref="AO110:AO127" si="314">AN110</f>
        <v>unc</v>
      </c>
      <c r="AP110" s="22" t="str">
        <f t="shared" ref="AP110:AP127" si="315">AO110</f>
        <v>unc</v>
      </c>
      <c r="AQ110" s="22" t="str">
        <f t="shared" ref="AQ110:AQ127" si="316">AP110</f>
        <v>unc</v>
      </c>
      <c r="AR110" s="22" t="str">
        <f t="shared" ref="AR110:AR127" si="317">AQ110</f>
        <v>unc</v>
      </c>
      <c r="AS110" s="22" t="str">
        <f t="shared" ref="AS110:AS127" si="318">AR110</f>
        <v>unc</v>
      </c>
      <c r="AT110" s="22" t="str">
        <f t="shared" ref="AT110:AT127" si="319">AS110</f>
        <v>unc</v>
      </c>
      <c r="AU110" s="22" t="str">
        <f t="shared" ref="AU110:AU127" si="320">AT110</f>
        <v>unc</v>
      </c>
    </row>
    <row r="111" spans="1:47" ht="15.5" x14ac:dyDescent="0.35">
      <c r="A111" s="173" t="str">
        <f t="shared" si="291"/>
        <v>MOST_CNST_NO_COAL_NUC</v>
      </c>
      <c r="B111" s="28">
        <v>1</v>
      </c>
      <c r="C111" s="28" t="s">
        <v>85</v>
      </c>
      <c r="D111" s="28" t="s">
        <v>7</v>
      </c>
      <c r="E111" s="15" t="s">
        <v>13</v>
      </c>
      <c r="F111" s="15" t="s">
        <v>9</v>
      </c>
      <c r="G111" s="22"/>
      <c r="H111" s="22"/>
      <c r="I111" s="22"/>
      <c r="J111" s="22"/>
      <c r="K111" s="22"/>
      <c r="L111" s="22" t="s">
        <v>86</v>
      </c>
      <c r="M111" s="22" t="s">
        <v>86</v>
      </c>
      <c r="N111" s="22" t="s">
        <v>86</v>
      </c>
      <c r="O111" s="22" t="s">
        <v>86</v>
      </c>
      <c r="P111" s="22" t="s">
        <v>86</v>
      </c>
      <c r="Q111" s="22">
        <v>7000</v>
      </c>
      <c r="R111" s="22" t="s">
        <v>86</v>
      </c>
      <c r="S111" s="22" t="str">
        <f t="shared" si="292"/>
        <v>unc</v>
      </c>
      <c r="T111" s="22" t="str">
        <f t="shared" si="293"/>
        <v>unc</v>
      </c>
      <c r="U111" s="22" t="str">
        <f t="shared" si="294"/>
        <v>unc</v>
      </c>
      <c r="V111" s="22" t="str">
        <f t="shared" si="295"/>
        <v>unc</v>
      </c>
      <c r="W111" s="22" t="str">
        <f t="shared" si="296"/>
        <v>unc</v>
      </c>
      <c r="X111" s="22" t="str">
        <f t="shared" si="297"/>
        <v>unc</v>
      </c>
      <c r="Y111" s="22" t="str">
        <f t="shared" si="298"/>
        <v>unc</v>
      </c>
      <c r="Z111" s="22" t="str">
        <f t="shared" si="299"/>
        <v>unc</v>
      </c>
      <c r="AA111" s="22" t="str">
        <f t="shared" si="300"/>
        <v>unc</v>
      </c>
      <c r="AB111" s="22" t="str">
        <f t="shared" si="301"/>
        <v>unc</v>
      </c>
      <c r="AC111" s="22" t="str">
        <f t="shared" si="302"/>
        <v>unc</v>
      </c>
      <c r="AD111" s="22" t="str">
        <f t="shared" si="303"/>
        <v>unc</v>
      </c>
      <c r="AE111" s="22" t="str">
        <f t="shared" si="304"/>
        <v>unc</v>
      </c>
      <c r="AF111" s="22" t="str">
        <f t="shared" si="305"/>
        <v>unc</v>
      </c>
      <c r="AG111" s="22" t="str">
        <f t="shared" si="306"/>
        <v>unc</v>
      </c>
      <c r="AH111" s="22" t="str">
        <f t="shared" si="307"/>
        <v>unc</v>
      </c>
      <c r="AI111" s="22" t="str">
        <f t="shared" si="308"/>
        <v>unc</v>
      </c>
      <c r="AJ111" s="22" t="str">
        <f t="shared" si="309"/>
        <v>unc</v>
      </c>
      <c r="AK111" s="22" t="str">
        <f t="shared" si="310"/>
        <v>unc</v>
      </c>
      <c r="AL111" s="22" t="str">
        <f t="shared" si="311"/>
        <v>unc</v>
      </c>
      <c r="AM111" s="22" t="str">
        <f t="shared" si="312"/>
        <v>unc</v>
      </c>
      <c r="AN111" s="22" t="str">
        <f t="shared" si="313"/>
        <v>unc</v>
      </c>
      <c r="AO111" s="22" t="str">
        <f t="shared" si="314"/>
        <v>unc</v>
      </c>
      <c r="AP111" s="22" t="str">
        <f t="shared" si="315"/>
        <v>unc</v>
      </c>
      <c r="AQ111" s="22" t="str">
        <f t="shared" si="316"/>
        <v>unc</v>
      </c>
      <c r="AR111" s="22" t="str">
        <f t="shared" si="317"/>
        <v>unc</v>
      </c>
      <c r="AS111" s="22" t="str">
        <f t="shared" si="318"/>
        <v>unc</v>
      </c>
      <c r="AT111" s="22" t="str">
        <f t="shared" si="319"/>
        <v>unc</v>
      </c>
      <c r="AU111" s="22" t="str">
        <f t="shared" si="320"/>
        <v>unc</v>
      </c>
    </row>
    <row r="112" spans="1:47" ht="15.5" x14ac:dyDescent="0.35">
      <c r="A112" s="173" t="str">
        <f t="shared" si="291"/>
        <v>MOST_CNST_NO_COAL_NUC</v>
      </c>
      <c r="B112" s="29">
        <v>1</v>
      </c>
      <c r="C112" s="29" t="s">
        <v>85</v>
      </c>
      <c r="D112" s="29" t="s">
        <v>7</v>
      </c>
      <c r="E112" s="14" t="s">
        <v>14</v>
      </c>
      <c r="F112" s="14" t="s">
        <v>9</v>
      </c>
      <c r="G112" s="22"/>
      <c r="H112" s="22"/>
      <c r="I112" s="22"/>
      <c r="J112" s="22"/>
      <c r="K112" s="22"/>
      <c r="L112" s="22" t="s">
        <v>86</v>
      </c>
      <c r="M112" s="22" t="s">
        <v>86</v>
      </c>
      <c r="N112" s="22" t="s">
        <v>86</v>
      </c>
      <c r="O112" s="22" t="s">
        <v>86</v>
      </c>
      <c r="P112" s="22" t="s">
        <v>86</v>
      </c>
      <c r="Q112" s="22" t="s">
        <v>86</v>
      </c>
      <c r="R112" s="22" t="s">
        <v>86</v>
      </c>
      <c r="S112" s="22" t="str">
        <f t="shared" si="292"/>
        <v>unc</v>
      </c>
      <c r="T112" s="22" t="str">
        <f t="shared" si="293"/>
        <v>unc</v>
      </c>
      <c r="U112" s="22" t="str">
        <f t="shared" si="294"/>
        <v>unc</v>
      </c>
      <c r="V112" s="22" t="str">
        <f t="shared" si="295"/>
        <v>unc</v>
      </c>
      <c r="W112" s="22" t="str">
        <f t="shared" si="296"/>
        <v>unc</v>
      </c>
      <c r="X112" s="22" t="str">
        <f t="shared" si="297"/>
        <v>unc</v>
      </c>
      <c r="Y112" s="22" t="str">
        <f t="shared" si="298"/>
        <v>unc</v>
      </c>
      <c r="Z112" s="22" t="str">
        <f t="shared" si="299"/>
        <v>unc</v>
      </c>
      <c r="AA112" s="22" t="str">
        <f t="shared" si="300"/>
        <v>unc</v>
      </c>
      <c r="AB112" s="22" t="str">
        <f t="shared" si="301"/>
        <v>unc</v>
      </c>
      <c r="AC112" s="22" t="str">
        <f t="shared" si="302"/>
        <v>unc</v>
      </c>
      <c r="AD112" s="22" t="str">
        <f t="shared" si="303"/>
        <v>unc</v>
      </c>
      <c r="AE112" s="22" t="str">
        <f t="shared" si="304"/>
        <v>unc</v>
      </c>
      <c r="AF112" s="22" t="str">
        <f t="shared" si="305"/>
        <v>unc</v>
      </c>
      <c r="AG112" s="22" t="str">
        <f t="shared" si="306"/>
        <v>unc</v>
      </c>
      <c r="AH112" s="22" t="str">
        <f t="shared" si="307"/>
        <v>unc</v>
      </c>
      <c r="AI112" s="22" t="str">
        <f t="shared" si="308"/>
        <v>unc</v>
      </c>
      <c r="AJ112" s="22" t="str">
        <f t="shared" si="309"/>
        <v>unc</v>
      </c>
      <c r="AK112" s="22" t="str">
        <f t="shared" si="310"/>
        <v>unc</v>
      </c>
      <c r="AL112" s="22" t="str">
        <f t="shared" si="311"/>
        <v>unc</v>
      </c>
      <c r="AM112" s="22" t="str">
        <f t="shared" si="312"/>
        <v>unc</v>
      </c>
      <c r="AN112" s="22" t="str">
        <f t="shared" si="313"/>
        <v>unc</v>
      </c>
      <c r="AO112" s="22" t="str">
        <f t="shared" si="314"/>
        <v>unc</v>
      </c>
      <c r="AP112" s="22" t="str">
        <f t="shared" si="315"/>
        <v>unc</v>
      </c>
      <c r="AQ112" s="22" t="str">
        <f t="shared" si="316"/>
        <v>unc</v>
      </c>
      <c r="AR112" s="22" t="str">
        <f t="shared" si="317"/>
        <v>unc</v>
      </c>
      <c r="AS112" s="22" t="str">
        <f t="shared" si="318"/>
        <v>unc</v>
      </c>
      <c r="AT112" s="22" t="str">
        <f t="shared" si="319"/>
        <v>unc</v>
      </c>
      <c r="AU112" s="22" t="str">
        <f t="shared" si="320"/>
        <v>unc</v>
      </c>
    </row>
    <row r="113" spans="1:47" ht="15.5" x14ac:dyDescent="0.35">
      <c r="A113" s="173" t="str">
        <f t="shared" si="291"/>
        <v>MOST_CNST_NO_COAL_NUC</v>
      </c>
      <c r="B113" s="28">
        <v>1</v>
      </c>
      <c r="C113" s="28" t="s">
        <v>85</v>
      </c>
      <c r="D113" s="28" t="s">
        <v>7</v>
      </c>
      <c r="E113" s="15" t="s">
        <v>15</v>
      </c>
      <c r="F113" s="15" t="s">
        <v>16</v>
      </c>
      <c r="G113" s="22"/>
      <c r="H113" s="22"/>
      <c r="I113" s="22"/>
      <c r="J113" s="22"/>
      <c r="K113" s="22"/>
      <c r="L113" s="22" t="s">
        <v>86</v>
      </c>
      <c r="M113" s="22" t="s">
        <v>86</v>
      </c>
      <c r="N113" s="22" t="s">
        <v>86</v>
      </c>
      <c r="O113" s="22" t="s">
        <v>86</v>
      </c>
      <c r="P113" s="22" t="s">
        <v>86</v>
      </c>
      <c r="Q113" s="22" t="s">
        <v>86</v>
      </c>
      <c r="R113" s="22" t="s">
        <v>86</v>
      </c>
      <c r="S113" s="22" t="str">
        <f t="shared" si="292"/>
        <v>unc</v>
      </c>
      <c r="T113" s="22" t="str">
        <f t="shared" si="293"/>
        <v>unc</v>
      </c>
      <c r="U113" s="22" t="str">
        <f t="shared" si="294"/>
        <v>unc</v>
      </c>
      <c r="V113" s="22" t="str">
        <f t="shared" si="295"/>
        <v>unc</v>
      </c>
      <c r="W113" s="22" t="str">
        <f t="shared" si="296"/>
        <v>unc</v>
      </c>
      <c r="X113" s="22" t="str">
        <f t="shared" si="297"/>
        <v>unc</v>
      </c>
      <c r="Y113" s="22" t="str">
        <f t="shared" si="298"/>
        <v>unc</v>
      </c>
      <c r="Z113" s="22" t="str">
        <f t="shared" si="299"/>
        <v>unc</v>
      </c>
      <c r="AA113" s="22" t="str">
        <f t="shared" si="300"/>
        <v>unc</v>
      </c>
      <c r="AB113" s="22" t="str">
        <f t="shared" si="301"/>
        <v>unc</v>
      </c>
      <c r="AC113" s="22" t="str">
        <f t="shared" si="302"/>
        <v>unc</v>
      </c>
      <c r="AD113" s="22" t="str">
        <f t="shared" si="303"/>
        <v>unc</v>
      </c>
      <c r="AE113" s="22" t="str">
        <f t="shared" si="304"/>
        <v>unc</v>
      </c>
      <c r="AF113" s="22" t="str">
        <f t="shared" si="305"/>
        <v>unc</v>
      </c>
      <c r="AG113" s="22" t="str">
        <f t="shared" si="306"/>
        <v>unc</v>
      </c>
      <c r="AH113" s="22" t="str">
        <f t="shared" si="307"/>
        <v>unc</v>
      </c>
      <c r="AI113" s="22" t="str">
        <f t="shared" si="308"/>
        <v>unc</v>
      </c>
      <c r="AJ113" s="22" t="str">
        <f t="shared" si="309"/>
        <v>unc</v>
      </c>
      <c r="AK113" s="22" t="str">
        <f t="shared" si="310"/>
        <v>unc</v>
      </c>
      <c r="AL113" s="22" t="str">
        <f t="shared" si="311"/>
        <v>unc</v>
      </c>
      <c r="AM113" s="22" t="str">
        <f t="shared" si="312"/>
        <v>unc</v>
      </c>
      <c r="AN113" s="22" t="str">
        <f t="shared" si="313"/>
        <v>unc</v>
      </c>
      <c r="AO113" s="22" t="str">
        <f t="shared" si="314"/>
        <v>unc</v>
      </c>
      <c r="AP113" s="22" t="str">
        <f t="shared" si="315"/>
        <v>unc</v>
      </c>
      <c r="AQ113" s="22" t="str">
        <f t="shared" si="316"/>
        <v>unc</v>
      </c>
      <c r="AR113" s="22" t="str">
        <f t="shared" si="317"/>
        <v>unc</v>
      </c>
      <c r="AS113" s="22" t="str">
        <f t="shared" si="318"/>
        <v>unc</v>
      </c>
      <c r="AT113" s="22" t="str">
        <f t="shared" si="319"/>
        <v>unc</v>
      </c>
      <c r="AU113" s="22" t="str">
        <f t="shared" si="320"/>
        <v>unc</v>
      </c>
    </row>
    <row r="114" spans="1:47" ht="15.5" x14ac:dyDescent="0.35">
      <c r="A114" s="173" t="str">
        <f t="shared" si="291"/>
        <v>MOST_CNST_NO_COAL_NUC</v>
      </c>
      <c r="B114" s="29">
        <v>1</v>
      </c>
      <c r="C114" s="29" t="s">
        <v>85</v>
      </c>
      <c r="D114" s="29" t="s">
        <v>7</v>
      </c>
      <c r="E114" s="14" t="s">
        <v>17</v>
      </c>
      <c r="F114" s="14" t="s">
        <v>16</v>
      </c>
      <c r="G114" s="22"/>
      <c r="H114" s="22"/>
      <c r="I114" s="22"/>
      <c r="J114" s="22"/>
      <c r="K114" s="22"/>
      <c r="L114" s="22" t="s">
        <v>86</v>
      </c>
      <c r="M114" s="22" t="s">
        <v>86</v>
      </c>
      <c r="N114" s="22" t="s">
        <v>86</v>
      </c>
      <c r="O114" s="22" t="s">
        <v>86</v>
      </c>
      <c r="P114" s="22" t="s">
        <v>86</v>
      </c>
      <c r="Q114" s="22" t="s">
        <v>86</v>
      </c>
      <c r="R114" s="22" t="s">
        <v>86</v>
      </c>
      <c r="S114" s="22" t="str">
        <f t="shared" si="292"/>
        <v>unc</v>
      </c>
      <c r="T114" s="22" t="str">
        <f t="shared" si="293"/>
        <v>unc</v>
      </c>
      <c r="U114" s="22" t="str">
        <f t="shared" si="294"/>
        <v>unc</v>
      </c>
      <c r="V114" s="22" t="str">
        <f t="shared" si="295"/>
        <v>unc</v>
      </c>
      <c r="W114" s="22" t="str">
        <f t="shared" si="296"/>
        <v>unc</v>
      </c>
      <c r="X114" s="22" t="str">
        <f t="shared" si="297"/>
        <v>unc</v>
      </c>
      <c r="Y114" s="22" t="str">
        <f t="shared" si="298"/>
        <v>unc</v>
      </c>
      <c r="Z114" s="22" t="str">
        <f t="shared" si="299"/>
        <v>unc</v>
      </c>
      <c r="AA114" s="22" t="str">
        <f t="shared" si="300"/>
        <v>unc</v>
      </c>
      <c r="AB114" s="22" t="str">
        <f t="shared" si="301"/>
        <v>unc</v>
      </c>
      <c r="AC114" s="22" t="str">
        <f t="shared" si="302"/>
        <v>unc</v>
      </c>
      <c r="AD114" s="22" t="str">
        <f t="shared" si="303"/>
        <v>unc</v>
      </c>
      <c r="AE114" s="22" t="str">
        <f t="shared" si="304"/>
        <v>unc</v>
      </c>
      <c r="AF114" s="22" t="str">
        <f t="shared" si="305"/>
        <v>unc</v>
      </c>
      <c r="AG114" s="22" t="str">
        <f t="shared" si="306"/>
        <v>unc</v>
      </c>
      <c r="AH114" s="22" t="str">
        <f t="shared" si="307"/>
        <v>unc</v>
      </c>
      <c r="AI114" s="22" t="str">
        <f t="shared" si="308"/>
        <v>unc</v>
      </c>
      <c r="AJ114" s="22" t="str">
        <f t="shared" si="309"/>
        <v>unc</v>
      </c>
      <c r="AK114" s="22" t="str">
        <f t="shared" si="310"/>
        <v>unc</v>
      </c>
      <c r="AL114" s="22" t="str">
        <f t="shared" si="311"/>
        <v>unc</v>
      </c>
      <c r="AM114" s="22" t="str">
        <f t="shared" si="312"/>
        <v>unc</v>
      </c>
      <c r="AN114" s="22" t="str">
        <f t="shared" si="313"/>
        <v>unc</v>
      </c>
      <c r="AO114" s="22" t="str">
        <f t="shared" si="314"/>
        <v>unc</v>
      </c>
      <c r="AP114" s="22" t="str">
        <f t="shared" si="315"/>
        <v>unc</v>
      </c>
      <c r="AQ114" s="22" t="str">
        <f t="shared" si="316"/>
        <v>unc</v>
      </c>
      <c r="AR114" s="22" t="str">
        <f t="shared" si="317"/>
        <v>unc</v>
      </c>
      <c r="AS114" s="22" t="str">
        <f t="shared" si="318"/>
        <v>unc</v>
      </c>
      <c r="AT114" s="22" t="str">
        <f t="shared" si="319"/>
        <v>unc</v>
      </c>
      <c r="AU114" s="22" t="str">
        <f t="shared" si="320"/>
        <v>unc</v>
      </c>
    </row>
    <row r="115" spans="1:47" ht="15.5" x14ac:dyDescent="0.35">
      <c r="A115" s="173" t="str">
        <f t="shared" si="291"/>
        <v>MOST_CNST_NO_COAL_NUC</v>
      </c>
      <c r="B115" s="28">
        <v>1</v>
      </c>
      <c r="C115" s="28" t="s">
        <v>85</v>
      </c>
      <c r="D115" s="28" t="s">
        <v>7</v>
      </c>
      <c r="E115" s="15" t="s">
        <v>18</v>
      </c>
      <c r="F115" s="15" t="s">
        <v>16</v>
      </c>
      <c r="G115" s="22"/>
      <c r="H115" s="22"/>
      <c r="I115" s="22"/>
      <c r="J115" s="22"/>
      <c r="K115" s="22"/>
      <c r="L115" s="22" t="s">
        <v>86</v>
      </c>
      <c r="M115" s="22" t="s">
        <v>86</v>
      </c>
      <c r="N115" s="22" t="s">
        <v>86</v>
      </c>
      <c r="O115" s="22" t="s">
        <v>86</v>
      </c>
      <c r="P115" s="22" t="s">
        <v>86</v>
      </c>
      <c r="Q115" s="22" t="s">
        <v>86</v>
      </c>
      <c r="R115" s="22" t="s">
        <v>86</v>
      </c>
      <c r="S115" s="22" t="str">
        <f t="shared" si="292"/>
        <v>unc</v>
      </c>
      <c r="T115" s="22" t="str">
        <f t="shared" si="293"/>
        <v>unc</v>
      </c>
      <c r="U115" s="22" t="str">
        <f t="shared" si="294"/>
        <v>unc</v>
      </c>
      <c r="V115" s="22" t="str">
        <f t="shared" si="295"/>
        <v>unc</v>
      </c>
      <c r="W115" s="22" t="str">
        <f t="shared" si="296"/>
        <v>unc</v>
      </c>
      <c r="X115" s="22" t="str">
        <f t="shared" si="297"/>
        <v>unc</v>
      </c>
      <c r="Y115" s="22" t="str">
        <f t="shared" si="298"/>
        <v>unc</v>
      </c>
      <c r="Z115" s="22" t="str">
        <f t="shared" si="299"/>
        <v>unc</v>
      </c>
      <c r="AA115" s="22" t="str">
        <f t="shared" si="300"/>
        <v>unc</v>
      </c>
      <c r="AB115" s="22" t="str">
        <f t="shared" si="301"/>
        <v>unc</v>
      </c>
      <c r="AC115" s="22" t="str">
        <f t="shared" si="302"/>
        <v>unc</v>
      </c>
      <c r="AD115" s="22" t="str">
        <f t="shared" si="303"/>
        <v>unc</v>
      </c>
      <c r="AE115" s="22" t="str">
        <f t="shared" si="304"/>
        <v>unc</v>
      </c>
      <c r="AF115" s="22" t="str">
        <f t="shared" si="305"/>
        <v>unc</v>
      </c>
      <c r="AG115" s="22" t="str">
        <f t="shared" si="306"/>
        <v>unc</v>
      </c>
      <c r="AH115" s="22" t="str">
        <f t="shared" si="307"/>
        <v>unc</v>
      </c>
      <c r="AI115" s="22" t="str">
        <f t="shared" si="308"/>
        <v>unc</v>
      </c>
      <c r="AJ115" s="22" t="str">
        <f t="shared" si="309"/>
        <v>unc</v>
      </c>
      <c r="AK115" s="22" t="str">
        <f t="shared" si="310"/>
        <v>unc</v>
      </c>
      <c r="AL115" s="22" t="str">
        <f t="shared" si="311"/>
        <v>unc</v>
      </c>
      <c r="AM115" s="22" t="str">
        <f t="shared" si="312"/>
        <v>unc</v>
      </c>
      <c r="AN115" s="22" t="str">
        <f t="shared" si="313"/>
        <v>unc</v>
      </c>
      <c r="AO115" s="22" t="str">
        <f t="shared" si="314"/>
        <v>unc</v>
      </c>
      <c r="AP115" s="22" t="str">
        <f t="shared" si="315"/>
        <v>unc</v>
      </c>
      <c r="AQ115" s="22" t="str">
        <f t="shared" si="316"/>
        <v>unc</v>
      </c>
      <c r="AR115" s="22" t="str">
        <f t="shared" si="317"/>
        <v>unc</v>
      </c>
      <c r="AS115" s="22" t="str">
        <f t="shared" si="318"/>
        <v>unc</v>
      </c>
      <c r="AT115" s="22" t="str">
        <f t="shared" si="319"/>
        <v>unc</v>
      </c>
      <c r="AU115" s="22" t="str">
        <f t="shared" si="320"/>
        <v>unc</v>
      </c>
    </row>
    <row r="116" spans="1:47" ht="15.5" x14ac:dyDescent="0.35">
      <c r="A116" s="173" t="str">
        <f t="shared" si="291"/>
        <v>MOST_CNST_NO_COAL_NUC</v>
      </c>
      <c r="B116" s="29">
        <v>1</v>
      </c>
      <c r="C116" s="29" t="s">
        <v>85</v>
      </c>
      <c r="D116" s="29" t="s">
        <v>7</v>
      </c>
      <c r="E116" s="14" t="s">
        <v>19</v>
      </c>
      <c r="F116" s="14" t="s">
        <v>16</v>
      </c>
      <c r="G116" s="22"/>
      <c r="H116" s="22"/>
      <c r="I116" s="22"/>
      <c r="J116" s="22"/>
      <c r="K116" s="22"/>
      <c r="L116" s="22" t="s">
        <v>86</v>
      </c>
      <c r="M116" s="22" t="s">
        <v>86</v>
      </c>
      <c r="N116" s="22" t="s">
        <v>86</v>
      </c>
      <c r="O116" s="22" t="s">
        <v>86</v>
      </c>
      <c r="P116" s="22" t="s">
        <v>86</v>
      </c>
      <c r="Q116" s="22" t="s">
        <v>86</v>
      </c>
      <c r="R116" s="22" t="s">
        <v>86</v>
      </c>
      <c r="S116" s="22" t="str">
        <f t="shared" si="292"/>
        <v>unc</v>
      </c>
      <c r="T116" s="22" t="str">
        <f t="shared" si="293"/>
        <v>unc</v>
      </c>
      <c r="U116" s="22" t="str">
        <f t="shared" si="294"/>
        <v>unc</v>
      </c>
      <c r="V116" s="22" t="str">
        <f t="shared" si="295"/>
        <v>unc</v>
      </c>
      <c r="W116" s="22" t="str">
        <f t="shared" si="296"/>
        <v>unc</v>
      </c>
      <c r="X116" s="22" t="str">
        <f t="shared" si="297"/>
        <v>unc</v>
      </c>
      <c r="Y116" s="22" t="str">
        <f t="shared" si="298"/>
        <v>unc</v>
      </c>
      <c r="Z116" s="22" t="str">
        <f t="shared" si="299"/>
        <v>unc</v>
      </c>
      <c r="AA116" s="22" t="str">
        <f t="shared" si="300"/>
        <v>unc</v>
      </c>
      <c r="AB116" s="22" t="str">
        <f t="shared" si="301"/>
        <v>unc</v>
      </c>
      <c r="AC116" s="22" t="str">
        <f t="shared" si="302"/>
        <v>unc</v>
      </c>
      <c r="AD116" s="22" t="str">
        <f t="shared" si="303"/>
        <v>unc</v>
      </c>
      <c r="AE116" s="22" t="str">
        <f t="shared" si="304"/>
        <v>unc</v>
      </c>
      <c r="AF116" s="22" t="str">
        <f t="shared" si="305"/>
        <v>unc</v>
      </c>
      <c r="AG116" s="22" t="str">
        <f t="shared" si="306"/>
        <v>unc</v>
      </c>
      <c r="AH116" s="22" t="str">
        <f t="shared" si="307"/>
        <v>unc</v>
      </c>
      <c r="AI116" s="22" t="str">
        <f t="shared" si="308"/>
        <v>unc</v>
      </c>
      <c r="AJ116" s="22" t="str">
        <f t="shared" si="309"/>
        <v>unc</v>
      </c>
      <c r="AK116" s="22" t="str">
        <f t="shared" si="310"/>
        <v>unc</v>
      </c>
      <c r="AL116" s="22" t="str">
        <f t="shared" si="311"/>
        <v>unc</v>
      </c>
      <c r="AM116" s="22" t="str">
        <f t="shared" si="312"/>
        <v>unc</v>
      </c>
      <c r="AN116" s="22" t="str">
        <f t="shared" si="313"/>
        <v>unc</v>
      </c>
      <c r="AO116" s="22" t="str">
        <f t="shared" si="314"/>
        <v>unc</v>
      </c>
      <c r="AP116" s="22" t="str">
        <f t="shared" si="315"/>
        <v>unc</v>
      </c>
      <c r="AQ116" s="22" t="str">
        <f t="shared" si="316"/>
        <v>unc</v>
      </c>
      <c r="AR116" s="22" t="str">
        <f t="shared" si="317"/>
        <v>unc</v>
      </c>
      <c r="AS116" s="22" t="str">
        <f t="shared" si="318"/>
        <v>unc</v>
      </c>
      <c r="AT116" s="22" t="str">
        <f t="shared" si="319"/>
        <v>unc</v>
      </c>
      <c r="AU116" s="22" t="str">
        <f t="shared" si="320"/>
        <v>unc</v>
      </c>
    </row>
    <row r="117" spans="1:47" ht="15.5" x14ac:dyDescent="0.35">
      <c r="A117" s="173" t="str">
        <f t="shared" si="291"/>
        <v>MOST_CNST_NO_COAL_NUC</v>
      </c>
      <c r="B117" s="28">
        <v>1</v>
      </c>
      <c r="C117" s="28" t="s">
        <v>85</v>
      </c>
      <c r="D117" s="28" t="s">
        <v>7</v>
      </c>
      <c r="E117" s="15" t="s">
        <v>20</v>
      </c>
      <c r="F117" s="15" t="s">
        <v>16</v>
      </c>
      <c r="G117" s="22"/>
      <c r="H117" s="22"/>
      <c r="I117" s="22"/>
      <c r="J117" s="22"/>
      <c r="K117" s="22"/>
      <c r="L117" s="22" t="s">
        <v>86</v>
      </c>
      <c r="M117" s="22" t="s">
        <v>86</v>
      </c>
      <c r="N117" s="22" t="s">
        <v>86</v>
      </c>
      <c r="O117" s="22" t="s">
        <v>86</v>
      </c>
      <c r="P117" s="22" t="s">
        <v>86</v>
      </c>
      <c r="Q117" s="22" t="s">
        <v>86</v>
      </c>
      <c r="R117" s="22" t="s">
        <v>86</v>
      </c>
      <c r="S117" s="22" t="str">
        <f t="shared" si="292"/>
        <v>unc</v>
      </c>
      <c r="T117" s="22" t="str">
        <f t="shared" si="293"/>
        <v>unc</v>
      </c>
      <c r="U117" s="22" t="str">
        <f t="shared" si="294"/>
        <v>unc</v>
      </c>
      <c r="V117" s="22" t="str">
        <f t="shared" si="295"/>
        <v>unc</v>
      </c>
      <c r="W117" s="22" t="str">
        <f t="shared" si="296"/>
        <v>unc</v>
      </c>
      <c r="X117" s="22" t="str">
        <f t="shared" si="297"/>
        <v>unc</v>
      </c>
      <c r="Y117" s="22" t="str">
        <f t="shared" si="298"/>
        <v>unc</v>
      </c>
      <c r="Z117" s="22" t="str">
        <f t="shared" si="299"/>
        <v>unc</v>
      </c>
      <c r="AA117" s="22" t="str">
        <f t="shared" si="300"/>
        <v>unc</v>
      </c>
      <c r="AB117" s="22" t="str">
        <f t="shared" si="301"/>
        <v>unc</v>
      </c>
      <c r="AC117" s="22" t="str">
        <f t="shared" si="302"/>
        <v>unc</v>
      </c>
      <c r="AD117" s="22" t="str">
        <f t="shared" si="303"/>
        <v>unc</v>
      </c>
      <c r="AE117" s="22" t="str">
        <f t="shared" si="304"/>
        <v>unc</v>
      </c>
      <c r="AF117" s="22" t="str">
        <f t="shared" si="305"/>
        <v>unc</v>
      </c>
      <c r="AG117" s="22" t="str">
        <f t="shared" si="306"/>
        <v>unc</v>
      </c>
      <c r="AH117" s="22" t="str">
        <f t="shared" si="307"/>
        <v>unc</v>
      </c>
      <c r="AI117" s="22" t="str">
        <f t="shared" si="308"/>
        <v>unc</v>
      </c>
      <c r="AJ117" s="22" t="str">
        <f t="shared" si="309"/>
        <v>unc</v>
      </c>
      <c r="AK117" s="22" t="str">
        <f t="shared" si="310"/>
        <v>unc</v>
      </c>
      <c r="AL117" s="22" t="str">
        <f t="shared" si="311"/>
        <v>unc</v>
      </c>
      <c r="AM117" s="22" t="str">
        <f t="shared" si="312"/>
        <v>unc</v>
      </c>
      <c r="AN117" s="22" t="str">
        <f t="shared" si="313"/>
        <v>unc</v>
      </c>
      <c r="AO117" s="22" t="str">
        <f t="shared" si="314"/>
        <v>unc</v>
      </c>
      <c r="AP117" s="22" t="str">
        <f t="shared" si="315"/>
        <v>unc</v>
      </c>
      <c r="AQ117" s="22" t="str">
        <f t="shared" si="316"/>
        <v>unc</v>
      </c>
      <c r="AR117" s="22" t="str">
        <f t="shared" si="317"/>
        <v>unc</v>
      </c>
      <c r="AS117" s="22" t="str">
        <f t="shared" si="318"/>
        <v>unc</v>
      </c>
      <c r="AT117" s="22" t="str">
        <f t="shared" si="319"/>
        <v>unc</v>
      </c>
      <c r="AU117" s="22" t="str">
        <f t="shared" si="320"/>
        <v>unc</v>
      </c>
    </row>
    <row r="118" spans="1:47" ht="15.5" x14ac:dyDescent="0.35">
      <c r="A118" s="173" t="str">
        <f t="shared" si="291"/>
        <v>MOST_CNST_NO_COAL_NUC</v>
      </c>
      <c r="B118" s="29">
        <v>1</v>
      </c>
      <c r="C118" s="29" t="s">
        <v>85</v>
      </c>
      <c r="D118" s="29" t="s">
        <v>7</v>
      </c>
      <c r="E118" s="14" t="s">
        <v>21</v>
      </c>
      <c r="F118" s="14" t="s">
        <v>16</v>
      </c>
      <c r="G118" s="22"/>
      <c r="H118" s="22"/>
      <c r="I118" s="22"/>
      <c r="J118" s="22"/>
      <c r="K118" s="22"/>
      <c r="L118" s="22" t="s">
        <v>86</v>
      </c>
      <c r="M118" s="22" t="s">
        <v>86</v>
      </c>
      <c r="N118" s="22" t="s">
        <v>86</v>
      </c>
      <c r="O118" s="22" t="s">
        <v>86</v>
      </c>
      <c r="P118" s="22" t="s">
        <v>86</v>
      </c>
      <c r="Q118" s="22" t="s">
        <v>86</v>
      </c>
      <c r="R118" s="22" t="s">
        <v>86</v>
      </c>
      <c r="S118" s="22" t="str">
        <f t="shared" si="292"/>
        <v>unc</v>
      </c>
      <c r="T118" s="22" t="str">
        <f t="shared" si="293"/>
        <v>unc</v>
      </c>
      <c r="U118" s="22" t="str">
        <f t="shared" si="294"/>
        <v>unc</v>
      </c>
      <c r="V118" s="22" t="str">
        <f t="shared" si="295"/>
        <v>unc</v>
      </c>
      <c r="W118" s="22" t="str">
        <f t="shared" si="296"/>
        <v>unc</v>
      </c>
      <c r="X118" s="22" t="str">
        <f t="shared" si="297"/>
        <v>unc</v>
      </c>
      <c r="Y118" s="22" t="str">
        <f t="shared" si="298"/>
        <v>unc</v>
      </c>
      <c r="Z118" s="22" t="str">
        <f t="shared" si="299"/>
        <v>unc</v>
      </c>
      <c r="AA118" s="22" t="str">
        <f t="shared" si="300"/>
        <v>unc</v>
      </c>
      <c r="AB118" s="22" t="str">
        <f t="shared" si="301"/>
        <v>unc</v>
      </c>
      <c r="AC118" s="22" t="str">
        <f t="shared" si="302"/>
        <v>unc</v>
      </c>
      <c r="AD118" s="22" t="str">
        <f t="shared" si="303"/>
        <v>unc</v>
      </c>
      <c r="AE118" s="22" t="str">
        <f t="shared" si="304"/>
        <v>unc</v>
      </c>
      <c r="AF118" s="22" t="str">
        <f t="shared" si="305"/>
        <v>unc</v>
      </c>
      <c r="AG118" s="22" t="str">
        <f t="shared" si="306"/>
        <v>unc</v>
      </c>
      <c r="AH118" s="22" t="str">
        <f t="shared" si="307"/>
        <v>unc</v>
      </c>
      <c r="AI118" s="22" t="str">
        <f t="shared" si="308"/>
        <v>unc</v>
      </c>
      <c r="AJ118" s="22" t="str">
        <f t="shared" si="309"/>
        <v>unc</v>
      </c>
      <c r="AK118" s="22" t="str">
        <f t="shared" si="310"/>
        <v>unc</v>
      </c>
      <c r="AL118" s="22" t="str">
        <f t="shared" si="311"/>
        <v>unc</v>
      </c>
      <c r="AM118" s="22" t="str">
        <f t="shared" si="312"/>
        <v>unc</v>
      </c>
      <c r="AN118" s="22" t="str">
        <f t="shared" si="313"/>
        <v>unc</v>
      </c>
      <c r="AO118" s="22" t="str">
        <f t="shared" si="314"/>
        <v>unc</v>
      </c>
      <c r="AP118" s="22" t="str">
        <f t="shared" si="315"/>
        <v>unc</v>
      </c>
      <c r="AQ118" s="22" t="str">
        <f t="shared" si="316"/>
        <v>unc</v>
      </c>
      <c r="AR118" s="22" t="str">
        <f t="shared" si="317"/>
        <v>unc</v>
      </c>
      <c r="AS118" s="22" t="str">
        <f t="shared" si="318"/>
        <v>unc</v>
      </c>
      <c r="AT118" s="22" t="str">
        <f t="shared" si="319"/>
        <v>unc</v>
      </c>
      <c r="AU118" s="22" t="str">
        <f t="shared" si="320"/>
        <v>unc</v>
      </c>
    </row>
    <row r="119" spans="1:47" ht="15.5" x14ac:dyDescent="0.35">
      <c r="A119" s="173" t="str">
        <f t="shared" si="291"/>
        <v>MOST_CNST_NO_COAL_NUC</v>
      </c>
      <c r="B119" s="28">
        <v>1</v>
      </c>
      <c r="C119" s="28" t="s">
        <v>85</v>
      </c>
      <c r="D119" s="28" t="s">
        <v>7</v>
      </c>
      <c r="E119" s="15" t="s">
        <v>22</v>
      </c>
      <c r="F119" s="15" t="s">
        <v>16</v>
      </c>
      <c r="G119" s="22"/>
      <c r="H119" s="22"/>
      <c r="I119" s="22"/>
      <c r="J119" s="22"/>
      <c r="K119" s="22"/>
      <c r="L119" s="22" t="s">
        <v>86</v>
      </c>
      <c r="M119" s="22" t="s">
        <v>86</v>
      </c>
      <c r="N119" s="22" t="s">
        <v>86</v>
      </c>
      <c r="O119" s="22" t="s">
        <v>86</v>
      </c>
      <c r="P119" s="22" t="s">
        <v>86</v>
      </c>
      <c r="Q119" s="22" t="s">
        <v>86</v>
      </c>
      <c r="R119" s="22" t="s">
        <v>86</v>
      </c>
      <c r="S119" s="22" t="str">
        <f t="shared" si="292"/>
        <v>unc</v>
      </c>
      <c r="T119" s="22" t="str">
        <f t="shared" si="293"/>
        <v>unc</v>
      </c>
      <c r="U119" s="22" t="str">
        <f t="shared" si="294"/>
        <v>unc</v>
      </c>
      <c r="V119" s="22" t="str">
        <f t="shared" si="295"/>
        <v>unc</v>
      </c>
      <c r="W119" s="22" t="str">
        <f t="shared" si="296"/>
        <v>unc</v>
      </c>
      <c r="X119" s="22" t="str">
        <f t="shared" si="297"/>
        <v>unc</v>
      </c>
      <c r="Y119" s="22" t="str">
        <f t="shared" si="298"/>
        <v>unc</v>
      </c>
      <c r="Z119" s="22" t="str">
        <f t="shared" si="299"/>
        <v>unc</v>
      </c>
      <c r="AA119" s="22" t="str">
        <f t="shared" si="300"/>
        <v>unc</v>
      </c>
      <c r="AB119" s="22" t="str">
        <f t="shared" si="301"/>
        <v>unc</v>
      </c>
      <c r="AC119" s="22" t="str">
        <f t="shared" si="302"/>
        <v>unc</v>
      </c>
      <c r="AD119" s="22" t="str">
        <f t="shared" si="303"/>
        <v>unc</v>
      </c>
      <c r="AE119" s="22" t="str">
        <f t="shared" si="304"/>
        <v>unc</v>
      </c>
      <c r="AF119" s="22" t="str">
        <f t="shared" si="305"/>
        <v>unc</v>
      </c>
      <c r="AG119" s="22" t="str">
        <f t="shared" si="306"/>
        <v>unc</v>
      </c>
      <c r="AH119" s="22" t="str">
        <f t="shared" si="307"/>
        <v>unc</v>
      </c>
      <c r="AI119" s="22" t="str">
        <f t="shared" si="308"/>
        <v>unc</v>
      </c>
      <c r="AJ119" s="22" t="str">
        <f t="shared" si="309"/>
        <v>unc</v>
      </c>
      <c r="AK119" s="22" t="str">
        <f t="shared" si="310"/>
        <v>unc</v>
      </c>
      <c r="AL119" s="22" t="str">
        <f t="shared" si="311"/>
        <v>unc</v>
      </c>
      <c r="AM119" s="22" t="str">
        <f t="shared" si="312"/>
        <v>unc</v>
      </c>
      <c r="AN119" s="22" t="str">
        <f t="shared" si="313"/>
        <v>unc</v>
      </c>
      <c r="AO119" s="22" t="str">
        <f t="shared" si="314"/>
        <v>unc</v>
      </c>
      <c r="AP119" s="22" t="str">
        <f t="shared" si="315"/>
        <v>unc</v>
      </c>
      <c r="AQ119" s="22" t="str">
        <f t="shared" si="316"/>
        <v>unc</v>
      </c>
      <c r="AR119" s="22" t="str">
        <f t="shared" si="317"/>
        <v>unc</v>
      </c>
      <c r="AS119" s="22" t="str">
        <f t="shared" si="318"/>
        <v>unc</v>
      </c>
      <c r="AT119" s="22" t="str">
        <f t="shared" si="319"/>
        <v>unc</v>
      </c>
      <c r="AU119" s="22" t="str">
        <f t="shared" si="320"/>
        <v>unc</v>
      </c>
    </row>
    <row r="120" spans="1:47" ht="15.5" x14ac:dyDescent="0.35">
      <c r="A120" s="173" t="str">
        <f>A117</f>
        <v>MOST_CNST_NO_COAL_NUC</v>
      </c>
      <c r="B120" s="29">
        <v>1</v>
      </c>
      <c r="C120" s="29" t="s">
        <v>85</v>
      </c>
      <c r="D120" s="29" t="s">
        <v>7</v>
      </c>
      <c r="E120" s="14" t="s">
        <v>23</v>
      </c>
      <c r="F120" s="14" t="s">
        <v>16</v>
      </c>
      <c r="G120" s="22"/>
      <c r="H120" s="22"/>
      <c r="I120" s="22"/>
      <c r="J120" s="22"/>
      <c r="K120" s="22"/>
      <c r="L120" s="22" t="s">
        <v>86</v>
      </c>
      <c r="M120" s="22" t="s">
        <v>86</v>
      </c>
      <c r="N120" s="22" t="s">
        <v>86</v>
      </c>
      <c r="O120" s="22" t="s">
        <v>86</v>
      </c>
      <c r="P120" s="22" t="s">
        <v>86</v>
      </c>
      <c r="Q120" s="22" t="s">
        <v>86</v>
      </c>
      <c r="R120" s="22" t="s">
        <v>86</v>
      </c>
      <c r="S120" s="22" t="str">
        <f t="shared" si="292"/>
        <v>unc</v>
      </c>
      <c r="T120" s="22" t="str">
        <f t="shared" si="293"/>
        <v>unc</v>
      </c>
      <c r="U120" s="22" t="str">
        <f t="shared" si="294"/>
        <v>unc</v>
      </c>
      <c r="V120" s="22" t="str">
        <f t="shared" si="295"/>
        <v>unc</v>
      </c>
      <c r="W120" s="22" t="str">
        <f t="shared" si="296"/>
        <v>unc</v>
      </c>
      <c r="X120" s="22" t="str">
        <f t="shared" si="297"/>
        <v>unc</v>
      </c>
      <c r="Y120" s="22" t="str">
        <f t="shared" si="298"/>
        <v>unc</v>
      </c>
      <c r="Z120" s="22" t="str">
        <f t="shared" si="299"/>
        <v>unc</v>
      </c>
      <c r="AA120" s="22" t="str">
        <f t="shared" si="300"/>
        <v>unc</v>
      </c>
      <c r="AB120" s="22" t="str">
        <f t="shared" si="301"/>
        <v>unc</v>
      </c>
      <c r="AC120" s="22" t="str">
        <f t="shared" si="302"/>
        <v>unc</v>
      </c>
      <c r="AD120" s="22" t="str">
        <f t="shared" si="303"/>
        <v>unc</v>
      </c>
      <c r="AE120" s="22" t="str">
        <f t="shared" si="304"/>
        <v>unc</v>
      </c>
      <c r="AF120" s="22" t="str">
        <f t="shared" si="305"/>
        <v>unc</v>
      </c>
      <c r="AG120" s="22" t="str">
        <f t="shared" si="306"/>
        <v>unc</v>
      </c>
      <c r="AH120" s="22" t="str">
        <f t="shared" si="307"/>
        <v>unc</v>
      </c>
      <c r="AI120" s="22" t="str">
        <f t="shared" si="308"/>
        <v>unc</v>
      </c>
      <c r="AJ120" s="22" t="str">
        <f t="shared" si="309"/>
        <v>unc</v>
      </c>
      <c r="AK120" s="22" t="str">
        <f t="shared" si="310"/>
        <v>unc</v>
      </c>
      <c r="AL120" s="22" t="str">
        <f t="shared" si="311"/>
        <v>unc</v>
      </c>
      <c r="AM120" s="22" t="str">
        <f t="shared" si="312"/>
        <v>unc</v>
      </c>
      <c r="AN120" s="22" t="str">
        <f t="shared" si="313"/>
        <v>unc</v>
      </c>
      <c r="AO120" s="22" t="str">
        <f t="shared" si="314"/>
        <v>unc</v>
      </c>
      <c r="AP120" s="22" t="str">
        <f t="shared" si="315"/>
        <v>unc</v>
      </c>
      <c r="AQ120" s="22" t="str">
        <f t="shared" si="316"/>
        <v>unc</v>
      </c>
      <c r="AR120" s="22" t="str">
        <f t="shared" si="317"/>
        <v>unc</v>
      </c>
      <c r="AS120" s="22" t="str">
        <f t="shared" si="318"/>
        <v>unc</v>
      </c>
      <c r="AT120" s="22" t="str">
        <f t="shared" si="319"/>
        <v>unc</v>
      </c>
      <c r="AU120" s="22" t="str">
        <f t="shared" si="320"/>
        <v>unc</v>
      </c>
    </row>
    <row r="121" spans="1:47" ht="15.5" x14ac:dyDescent="0.35">
      <c r="A121" s="173" t="str">
        <f>A118</f>
        <v>MOST_CNST_NO_COAL_NUC</v>
      </c>
      <c r="B121" s="29">
        <v>1</v>
      </c>
      <c r="C121" s="29" t="s">
        <v>85</v>
      </c>
      <c r="D121" s="29" t="s">
        <v>7</v>
      </c>
      <c r="E121" s="14" t="s">
        <v>117</v>
      </c>
      <c r="F121" s="14" t="s">
        <v>16</v>
      </c>
      <c r="G121" s="22"/>
      <c r="H121" s="22"/>
      <c r="I121" s="22"/>
      <c r="J121" s="22"/>
      <c r="K121" s="22"/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f>V121</f>
        <v>0</v>
      </c>
      <c r="X121" s="22">
        <f t="shared" si="297"/>
        <v>0</v>
      </c>
      <c r="Y121" s="22">
        <f t="shared" si="298"/>
        <v>0</v>
      </c>
      <c r="Z121" s="22">
        <f t="shared" si="299"/>
        <v>0</v>
      </c>
      <c r="AA121" s="22">
        <f t="shared" si="300"/>
        <v>0</v>
      </c>
      <c r="AB121" s="22">
        <f t="shared" si="301"/>
        <v>0</v>
      </c>
      <c r="AC121" s="22">
        <f t="shared" si="302"/>
        <v>0</v>
      </c>
      <c r="AD121" s="22">
        <f t="shared" si="303"/>
        <v>0</v>
      </c>
      <c r="AE121" s="22">
        <f t="shared" si="304"/>
        <v>0</v>
      </c>
      <c r="AF121" s="22">
        <f t="shared" si="305"/>
        <v>0</v>
      </c>
      <c r="AG121" s="22">
        <f t="shared" si="306"/>
        <v>0</v>
      </c>
      <c r="AH121" s="22">
        <f t="shared" si="307"/>
        <v>0</v>
      </c>
      <c r="AI121" s="22">
        <f t="shared" si="308"/>
        <v>0</v>
      </c>
      <c r="AJ121" s="22">
        <f t="shared" si="309"/>
        <v>0</v>
      </c>
      <c r="AK121" s="22">
        <f t="shared" si="310"/>
        <v>0</v>
      </c>
      <c r="AL121" s="22">
        <f t="shared" si="311"/>
        <v>0</v>
      </c>
      <c r="AM121" s="22">
        <f t="shared" si="312"/>
        <v>0</v>
      </c>
      <c r="AN121" s="22">
        <f t="shared" si="313"/>
        <v>0</v>
      </c>
      <c r="AO121" s="22">
        <f t="shared" si="314"/>
        <v>0</v>
      </c>
      <c r="AP121" s="22">
        <f t="shared" si="315"/>
        <v>0</v>
      </c>
      <c r="AQ121" s="22">
        <f t="shared" si="316"/>
        <v>0</v>
      </c>
      <c r="AR121" s="22">
        <f t="shared" si="317"/>
        <v>0</v>
      </c>
      <c r="AS121" s="22">
        <f t="shared" si="318"/>
        <v>0</v>
      </c>
      <c r="AT121" s="22">
        <f t="shared" si="319"/>
        <v>0</v>
      </c>
      <c r="AU121" s="22">
        <f t="shared" si="320"/>
        <v>0</v>
      </c>
    </row>
    <row r="122" spans="1:47" ht="15.5" x14ac:dyDescent="0.35">
      <c r="A122" s="173" t="str">
        <f>A120</f>
        <v>MOST_CNST_NO_COAL_NUC</v>
      </c>
      <c r="B122" s="23">
        <v>1</v>
      </c>
      <c r="C122" s="23" t="s">
        <v>85</v>
      </c>
      <c r="D122" s="23" t="s">
        <v>7</v>
      </c>
      <c r="E122" s="24" t="s">
        <v>25</v>
      </c>
      <c r="F122" s="24" t="s">
        <v>16</v>
      </c>
      <c r="G122" s="22"/>
      <c r="H122" s="22"/>
      <c r="I122" s="22"/>
      <c r="J122" s="22"/>
      <c r="K122" s="22"/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f>V122</f>
        <v>0</v>
      </c>
      <c r="X122" s="22">
        <f t="shared" si="297"/>
        <v>0</v>
      </c>
      <c r="Y122" s="22">
        <f t="shared" si="298"/>
        <v>0</v>
      </c>
      <c r="Z122" s="22">
        <f t="shared" si="299"/>
        <v>0</v>
      </c>
      <c r="AA122" s="22">
        <f t="shared" si="300"/>
        <v>0</v>
      </c>
      <c r="AB122" s="22">
        <f t="shared" si="301"/>
        <v>0</v>
      </c>
      <c r="AC122" s="22">
        <f t="shared" si="302"/>
        <v>0</v>
      </c>
      <c r="AD122" s="22">
        <f t="shared" si="303"/>
        <v>0</v>
      </c>
      <c r="AE122" s="22">
        <f t="shared" si="304"/>
        <v>0</v>
      </c>
      <c r="AF122" s="22">
        <f t="shared" si="305"/>
        <v>0</v>
      </c>
      <c r="AG122" s="22">
        <f t="shared" si="306"/>
        <v>0</v>
      </c>
      <c r="AH122" s="22">
        <f t="shared" si="307"/>
        <v>0</v>
      </c>
      <c r="AI122" s="22">
        <f t="shared" si="308"/>
        <v>0</v>
      </c>
      <c r="AJ122" s="22">
        <f t="shared" si="309"/>
        <v>0</v>
      </c>
      <c r="AK122" s="22">
        <f t="shared" si="310"/>
        <v>0</v>
      </c>
      <c r="AL122" s="22">
        <f t="shared" si="311"/>
        <v>0</v>
      </c>
      <c r="AM122" s="22">
        <f t="shared" si="312"/>
        <v>0</v>
      </c>
      <c r="AN122" s="22">
        <f t="shared" si="313"/>
        <v>0</v>
      </c>
      <c r="AO122" s="22">
        <f t="shared" si="314"/>
        <v>0</v>
      </c>
      <c r="AP122" s="22">
        <f t="shared" si="315"/>
        <v>0</v>
      </c>
      <c r="AQ122" s="22">
        <f t="shared" si="316"/>
        <v>0</v>
      </c>
      <c r="AR122" s="22">
        <f t="shared" si="317"/>
        <v>0</v>
      </c>
      <c r="AS122" s="22">
        <f t="shared" si="318"/>
        <v>0</v>
      </c>
      <c r="AT122" s="22">
        <f t="shared" si="319"/>
        <v>0</v>
      </c>
      <c r="AU122" s="22">
        <f t="shared" si="320"/>
        <v>0</v>
      </c>
    </row>
    <row r="123" spans="1:47" ht="15.5" x14ac:dyDescent="0.35">
      <c r="A123" s="173" t="str">
        <f t="shared" ref="A123:A127" si="321">A122</f>
        <v>MOST_CNST_NO_COAL_NUC</v>
      </c>
      <c r="B123" s="20">
        <v>1</v>
      </c>
      <c r="C123" s="20" t="s">
        <v>85</v>
      </c>
      <c r="D123" s="20" t="s">
        <v>7</v>
      </c>
      <c r="E123" s="21" t="s">
        <v>26</v>
      </c>
      <c r="F123" s="21" t="s">
        <v>16</v>
      </c>
      <c r="G123" s="22"/>
      <c r="H123" s="22"/>
      <c r="I123" s="22"/>
      <c r="J123" s="22"/>
      <c r="K123" s="22"/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f>V123</f>
        <v>0</v>
      </c>
      <c r="X123" s="22">
        <f t="shared" ref="X123" si="322">W123</f>
        <v>0</v>
      </c>
      <c r="Y123" s="22">
        <f t="shared" ref="Y123" si="323">X123</f>
        <v>0</v>
      </c>
      <c r="Z123" s="22">
        <f t="shared" ref="Z123" si="324">Y123</f>
        <v>0</v>
      </c>
      <c r="AA123" s="22">
        <f t="shared" ref="AA123" si="325">Z123</f>
        <v>0</v>
      </c>
      <c r="AB123" s="22">
        <f t="shared" ref="AB123" si="326">AA123</f>
        <v>0</v>
      </c>
      <c r="AC123" s="22">
        <f t="shared" ref="AC123" si="327">AB123</f>
        <v>0</v>
      </c>
      <c r="AD123" s="22">
        <f t="shared" ref="AD123" si="328">AC123</f>
        <v>0</v>
      </c>
      <c r="AE123" s="22">
        <f t="shared" ref="AE123" si="329">AD123</f>
        <v>0</v>
      </c>
      <c r="AF123" s="22">
        <f t="shared" ref="AF123" si="330">AE123</f>
        <v>0</v>
      </c>
      <c r="AG123" s="22">
        <f t="shared" ref="AG123" si="331">AF123</f>
        <v>0</v>
      </c>
      <c r="AH123" s="22">
        <f t="shared" ref="AH123" si="332">AG123</f>
        <v>0</v>
      </c>
      <c r="AI123" s="22">
        <f t="shared" ref="AI123" si="333">AH123</f>
        <v>0</v>
      </c>
      <c r="AJ123" s="22">
        <f t="shared" ref="AJ123" si="334">AI123</f>
        <v>0</v>
      </c>
      <c r="AK123" s="22">
        <f t="shared" ref="AK123" si="335">AJ123</f>
        <v>0</v>
      </c>
      <c r="AL123" s="22">
        <f t="shared" ref="AL123" si="336">AK123</f>
        <v>0</v>
      </c>
      <c r="AM123" s="22">
        <f t="shared" ref="AM123" si="337">AL123</f>
        <v>0</v>
      </c>
      <c r="AN123" s="22">
        <f t="shared" ref="AN123" si="338">AM123</f>
        <v>0</v>
      </c>
      <c r="AO123" s="22">
        <f t="shared" ref="AO123" si="339">AN123</f>
        <v>0</v>
      </c>
      <c r="AP123" s="22">
        <f t="shared" ref="AP123" si="340">AO123</f>
        <v>0</v>
      </c>
      <c r="AQ123" s="22">
        <f t="shared" ref="AQ123" si="341">AP123</f>
        <v>0</v>
      </c>
      <c r="AR123" s="22">
        <f t="shared" ref="AR123" si="342">AQ123</f>
        <v>0</v>
      </c>
      <c r="AS123" s="22">
        <f t="shared" ref="AS123" si="343">AR123</f>
        <v>0</v>
      </c>
      <c r="AT123" s="22">
        <f t="shared" ref="AT123" si="344">AS123</f>
        <v>0</v>
      </c>
      <c r="AU123" s="22">
        <f t="shared" ref="AU123" si="345">AT123</f>
        <v>0</v>
      </c>
    </row>
    <row r="124" spans="1:47" ht="15.5" x14ac:dyDescent="0.35">
      <c r="A124" s="173" t="str">
        <f t="shared" si="321"/>
        <v>MOST_CNST_NO_COAL_NUC</v>
      </c>
      <c r="B124" s="23">
        <v>1</v>
      </c>
      <c r="C124" s="23" t="s">
        <v>85</v>
      </c>
      <c r="D124" s="23" t="s">
        <v>27</v>
      </c>
      <c r="E124" s="24" t="s">
        <v>28</v>
      </c>
      <c r="F124" s="24" t="s">
        <v>29</v>
      </c>
      <c r="G124" s="22"/>
      <c r="H124" s="22"/>
      <c r="I124" s="22"/>
      <c r="J124" s="22"/>
      <c r="K124" s="22"/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1500</v>
      </c>
      <c r="W124" s="22">
        <f t="shared" ref="W124" si="346">V124</f>
        <v>1500</v>
      </c>
      <c r="X124" s="22">
        <f t="shared" ref="X124" si="347">W124</f>
        <v>1500</v>
      </c>
      <c r="Y124" s="22">
        <f t="shared" ref="Y124" si="348">X124</f>
        <v>1500</v>
      </c>
      <c r="Z124" s="22">
        <f t="shared" ref="Z124" si="349">Y124</f>
        <v>1500</v>
      </c>
      <c r="AA124" s="22">
        <f t="shared" ref="AA124" si="350">Z124</f>
        <v>1500</v>
      </c>
      <c r="AB124" s="22">
        <f t="shared" ref="AB124" si="351">AA124</f>
        <v>1500</v>
      </c>
      <c r="AC124" s="22">
        <f t="shared" ref="AC124" si="352">AB124</f>
        <v>1500</v>
      </c>
      <c r="AD124" s="22">
        <f t="shared" ref="AD124" si="353">AC124</f>
        <v>1500</v>
      </c>
      <c r="AE124" s="22">
        <f t="shared" ref="AE124" si="354">AD124</f>
        <v>1500</v>
      </c>
      <c r="AF124" s="22">
        <f t="shared" ref="AF124" si="355">AE124</f>
        <v>1500</v>
      </c>
      <c r="AG124" s="22">
        <f t="shared" si="306"/>
        <v>1500</v>
      </c>
      <c r="AH124" s="22">
        <f t="shared" si="307"/>
        <v>1500</v>
      </c>
      <c r="AI124" s="22">
        <f t="shared" si="308"/>
        <v>1500</v>
      </c>
      <c r="AJ124" s="22">
        <f t="shared" si="309"/>
        <v>1500</v>
      </c>
      <c r="AK124" s="22">
        <f t="shared" si="310"/>
        <v>1500</v>
      </c>
      <c r="AL124" s="22">
        <f t="shared" si="311"/>
        <v>1500</v>
      </c>
      <c r="AM124" s="22">
        <f t="shared" si="312"/>
        <v>1500</v>
      </c>
      <c r="AN124" s="22">
        <f t="shared" si="313"/>
        <v>1500</v>
      </c>
      <c r="AO124" s="22">
        <f t="shared" si="314"/>
        <v>1500</v>
      </c>
      <c r="AP124" s="22">
        <f t="shared" si="315"/>
        <v>1500</v>
      </c>
      <c r="AQ124" s="22">
        <f t="shared" si="316"/>
        <v>1500</v>
      </c>
      <c r="AR124" s="22">
        <f t="shared" si="317"/>
        <v>1500</v>
      </c>
      <c r="AS124" s="22">
        <f t="shared" si="318"/>
        <v>1500</v>
      </c>
      <c r="AT124" s="22">
        <f t="shared" si="319"/>
        <v>1500</v>
      </c>
      <c r="AU124" s="22">
        <f t="shared" si="320"/>
        <v>1500</v>
      </c>
    </row>
    <row r="125" spans="1:47" ht="15.5" x14ac:dyDescent="0.35">
      <c r="A125" s="173" t="str">
        <f t="shared" si="321"/>
        <v>MOST_CNST_NO_COAL_NUC</v>
      </c>
      <c r="B125" s="20">
        <v>1</v>
      </c>
      <c r="C125" s="20" t="s">
        <v>85</v>
      </c>
      <c r="D125" s="20" t="s">
        <v>27</v>
      </c>
      <c r="E125" s="21" t="s">
        <v>30</v>
      </c>
      <c r="F125" s="21" t="s">
        <v>29</v>
      </c>
      <c r="G125" s="22"/>
      <c r="H125" s="22"/>
      <c r="I125" s="22"/>
      <c r="J125" s="22"/>
      <c r="K125" s="22"/>
      <c r="L125" s="22" t="s">
        <v>86</v>
      </c>
      <c r="M125" s="22" t="s">
        <v>86</v>
      </c>
      <c r="N125" s="22" t="s">
        <v>86</v>
      </c>
      <c r="O125" s="22" t="s">
        <v>86</v>
      </c>
      <c r="P125" s="22" t="s">
        <v>86</v>
      </c>
      <c r="Q125" s="22" t="s">
        <v>86</v>
      </c>
      <c r="R125" s="22" t="s">
        <v>86</v>
      </c>
      <c r="S125" s="22" t="s">
        <v>86</v>
      </c>
      <c r="T125" s="22" t="s">
        <v>86</v>
      </c>
      <c r="U125" s="22" t="s">
        <v>86</v>
      </c>
      <c r="V125" s="22" t="s">
        <v>86</v>
      </c>
      <c r="W125" s="22" t="s">
        <v>86</v>
      </c>
      <c r="X125" s="22" t="s">
        <v>86</v>
      </c>
      <c r="Y125" s="22" t="s">
        <v>86</v>
      </c>
      <c r="Z125" s="22" t="s">
        <v>86</v>
      </c>
      <c r="AA125" s="22" t="s">
        <v>86</v>
      </c>
      <c r="AB125" s="22" t="s">
        <v>86</v>
      </c>
      <c r="AC125" s="22" t="s">
        <v>86</v>
      </c>
      <c r="AD125" s="22" t="s">
        <v>86</v>
      </c>
      <c r="AE125" s="22" t="s">
        <v>86</v>
      </c>
      <c r="AF125" s="22" t="s">
        <v>86</v>
      </c>
      <c r="AG125" s="22" t="str">
        <f t="shared" si="306"/>
        <v>unc</v>
      </c>
      <c r="AH125" s="22" t="str">
        <f t="shared" si="307"/>
        <v>unc</v>
      </c>
      <c r="AI125" s="22" t="str">
        <f t="shared" si="308"/>
        <v>unc</v>
      </c>
      <c r="AJ125" s="22" t="str">
        <f t="shared" si="309"/>
        <v>unc</v>
      </c>
      <c r="AK125" s="22" t="str">
        <f t="shared" si="310"/>
        <v>unc</v>
      </c>
      <c r="AL125" s="22" t="str">
        <f t="shared" si="311"/>
        <v>unc</v>
      </c>
      <c r="AM125" s="22" t="str">
        <f t="shared" si="312"/>
        <v>unc</v>
      </c>
      <c r="AN125" s="22" t="str">
        <f t="shared" si="313"/>
        <v>unc</v>
      </c>
      <c r="AO125" s="22" t="str">
        <f t="shared" si="314"/>
        <v>unc</v>
      </c>
      <c r="AP125" s="22" t="str">
        <f t="shared" si="315"/>
        <v>unc</v>
      </c>
      <c r="AQ125" s="22" t="str">
        <f t="shared" si="316"/>
        <v>unc</v>
      </c>
      <c r="AR125" s="22" t="str">
        <f t="shared" si="317"/>
        <v>unc</v>
      </c>
      <c r="AS125" s="22" t="str">
        <f t="shared" si="318"/>
        <v>unc</v>
      </c>
      <c r="AT125" s="22" t="str">
        <f t="shared" si="319"/>
        <v>unc</v>
      </c>
      <c r="AU125" s="22" t="str">
        <f t="shared" si="320"/>
        <v>unc</v>
      </c>
    </row>
    <row r="126" spans="1:47" ht="15.5" x14ac:dyDescent="0.35">
      <c r="A126" s="173" t="str">
        <f t="shared" si="321"/>
        <v>MOST_CNST_NO_COAL_NUC</v>
      </c>
      <c r="B126" s="23">
        <v>1</v>
      </c>
      <c r="C126" s="23" t="s">
        <v>85</v>
      </c>
      <c r="D126" s="23" t="s">
        <v>27</v>
      </c>
      <c r="E126" s="24" t="s">
        <v>32</v>
      </c>
      <c r="F126" s="24" t="s">
        <v>29</v>
      </c>
      <c r="G126" s="22"/>
      <c r="H126" s="22"/>
      <c r="I126" s="22"/>
      <c r="J126" s="22"/>
      <c r="K126" s="22"/>
      <c r="L126" s="22" t="s">
        <v>86</v>
      </c>
      <c r="M126" s="22" t="s">
        <v>86</v>
      </c>
      <c r="N126" s="22" t="s">
        <v>86</v>
      </c>
      <c r="O126" s="22" t="s">
        <v>86</v>
      </c>
      <c r="P126" s="22" t="s">
        <v>86</v>
      </c>
      <c r="Q126" s="22" t="s">
        <v>86</v>
      </c>
      <c r="R126" s="22" t="s">
        <v>86</v>
      </c>
      <c r="S126" s="22" t="s">
        <v>86</v>
      </c>
      <c r="T126" s="22" t="s">
        <v>86</v>
      </c>
      <c r="U126" s="22" t="s">
        <v>86</v>
      </c>
      <c r="V126" s="22" t="s">
        <v>86</v>
      </c>
      <c r="W126" s="22" t="s">
        <v>86</v>
      </c>
      <c r="X126" s="22" t="s">
        <v>86</v>
      </c>
      <c r="Y126" s="22" t="s">
        <v>86</v>
      </c>
      <c r="Z126" s="22" t="s">
        <v>86</v>
      </c>
      <c r="AA126" s="22" t="s">
        <v>86</v>
      </c>
      <c r="AB126" s="22" t="s">
        <v>86</v>
      </c>
      <c r="AC126" s="22" t="s">
        <v>86</v>
      </c>
      <c r="AD126" s="22" t="s">
        <v>86</v>
      </c>
      <c r="AE126" s="22" t="s">
        <v>86</v>
      </c>
      <c r="AF126" s="22" t="s">
        <v>86</v>
      </c>
      <c r="AG126" s="22" t="str">
        <f t="shared" si="306"/>
        <v>unc</v>
      </c>
      <c r="AH126" s="22" t="str">
        <f t="shared" si="307"/>
        <v>unc</v>
      </c>
      <c r="AI126" s="22" t="str">
        <f t="shared" si="308"/>
        <v>unc</v>
      </c>
      <c r="AJ126" s="22" t="str">
        <f t="shared" si="309"/>
        <v>unc</v>
      </c>
      <c r="AK126" s="22" t="str">
        <f t="shared" si="310"/>
        <v>unc</v>
      </c>
      <c r="AL126" s="22" t="str">
        <f t="shared" si="311"/>
        <v>unc</v>
      </c>
      <c r="AM126" s="22" t="str">
        <f t="shared" si="312"/>
        <v>unc</v>
      </c>
      <c r="AN126" s="22" t="str">
        <f t="shared" si="313"/>
        <v>unc</v>
      </c>
      <c r="AO126" s="22" t="str">
        <f t="shared" si="314"/>
        <v>unc</v>
      </c>
      <c r="AP126" s="22" t="str">
        <f t="shared" si="315"/>
        <v>unc</v>
      </c>
      <c r="AQ126" s="22" t="str">
        <f t="shared" si="316"/>
        <v>unc</v>
      </c>
      <c r="AR126" s="22" t="str">
        <f t="shared" si="317"/>
        <v>unc</v>
      </c>
      <c r="AS126" s="22" t="str">
        <f t="shared" si="318"/>
        <v>unc</v>
      </c>
      <c r="AT126" s="22" t="str">
        <f t="shared" si="319"/>
        <v>unc</v>
      </c>
      <c r="AU126" s="22" t="str">
        <f t="shared" si="320"/>
        <v>unc</v>
      </c>
    </row>
    <row r="127" spans="1:47" ht="15.5" x14ac:dyDescent="0.35">
      <c r="A127" s="173" t="str">
        <f t="shared" si="321"/>
        <v>MOST_CNST_NO_COAL_NUC</v>
      </c>
      <c r="B127" s="25">
        <v>1</v>
      </c>
      <c r="C127" s="25" t="s">
        <v>85</v>
      </c>
      <c r="D127" s="25" t="s">
        <v>27</v>
      </c>
      <c r="E127" s="26" t="s">
        <v>33</v>
      </c>
      <c r="F127" s="26" t="s">
        <v>29</v>
      </c>
      <c r="G127" s="27"/>
      <c r="H127" s="27"/>
      <c r="I127" s="27"/>
      <c r="J127" s="27"/>
      <c r="K127" s="27"/>
      <c r="L127" s="27" t="s">
        <v>86</v>
      </c>
      <c r="M127" s="27" t="s">
        <v>86</v>
      </c>
      <c r="N127" s="27" t="s">
        <v>86</v>
      </c>
      <c r="O127" s="27" t="s">
        <v>86</v>
      </c>
      <c r="P127" s="27" t="s">
        <v>86</v>
      </c>
      <c r="Q127" s="27" t="s">
        <v>86</v>
      </c>
      <c r="R127" s="27" t="s">
        <v>86</v>
      </c>
      <c r="S127" s="27" t="s">
        <v>86</v>
      </c>
      <c r="T127" s="27" t="s">
        <v>86</v>
      </c>
      <c r="U127" s="27" t="s">
        <v>86</v>
      </c>
      <c r="V127" s="27" t="s">
        <v>86</v>
      </c>
      <c r="W127" s="27" t="s">
        <v>86</v>
      </c>
      <c r="X127" s="27" t="s">
        <v>86</v>
      </c>
      <c r="Y127" s="27" t="s">
        <v>86</v>
      </c>
      <c r="Z127" s="27" t="s">
        <v>86</v>
      </c>
      <c r="AA127" s="27" t="s">
        <v>86</v>
      </c>
      <c r="AB127" s="27" t="s">
        <v>86</v>
      </c>
      <c r="AC127" s="27" t="s">
        <v>86</v>
      </c>
      <c r="AD127" s="27" t="s">
        <v>86</v>
      </c>
      <c r="AE127" s="27" t="s">
        <v>86</v>
      </c>
      <c r="AF127" s="27" t="s">
        <v>86</v>
      </c>
      <c r="AG127" s="22" t="str">
        <f t="shared" si="306"/>
        <v>unc</v>
      </c>
      <c r="AH127" s="22" t="str">
        <f t="shared" si="307"/>
        <v>unc</v>
      </c>
      <c r="AI127" s="22" t="str">
        <f t="shared" si="308"/>
        <v>unc</v>
      </c>
      <c r="AJ127" s="22" t="str">
        <f t="shared" si="309"/>
        <v>unc</v>
      </c>
      <c r="AK127" s="22" t="str">
        <f t="shared" si="310"/>
        <v>unc</v>
      </c>
      <c r="AL127" s="22" t="str">
        <f t="shared" si="311"/>
        <v>unc</v>
      </c>
      <c r="AM127" s="22" t="str">
        <f t="shared" si="312"/>
        <v>unc</v>
      </c>
      <c r="AN127" s="22" t="str">
        <f t="shared" si="313"/>
        <v>unc</v>
      </c>
      <c r="AO127" s="22" t="str">
        <f t="shared" si="314"/>
        <v>unc</v>
      </c>
      <c r="AP127" s="22" t="str">
        <f t="shared" si="315"/>
        <v>unc</v>
      </c>
      <c r="AQ127" s="22" t="str">
        <f t="shared" si="316"/>
        <v>unc</v>
      </c>
      <c r="AR127" s="22" t="str">
        <f t="shared" si="317"/>
        <v>unc</v>
      </c>
      <c r="AS127" s="22" t="str">
        <f t="shared" si="318"/>
        <v>unc</v>
      </c>
      <c r="AT127" s="22" t="str">
        <f t="shared" si="319"/>
        <v>unc</v>
      </c>
      <c r="AU127" s="22" t="str">
        <f t="shared" si="320"/>
        <v>unc</v>
      </c>
    </row>
  </sheetData>
  <autoFilter ref="A1:F64" xr:uid="{00000000-0009-0000-0000-000003000000}"/>
  <conditionalFormatting sqref="G2:AU127">
    <cfRule type="cellIs" dxfId="20" priority="1" operator="equal">
      <formula>0</formula>
    </cfRule>
    <cfRule type="containsText" dxfId="19" priority="2" operator="containsText" text="unc">
      <formula>NOT(ISERROR(SEARCH("unc",G2)))</formula>
    </cfRule>
    <cfRule type="cellIs" dxfId="18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4"/>
  <sheetViews>
    <sheetView zoomScaleNormal="100" workbookViewId="0">
      <selection activeCell="E11" sqref="E11"/>
    </sheetView>
  </sheetViews>
  <sheetFormatPr defaultColWidth="8.6328125" defaultRowHeight="14.5" x14ac:dyDescent="0.35"/>
  <cols>
    <col min="1" max="1" width="26.08984375" customWidth="1"/>
    <col min="2" max="2" width="13.81640625" style="8" bestFit="1" customWidth="1"/>
    <col min="3" max="3" width="8.453125" style="8" bestFit="1" customWidth="1"/>
    <col min="4" max="4" width="11.453125" style="8" bestFit="1" customWidth="1"/>
    <col min="5" max="5" width="16.453125" style="8" bestFit="1" customWidth="1"/>
    <col min="6" max="6" width="11.453125" style="8" bestFit="1" customWidth="1"/>
    <col min="7" max="9" width="5.453125" style="8" customWidth="1"/>
    <col min="10" max="10" width="5.453125" style="8" bestFit="1" customWidth="1"/>
    <col min="11" max="11" width="5.453125" style="8" customWidth="1"/>
    <col min="12" max="32" width="6.453125" style="8" bestFit="1" customWidth="1"/>
    <col min="33" max="42" width="6.453125" bestFit="1" customWidth="1"/>
  </cols>
  <sheetData>
    <row r="1" spans="1:42" x14ac:dyDescent="0.35">
      <c r="A1" s="11" t="s">
        <v>34</v>
      </c>
      <c r="B1" s="109" t="s">
        <v>83</v>
      </c>
      <c r="C1" s="109" t="s">
        <v>84</v>
      </c>
      <c r="D1" s="109" t="s">
        <v>0</v>
      </c>
      <c r="E1" s="109" t="s">
        <v>1</v>
      </c>
      <c r="F1" s="109" t="s">
        <v>2</v>
      </c>
      <c r="G1" s="3">
        <v>2025</v>
      </c>
      <c r="H1" s="3">
        <f t="shared" ref="H1:AP1" si="0">G1+1</f>
        <v>2026</v>
      </c>
      <c r="I1" s="3">
        <f t="shared" si="0"/>
        <v>2027</v>
      </c>
      <c r="J1" s="3">
        <f t="shared" si="0"/>
        <v>2028</v>
      </c>
      <c r="K1" s="3">
        <f t="shared" si="0"/>
        <v>2029</v>
      </c>
      <c r="L1" s="3">
        <f t="shared" si="0"/>
        <v>2030</v>
      </c>
      <c r="M1" s="3">
        <f t="shared" si="0"/>
        <v>2031</v>
      </c>
      <c r="N1" s="3">
        <f t="shared" si="0"/>
        <v>2032</v>
      </c>
      <c r="O1" s="3">
        <f t="shared" si="0"/>
        <v>2033</v>
      </c>
      <c r="P1" s="3">
        <f t="shared" si="0"/>
        <v>2034</v>
      </c>
      <c r="Q1" s="3">
        <f t="shared" si="0"/>
        <v>2035</v>
      </c>
      <c r="R1" s="3">
        <f t="shared" si="0"/>
        <v>2036</v>
      </c>
      <c r="S1" s="3">
        <f t="shared" si="0"/>
        <v>2037</v>
      </c>
      <c r="T1" s="3">
        <f t="shared" si="0"/>
        <v>2038</v>
      </c>
      <c r="U1" s="3">
        <f t="shared" si="0"/>
        <v>2039</v>
      </c>
      <c r="V1" s="3">
        <f t="shared" si="0"/>
        <v>2040</v>
      </c>
      <c r="W1" s="3">
        <f t="shared" si="0"/>
        <v>2041</v>
      </c>
      <c r="X1" s="3">
        <f t="shared" si="0"/>
        <v>2042</v>
      </c>
      <c r="Y1" s="3">
        <f t="shared" si="0"/>
        <v>2043</v>
      </c>
      <c r="Z1" s="3">
        <f t="shared" si="0"/>
        <v>2044</v>
      </c>
      <c r="AA1" s="3">
        <f t="shared" si="0"/>
        <v>2045</v>
      </c>
      <c r="AB1" s="3">
        <f t="shared" si="0"/>
        <v>2046</v>
      </c>
      <c r="AC1" s="3">
        <f t="shared" si="0"/>
        <v>2047</v>
      </c>
      <c r="AD1" s="3">
        <f t="shared" si="0"/>
        <v>2048</v>
      </c>
      <c r="AE1" s="3">
        <f t="shared" si="0"/>
        <v>2049</v>
      </c>
      <c r="AF1" s="3">
        <f t="shared" si="0"/>
        <v>2050</v>
      </c>
      <c r="AG1" s="30">
        <f t="shared" si="0"/>
        <v>2051</v>
      </c>
      <c r="AH1" s="30">
        <f t="shared" si="0"/>
        <v>2052</v>
      </c>
      <c r="AI1" s="30">
        <f t="shared" si="0"/>
        <v>2053</v>
      </c>
      <c r="AJ1" s="30">
        <f t="shared" si="0"/>
        <v>2054</v>
      </c>
      <c r="AK1" s="30">
        <f t="shared" si="0"/>
        <v>2055</v>
      </c>
      <c r="AL1" s="30">
        <f t="shared" si="0"/>
        <v>2056</v>
      </c>
      <c r="AM1" s="30">
        <f t="shared" si="0"/>
        <v>2057</v>
      </c>
      <c r="AN1" s="30">
        <f t="shared" si="0"/>
        <v>2058</v>
      </c>
      <c r="AO1" s="30">
        <f t="shared" si="0"/>
        <v>2059</v>
      </c>
      <c r="AP1" s="30">
        <f t="shared" si="0"/>
        <v>2060</v>
      </c>
    </row>
    <row r="2" spans="1:42" ht="15.5" x14ac:dyDescent="0.35">
      <c r="A2" s="102" t="s">
        <v>90</v>
      </c>
      <c r="B2" s="28">
        <v>1</v>
      </c>
      <c r="C2" s="42" t="s">
        <v>85</v>
      </c>
      <c r="D2" s="15" t="s">
        <v>7</v>
      </c>
      <c r="E2" s="15" t="s">
        <v>8</v>
      </c>
      <c r="F2" s="15" t="s">
        <v>9</v>
      </c>
      <c r="G2" s="22">
        <v>4624</v>
      </c>
      <c r="H2" s="22">
        <f>G2+0.75*900</f>
        <v>5299</v>
      </c>
      <c r="I2" s="22">
        <f t="shared" ref="I2:Q2" si="1">H2+0.75*900</f>
        <v>5974</v>
      </c>
      <c r="J2" s="22">
        <f t="shared" si="1"/>
        <v>6649</v>
      </c>
      <c r="K2" s="22">
        <f t="shared" si="1"/>
        <v>7324</v>
      </c>
      <c r="L2" s="22">
        <f t="shared" si="1"/>
        <v>7999</v>
      </c>
      <c r="M2" s="22">
        <f t="shared" si="1"/>
        <v>8674</v>
      </c>
      <c r="N2" s="22">
        <f t="shared" si="1"/>
        <v>9349</v>
      </c>
      <c r="O2" s="22">
        <f t="shared" si="1"/>
        <v>10024</v>
      </c>
      <c r="P2" s="22">
        <f t="shared" si="1"/>
        <v>10699</v>
      </c>
      <c r="Q2" s="22">
        <f t="shared" si="1"/>
        <v>11374</v>
      </c>
      <c r="R2" s="22">
        <f>Q2</f>
        <v>11374</v>
      </c>
      <c r="S2" s="22">
        <f t="shared" ref="S2:AP4" si="2">R2</f>
        <v>11374</v>
      </c>
      <c r="T2" s="22">
        <f t="shared" si="2"/>
        <v>11374</v>
      </c>
      <c r="U2" s="22">
        <f t="shared" si="2"/>
        <v>11374</v>
      </c>
      <c r="V2" s="22">
        <f t="shared" si="2"/>
        <v>11374</v>
      </c>
      <c r="W2" s="22">
        <f t="shared" si="2"/>
        <v>11374</v>
      </c>
      <c r="X2" s="22">
        <f t="shared" si="2"/>
        <v>11374</v>
      </c>
      <c r="Y2" s="22">
        <f t="shared" si="2"/>
        <v>11374</v>
      </c>
      <c r="Z2" s="22">
        <f t="shared" si="2"/>
        <v>11374</v>
      </c>
      <c r="AA2" s="22">
        <f t="shared" si="2"/>
        <v>11374</v>
      </c>
      <c r="AB2" s="22">
        <f t="shared" si="2"/>
        <v>11374</v>
      </c>
      <c r="AC2" s="22">
        <f t="shared" si="2"/>
        <v>11374</v>
      </c>
      <c r="AD2" s="22">
        <f t="shared" si="2"/>
        <v>11374</v>
      </c>
      <c r="AE2" s="22">
        <f t="shared" si="2"/>
        <v>11374</v>
      </c>
      <c r="AF2" s="22">
        <f t="shared" si="2"/>
        <v>11374</v>
      </c>
      <c r="AG2" s="22">
        <f t="shared" si="2"/>
        <v>11374</v>
      </c>
      <c r="AH2" s="22">
        <f t="shared" si="2"/>
        <v>11374</v>
      </c>
      <c r="AI2" s="22">
        <f t="shared" si="2"/>
        <v>11374</v>
      </c>
      <c r="AJ2" s="22">
        <f t="shared" si="2"/>
        <v>11374</v>
      </c>
      <c r="AK2" s="22">
        <f t="shared" si="2"/>
        <v>11374</v>
      </c>
      <c r="AL2" s="22">
        <f t="shared" si="2"/>
        <v>11374</v>
      </c>
      <c r="AM2" s="22">
        <f t="shared" si="2"/>
        <v>11374</v>
      </c>
      <c r="AN2" s="22">
        <f t="shared" si="2"/>
        <v>11374</v>
      </c>
      <c r="AO2" s="22">
        <f t="shared" si="2"/>
        <v>11374</v>
      </c>
      <c r="AP2" s="22">
        <f t="shared" si="2"/>
        <v>11374</v>
      </c>
    </row>
    <row r="3" spans="1:42" ht="15.5" x14ac:dyDescent="0.35">
      <c r="A3" s="102" t="s">
        <v>90</v>
      </c>
      <c r="B3" s="28">
        <v>1</v>
      </c>
      <c r="C3" s="42" t="s">
        <v>85</v>
      </c>
      <c r="D3" s="15" t="s">
        <v>7</v>
      </c>
      <c r="E3" s="15" t="s">
        <v>11</v>
      </c>
      <c r="F3" s="15" t="s">
        <v>9</v>
      </c>
      <c r="G3" s="22">
        <v>1541</v>
      </c>
      <c r="H3" s="22">
        <f>G3+0.25*900</f>
        <v>1766</v>
      </c>
      <c r="I3" s="22">
        <f t="shared" ref="I3:Q3" si="3">H3+0.25*900</f>
        <v>1991</v>
      </c>
      <c r="J3" s="22">
        <f t="shared" si="3"/>
        <v>2216</v>
      </c>
      <c r="K3" s="22">
        <f t="shared" si="3"/>
        <v>2441</v>
      </c>
      <c r="L3" s="22">
        <f t="shared" si="3"/>
        <v>2666</v>
      </c>
      <c r="M3" s="22">
        <f t="shared" si="3"/>
        <v>2891</v>
      </c>
      <c r="N3" s="22">
        <f t="shared" si="3"/>
        <v>3116</v>
      </c>
      <c r="O3" s="22">
        <f t="shared" si="3"/>
        <v>3341</v>
      </c>
      <c r="P3" s="22">
        <f t="shared" si="3"/>
        <v>3566</v>
      </c>
      <c r="Q3" s="22">
        <f t="shared" si="3"/>
        <v>3791</v>
      </c>
      <c r="R3" s="22">
        <f>Q3</f>
        <v>3791</v>
      </c>
      <c r="S3" s="22">
        <f t="shared" si="2"/>
        <v>3791</v>
      </c>
      <c r="T3" s="22">
        <f t="shared" si="2"/>
        <v>3791</v>
      </c>
      <c r="U3" s="22">
        <f t="shared" si="2"/>
        <v>3791</v>
      </c>
      <c r="V3" s="22">
        <f t="shared" si="2"/>
        <v>3791</v>
      </c>
      <c r="W3" s="22">
        <f t="shared" si="2"/>
        <v>3791</v>
      </c>
      <c r="X3" s="22">
        <f t="shared" si="2"/>
        <v>3791</v>
      </c>
      <c r="Y3" s="22">
        <f t="shared" si="2"/>
        <v>3791</v>
      </c>
      <c r="Z3" s="22">
        <f t="shared" si="2"/>
        <v>3791</v>
      </c>
      <c r="AA3" s="22">
        <f t="shared" si="2"/>
        <v>3791</v>
      </c>
      <c r="AB3" s="22">
        <f t="shared" si="2"/>
        <v>3791</v>
      </c>
      <c r="AC3" s="22">
        <f t="shared" si="2"/>
        <v>3791</v>
      </c>
      <c r="AD3" s="22">
        <f t="shared" si="2"/>
        <v>3791</v>
      </c>
      <c r="AE3" s="22">
        <f t="shared" si="2"/>
        <v>3791</v>
      </c>
      <c r="AF3" s="22">
        <f t="shared" si="2"/>
        <v>3791</v>
      </c>
      <c r="AG3" s="22">
        <f t="shared" si="2"/>
        <v>3791</v>
      </c>
      <c r="AH3" s="22">
        <f t="shared" si="2"/>
        <v>3791</v>
      </c>
      <c r="AI3" s="22">
        <f t="shared" si="2"/>
        <v>3791</v>
      </c>
      <c r="AJ3" s="22">
        <f t="shared" si="2"/>
        <v>3791</v>
      </c>
      <c r="AK3" s="22">
        <f t="shared" si="2"/>
        <v>3791</v>
      </c>
      <c r="AL3" s="22">
        <f t="shared" si="2"/>
        <v>3791</v>
      </c>
      <c r="AM3" s="22">
        <f t="shared" si="2"/>
        <v>3791</v>
      </c>
      <c r="AN3" s="22">
        <f t="shared" si="2"/>
        <v>3791</v>
      </c>
      <c r="AO3" s="22">
        <f t="shared" si="2"/>
        <v>3791</v>
      </c>
      <c r="AP3" s="22">
        <f t="shared" si="2"/>
        <v>3791</v>
      </c>
    </row>
    <row r="4" spans="1:42" x14ac:dyDescent="0.35">
      <c r="A4" s="103" t="s">
        <v>108</v>
      </c>
      <c r="B4" s="104">
        <v>1</v>
      </c>
      <c r="C4" s="105" t="s">
        <v>85</v>
      </c>
      <c r="D4" s="107" t="s">
        <v>7</v>
      </c>
      <c r="E4" s="107" t="s">
        <v>109</v>
      </c>
      <c r="F4" s="107" t="s">
        <v>9</v>
      </c>
      <c r="G4" s="106">
        <f t="shared" ref="G4:Q4" si="4">G2+G3</f>
        <v>6165</v>
      </c>
      <c r="H4" s="106">
        <f t="shared" si="4"/>
        <v>7065</v>
      </c>
      <c r="I4" s="106">
        <f t="shared" si="4"/>
        <v>7965</v>
      </c>
      <c r="J4" s="106">
        <f t="shared" si="4"/>
        <v>8865</v>
      </c>
      <c r="K4" s="106">
        <f t="shared" si="4"/>
        <v>9765</v>
      </c>
      <c r="L4" s="106">
        <f t="shared" si="4"/>
        <v>10665</v>
      </c>
      <c r="M4" s="106">
        <f t="shared" si="4"/>
        <v>11565</v>
      </c>
      <c r="N4" s="106">
        <f t="shared" si="4"/>
        <v>12465</v>
      </c>
      <c r="O4" s="106">
        <f t="shared" si="4"/>
        <v>13365</v>
      </c>
      <c r="P4" s="106">
        <f t="shared" si="4"/>
        <v>14265</v>
      </c>
      <c r="Q4" s="106">
        <f t="shared" si="4"/>
        <v>15165</v>
      </c>
      <c r="R4" s="106">
        <f>Q4</f>
        <v>15165</v>
      </c>
      <c r="S4" s="106">
        <f t="shared" si="2"/>
        <v>15165</v>
      </c>
      <c r="T4" s="106">
        <f t="shared" si="2"/>
        <v>15165</v>
      </c>
      <c r="U4" s="106">
        <f t="shared" si="2"/>
        <v>15165</v>
      </c>
      <c r="V4" s="106">
        <f t="shared" si="2"/>
        <v>15165</v>
      </c>
      <c r="W4" s="106">
        <f t="shared" si="2"/>
        <v>15165</v>
      </c>
      <c r="X4" s="106">
        <f t="shared" si="2"/>
        <v>15165</v>
      </c>
      <c r="Y4" s="106">
        <f t="shared" si="2"/>
        <v>15165</v>
      </c>
      <c r="Z4" s="106">
        <f t="shared" si="2"/>
        <v>15165</v>
      </c>
      <c r="AA4" s="106">
        <f t="shared" si="2"/>
        <v>15165</v>
      </c>
      <c r="AB4" s="106">
        <f t="shared" si="2"/>
        <v>15165</v>
      </c>
      <c r="AC4" s="106">
        <f t="shared" si="2"/>
        <v>15165</v>
      </c>
      <c r="AD4" s="106">
        <f t="shared" si="2"/>
        <v>15165</v>
      </c>
      <c r="AE4" s="106">
        <f t="shared" si="2"/>
        <v>15165</v>
      </c>
      <c r="AF4" s="106">
        <f t="shared" si="2"/>
        <v>15165</v>
      </c>
      <c r="AG4" s="106">
        <f t="shared" si="2"/>
        <v>15165</v>
      </c>
      <c r="AH4" s="106">
        <f t="shared" si="2"/>
        <v>15165</v>
      </c>
      <c r="AI4" s="106">
        <f t="shared" si="2"/>
        <v>15165</v>
      </c>
      <c r="AJ4" s="106">
        <f t="shared" si="2"/>
        <v>15165</v>
      </c>
      <c r="AK4" s="106">
        <f t="shared" si="2"/>
        <v>15165</v>
      </c>
      <c r="AL4" s="106">
        <f t="shared" si="2"/>
        <v>15165</v>
      </c>
      <c r="AM4" s="106">
        <f t="shared" si="2"/>
        <v>15165</v>
      </c>
      <c r="AN4" s="106">
        <f t="shared" si="2"/>
        <v>15165</v>
      </c>
      <c r="AO4" s="106">
        <f t="shared" si="2"/>
        <v>15165</v>
      </c>
      <c r="AP4" s="106">
        <f t="shared" si="2"/>
        <v>15165</v>
      </c>
    </row>
    <row r="5" spans="1:42" ht="15.5" x14ac:dyDescent="0.35">
      <c r="A5" s="176" t="s">
        <v>110</v>
      </c>
      <c r="B5" s="28">
        <v>1</v>
      </c>
      <c r="C5" s="28" t="s">
        <v>85</v>
      </c>
      <c r="D5" s="15" t="s">
        <v>7</v>
      </c>
      <c r="E5" s="15" t="s">
        <v>11</v>
      </c>
      <c r="F5" s="15" t="s">
        <v>9</v>
      </c>
      <c r="G5" s="22">
        <f>G3</f>
        <v>1541</v>
      </c>
      <c r="H5" s="22">
        <f>H3</f>
        <v>1766</v>
      </c>
      <c r="I5" s="22">
        <f>I3</f>
        <v>1991</v>
      </c>
      <c r="J5" s="22">
        <f>J3</f>
        <v>2216</v>
      </c>
      <c r="K5" s="22">
        <f>K3</f>
        <v>2441</v>
      </c>
      <c r="L5" s="22">
        <v>4768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f t="shared" ref="AG5:AP5" si="5">AF5</f>
        <v>0</v>
      </c>
      <c r="AH5" s="22">
        <f t="shared" si="5"/>
        <v>0</v>
      </c>
      <c r="AI5" s="22">
        <f t="shared" si="5"/>
        <v>0</v>
      </c>
      <c r="AJ5" s="22">
        <f t="shared" si="5"/>
        <v>0</v>
      </c>
      <c r="AK5" s="22">
        <f t="shared" si="5"/>
        <v>0</v>
      </c>
      <c r="AL5" s="22">
        <f t="shared" si="5"/>
        <v>0</v>
      </c>
      <c r="AM5" s="22">
        <f t="shared" si="5"/>
        <v>0</v>
      </c>
      <c r="AN5" s="22">
        <f t="shared" si="5"/>
        <v>0</v>
      </c>
      <c r="AO5" s="22">
        <f t="shared" si="5"/>
        <v>0</v>
      </c>
      <c r="AP5" s="22">
        <f t="shared" si="5"/>
        <v>0</v>
      </c>
    </row>
    <row r="6" spans="1:42" ht="15.5" x14ac:dyDescent="0.35">
      <c r="A6" s="176" t="str">
        <f>A5</f>
        <v>MTSAO_BQ</v>
      </c>
      <c r="B6" s="28">
        <v>1</v>
      </c>
      <c r="C6" s="42" t="s">
        <v>85</v>
      </c>
      <c r="D6" s="15" t="s">
        <v>7</v>
      </c>
      <c r="E6" s="15" t="s">
        <v>8</v>
      </c>
      <c r="F6" s="15" t="s">
        <v>9</v>
      </c>
      <c r="G6" s="22">
        <f t="shared" ref="G6:AP6" si="6">G2</f>
        <v>4624</v>
      </c>
      <c r="H6" s="22">
        <f t="shared" si="6"/>
        <v>5299</v>
      </c>
      <c r="I6" s="22">
        <f t="shared" si="6"/>
        <v>5974</v>
      </c>
      <c r="J6" s="22">
        <f t="shared" si="6"/>
        <v>6649</v>
      </c>
      <c r="K6" s="22">
        <f t="shared" si="6"/>
        <v>7324</v>
      </c>
      <c r="L6" s="22">
        <f t="shared" si="6"/>
        <v>7999</v>
      </c>
      <c r="M6" s="22">
        <f t="shared" si="6"/>
        <v>8674</v>
      </c>
      <c r="N6" s="22">
        <f t="shared" si="6"/>
        <v>9349</v>
      </c>
      <c r="O6" s="22">
        <f t="shared" si="6"/>
        <v>10024</v>
      </c>
      <c r="P6" s="22">
        <f t="shared" si="6"/>
        <v>10699</v>
      </c>
      <c r="Q6" s="22">
        <f t="shared" si="6"/>
        <v>11374</v>
      </c>
      <c r="R6" s="22">
        <f t="shared" si="6"/>
        <v>11374</v>
      </c>
      <c r="S6" s="22">
        <f t="shared" si="6"/>
        <v>11374</v>
      </c>
      <c r="T6" s="22">
        <f t="shared" si="6"/>
        <v>11374</v>
      </c>
      <c r="U6" s="22">
        <f t="shared" si="6"/>
        <v>11374</v>
      </c>
      <c r="V6" s="22">
        <f t="shared" si="6"/>
        <v>11374</v>
      </c>
      <c r="W6" s="22">
        <f t="shared" si="6"/>
        <v>11374</v>
      </c>
      <c r="X6" s="22">
        <f t="shared" si="6"/>
        <v>11374</v>
      </c>
      <c r="Y6" s="22">
        <f t="shared" si="6"/>
        <v>11374</v>
      </c>
      <c r="Z6" s="22">
        <f t="shared" si="6"/>
        <v>11374</v>
      </c>
      <c r="AA6" s="22">
        <f t="shared" si="6"/>
        <v>11374</v>
      </c>
      <c r="AB6" s="22">
        <f t="shared" si="6"/>
        <v>11374</v>
      </c>
      <c r="AC6" s="22">
        <f t="shared" si="6"/>
        <v>11374</v>
      </c>
      <c r="AD6" s="22">
        <f t="shared" si="6"/>
        <v>11374</v>
      </c>
      <c r="AE6" s="22">
        <f t="shared" si="6"/>
        <v>11374</v>
      </c>
      <c r="AF6" s="22">
        <f t="shared" si="6"/>
        <v>11374</v>
      </c>
      <c r="AG6" s="22">
        <f t="shared" si="6"/>
        <v>11374</v>
      </c>
      <c r="AH6" s="22">
        <f t="shared" si="6"/>
        <v>11374</v>
      </c>
      <c r="AI6" s="22">
        <f t="shared" si="6"/>
        <v>11374</v>
      </c>
      <c r="AJ6" s="22">
        <f t="shared" si="6"/>
        <v>11374</v>
      </c>
      <c r="AK6" s="22">
        <f t="shared" si="6"/>
        <v>11374</v>
      </c>
      <c r="AL6" s="22">
        <f t="shared" si="6"/>
        <v>11374</v>
      </c>
      <c r="AM6" s="22">
        <f t="shared" si="6"/>
        <v>11374</v>
      </c>
      <c r="AN6" s="22">
        <f t="shared" si="6"/>
        <v>11374</v>
      </c>
      <c r="AO6" s="22">
        <f t="shared" si="6"/>
        <v>11374</v>
      </c>
      <c r="AP6" s="22">
        <f t="shared" si="6"/>
        <v>11374</v>
      </c>
    </row>
    <row r="7" spans="1:42" ht="15.5" x14ac:dyDescent="0.35">
      <c r="A7" s="176" t="str">
        <f>A6</f>
        <v>MTSAO_BQ</v>
      </c>
      <c r="B7" s="28">
        <v>1</v>
      </c>
      <c r="C7" s="42" t="s">
        <v>85</v>
      </c>
      <c r="D7" s="15" t="s">
        <v>7</v>
      </c>
      <c r="E7" s="15" t="s">
        <v>13</v>
      </c>
      <c r="F7" s="15" t="s">
        <v>9</v>
      </c>
      <c r="G7" s="22">
        <v>5</v>
      </c>
      <c r="H7" s="22">
        <v>0</v>
      </c>
      <c r="I7" s="22">
        <v>0</v>
      </c>
      <c r="J7" s="22">
        <v>0</v>
      </c>
      <c r="K7" s="22">
        <v>0</v>
      </c>
      <c r="L7" s="22">
        <v>3895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f t="shared" ref="AG7:AP7" si="7">AF7</f>
        <v>0</v>
      </c>
      <c r="AH7" s="22">
        <f t="shared" si="7"/>
        <v>0</v>
      </c>
      <c r="AI7" s="22">
        <f t="shared" si="7"/>
        <v>0</v>
      </c>
      <c r="AJ7" s="22">
        <f t="shared" si="7"/>
        <v>0</v>
      </c>
      <c r="AK7" s="22">
        <f t="shared" si="7"/>
        <v>0</v>
      </c>
      <c r="AL7" s="22">
        <f t="shared" si="7"/>
        <v>0</v>
      </c>
      <c r="AM7" s="22">
        <f t="shared" si="7"/>
        <v>0</v>
      </c>
      <c r="AN7" s="22">
        <f t="shared" si="7"/>
        <v>0</v>
      </c>
      <c r="AO7" s="22">
        <f t="shared" si="7"/>
        <v>0</v>
      </c>
      <c r="AP7" s="22">
        <f t="shared" si="7"/>
        <v>0</v>
      </c>
    </row>
    <row r="8" spans="1:42" ht="15.5" x14ac:dyDescent="0.35">
      <c r="A8" s="176" t="str">
        <f>A7</f>
        <v>MTSAO_BQ</v>
      </c>
      <c r="B8" s="28">
        <v>1</v>
      </c>
      <c r="C8" s="42" t="s">
        <v>85</v>
      </c>
      <c r="D8" s="15" t="s">
        <v>7</v>
      </c>
      <c r="E8" s="15" t="s">
        <v>14</v>
      </c>
      <c r="F8" s="15" t="s">
        <v>9</v>
      </c>
      <c r="G8" s="22">
        <v>5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f t="shared" ref="AG8:AP8" si="8">AF8</f>
        <v>0</v>
      </c>
      <c r="AH8" s="22">
        <f t="shared" si="8"/>
        <v>0</v>
      </c>
      <c r="AI8" s="22">
        <f t="shared" si="8"/>
        <v>0</v>
      </c>
      <c r="AJ8" s="22">
        <f t="shared" si="8"/>
        <v>0</v>
      </c>
      <c r="AK8" s="22">
        <f t="shared" si="8"/>
        <v>0</v>
      </c>
      <c r="AL8" s="22">
        <f t="shared" si="8"/>
        <v>0</v>
      </c>
      <c r="AM8" s="22">
        <f t="shared" si="8"/>
        <v>0</v>
      </c>
      <c r="AN8" s="22">
        <f t="shared" si="8"/>
        <v>0</v>
      </c>
      <c r="AO8" s="22">
        <f t="shared" si="8"/>
        <v>0</v>
      </c>
      <c r="AP8" s="22">
        <f t="shared" si="8"/>
        <v>0</v>
      </c>
    </row>
    <row r="9" spans="1:42" ht="15.5" x14ac:dyDescent="0.35">
      <c r="A9" s="177" t="str">
        <f>A8</f>
        <v>MTSAO_BQ</v>
      </c>
      <c r="B9" s="49">
        <v>1</v>
      </c>
      <c r="C9" s="50" t="s">
        <v>85</v>
      </c>
      <c r="D9" s="108" t="s">
        <v>7</v>
      </c>
      <c r="E9" s="108" t="s">
        <v>32</v>
      </c>
      <c r="F9" s="108" t="s">
        <v>9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2615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f t="shared" ref="AG9:AP9" si="9">AF9</f>
        <v>0</v>
      </c>
      <c r="AH9" s="27">
        <f t="shared" si="9"/>
        <v>0</v>
      </c>
      <c r="AI9" s="27">
        <f t="shared" si="9"/>
        <v>0</v>
      </c>
      <c r="AJ9" s="27">
        <f t="shared" si="9"/>
        <v>0</v>
      </c>
      <c r="AK9" s="27">
        <f t="shared" si="9"/>
        <v>0</v>
      </c>
      <c r="AL9" s="27">
        <f t="shared" si="9"/>
        <v>0</v>
      </c>
      <c r="AM9" s="27">
        <f t="shared" si="9"/>
        <v>0</v>
      </c>
      <c r="AN9" s="27">
        <f t="shared" si="9"/>
        <v>0</v>
      </c>
      <c r="AO9" s="27">
        <f t="shared" si="9"/>
        <v>0</v>
      </c>
      <c r="AP9" s="27">
        <f t="shared" si="9"/>
        <v>0</v>
      </c>
    </row>
    <row r="10" spans="1:42" ht="15.5" x14ac:dyDescent="0.35">
      <c r="A10" s="174" t="s">
        <v>111</v>
      </c>
      <c r="B10" s="28">
        <v>1</v>
      </c>
      <c r="C10" s="42" t="s">
        <v>85</v>
      </c>
      <c r="D10" s="15" t="s">
        <v>7</v>
      </c>
      <c r="E10" s="15" t="s">
        <v>11</v>
      </c>
      <c r="F10" s="15" t="s">
        <v>9</v>
      </c>
      <c r="G10" s="22">
        <f>G3</f>
        <v>1541</v>
      </c>
      <c r="H10" s="22">
        <f>H3</f>
        <v>1766</v>
      </c>
      <c r="I10" s="22">
        <f>I3</f>
        <v>1991</v>
      </c>
      <c r="J10" s="22">
        <f>J3</f>
        <v>2216</v>
      </c>
      <c r="K10" s="22">
        <f>K3</f>
        <v>2441</v>
      </c>
      <c r="L10" s="22">
        <v>6988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f t="shared" ref="AG10:AP10" si="10">AF10</f>
        <v>0</v>
      </c>
      <c r="AH10" s="22">
        <f t="shared" si="10"/>
        <v>0</v>
      </c>
      <c r="AI10" s="22">
        <f t="shared" si="10"/>
        <v>0</v>
      </c>
      <c r="AJ10" s="22">
        <f t="shared" si="10"/>
        <v>0</v>
      </c>
      <c r="AK10" s="22">
        <f t="shared" si="10"/>
        <v>0</v>
      </c>
      <c r="AL10" s="22">
        <f t="shared" si="10"/>
        <v>0</v>
      </c>
      <c r="AM10" s="22">
        <f t="shared" si="10"/>
        <v>0</v>
      </c>
      <c r="AN10" s="22">
        <f t="shared" si="10"/>
        <v>0</v>
      </c>
      <c r="AO10" s="22">
        <f t="shared" si="10"/>
        <v>0</v>
      </c>
      <c r="AP10" s="22">
        <f t="shared" si="10"/>
        <v>0</v>
      </c>
    </row>
    <row r="11" spans="1:42" ht="15.5" x14ac:dyDescent="0.35">
      <c r="A11" s="174" t="str">
        <f>A10</f>
        <v>IRP24_BQ_IGCAR</v>
      </c>
      <c r="B11" s="28">
        <v>1</v>
      </c>
      <c r="C11" s="42" t="s">
        <v>85</v>
      </c>
      <c r="D11" s="15" t="s">
        <v>7</v>
      </c>
      <c r="E11" s="15" t="s">
        <v>8</v>
      </c>
      <c r="F11" s="15" t="s">
        <v>9</v>
      </c>
      <c r="G11" s="22">
        <f t="shared" ref="G11:AP11" si="11">G2</f>
        <v>4624</v>
      </c>
      <c r="H11" s="22">
        <f t="shared" si="11"/>
        <v>5299</v>
      </c>
      <c r="I11" s="22">
        <f t="shared" si="11"/>
        <v>5974</v>
      </c>
      <c r="J11" s="22">
        <f t="shared" si="11"/>
        <v>6649</v>
      </c>
      <c r="K11" s="22">
        <f t="shared" si="11"/>
        <v>7324</v>
      </c>
      <c r="L11" s="22">
        <f t="shared" si="11"/>
        <v>7999</v>
      </c>
      <c r="M11" s="22">
        <f t="shared" si="11"/>
        <v>8674</v>
      </c>
      <c r="N11" s="22">
        <f t="shared" si="11"/>
        <v>9349</v>
      </c>
      <c r="O11" s="22">
        <f t="shared" si="11"/>
        <v>10024</v>
      </c>
      <c r="P11" s="22">
        <f t="shared" si="11"/>
        <v>10699</v>
      </c>
      <c r="Q11" s="22">
        <f t="shared" si="11"/>
        <v>11374</v>
      </c>
      <c r="R11" s="22">
        <f t="shared" si="11"/>
        <v>11374</v>
      </c>
      <c r="S11" s="22">
        <f t="shared" si="11"/>
        <v>11374</v>
      </c>
      <c r="T11" s="22">
        <f t="shared" si="11"/>
        <v>11374</v>
      </c>
      <c r="U11" s="22">
        <f t="shared" si="11"/>
        <v>11374</v>
      </c>
      <c r="V11" s="22">
        <f t="shared" si="11"/>
        <v>11374</v>
      </c>
      <c r="W11" s="22">
        <f t="shared" si="11"/>
        <v>11374</v>
      </c>
      <c r="X11" s="22">
        <f t="shared" si="11"/>
        <v>11374</v>
      </c>
      <c r="Y11" s="22">
        <f t="shared" si="11"/>
        <v>11374</v>
      </c>
      <c r="Z11" s="22">
        <f t="shared" si="11"/>
        <v>11374</v>
      </c>
      <c r="AA11" s="22">
        <f t="shared" si="11"/>
        <v>11374</v>
      </c>
      <c r="AB11" s="22">
        <f t="shared" si="11"/>
        <v>11374</v>
      </c>
      <c r="AC11" s="22">
        <f t="shared" si="11"/>
        <v>11374</v>
      </c>
      <c r="AD11" s="22">
        <f t="shared" si="11"/>
        <v>11374</v>
      </c>
      <c r="AE11" s="22">
        <f t="shared" si="11"/>
        <v>11374</v>
      </c>
      <c r="AF11" s="22">
        <f t="shared" si="11"/>
        <v>11374</v>
      </c>
      <c r="AG11" s="22">
        <f t="shared" si="11"/>
        <v>11374</v>
      </c>
      <c r="AH11" s="22">
        <f t="shared" si="11"/>
        <v>11374</v>
      </c>
      <c r="AI11" s="22">
        <f t="shared" si="11"/>
        <v>11374</v>
      </c>
      <c r="AJ11" s="22">
        <f t="shared" si="11"/>
        <v>11374</v>
      </c>
      <c r="AK11" s="22">
        <f t="shared" si="11"/>
        <v>11374</v>
      </c>
      <c r="AL11" s="22">
        <f t="shared" si="11"/>
        <v>11374</v>
      </c>
      <c r="AM11" s="22">
        <f t="shared" si="11"/>
        <v>11374</v>
      </c>
      <c r="AN11" s="22">
        <f t="shared" si="11"/>
        <v>11374</v>
      </c>
      <c r="AO11" s="22">
        <f t="shared" si="11"/>
        <v>11374</v>
      </c>
      <c r="AP11" s="22">
        <f t="shared" si="11"/>
        <v>11374</v>
      </c>
    </row>
    <row r="12" spans="1:42" ht="15.5" x14ac:dyDescent="0.35">
      <c r="A12" s="174" t="str">
        <f>A11</f>
        <v>IRP24_BQ_IGCAR</v>
      </c>
      <c r="B12" s="28">
        <v>1</v>
      </c>
      <c r="C12" s="42" t="s">
        <v>85</v>
      </c>
      <c r="D12" s="15" t="s">
        <v>7</v>
      </c>
      <c r="E12" s="15" t="s">
        <v>13</v>
      </c>
      <c r="F12" s="15" t="s">
        <v>9</v>
      </c>
      <c r="G12" s="22">
        <v>5</v>
      </c>
      <c r="H12" s="22">
        <v>0</v>
      </c>
      <c r="I12" s="22">
        <v>0</v>
      </c>
      <c r="J12" s="22">
        <v>0</v>
      </c>
      <c r="K12" s="22">
        <v>0</v>
      </c>
      <c r="L12" s="22">
        <v>5888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f t="shared" ref="AG12:AP12" si="12">AF12</f>
        <v>0</v>
      </c>
      <c r="AH12" s="22">
        <f t="shared" si="12"/>
        <v>0</v>
      </c>
      <c r="AI12" s="22">
        <f t="shared" si="12"/>
        <v>0</v>
      </c>
      <c r="AJ12" s="22">
        <f t="shared" si="12"/>
        <v>0</v>
      </c>
      <c r="AK12" s="22">
        <f t="shared" si="12"/>
        <v>0</v>
      </c>
      <c r="AL12" s="22">
        <f t="shared" si="12"/>
        <v>0</v>
      </c>
      <c r="AM12" s="22">
        <f t="shared" si="12"/>
        <v>0</v>
      </c>
      <c r="AN12" s="22">
        <f t="shared" si="12"/>
        <v>0</v>
      </c>
      <c r="AO12" s="22">
        <f t="shared" si="12"/>
        <v>0</v>
      </c>
      <c r="AP12" s="22">
        <f t="shared" si="12"/>
        <v>0</v>
      </c>
    </row>
    <row r="13" spans="1:42" ht="15.5" x14ac:dyDescent="0.35">
      <c r="A13" s="174" t="str">
        <f>A12</f>
        <v>IRP24_BQ_IGCAR</v>
      </c>
      <c r="B13" s="28">
        <v>1</v>
      </c>
      <c r="C13" s="42" t="s">
        <v>85</v>
      </c>
      <c r="D13" s="15" t="s">
        <v>7</v>
      </c>
      <c r="E13" s="15" t="s">
        <v>14</v>
      </c>
      <c r="F13" s="15" t="s">
        <v>9</v>
      </c>
      <c r="G13" s="22">
        <v>5</v>
      </c>
      <c r="H13" s="22">
        <v>0</v>
      </c>
      <c r="I13" s="22">
        <v>0</v>
      </c>
      <c r="J13" s="22">
        <v>0</v>
      </c>
      <c r="K13" s="22">
        <v>0</v>
      </c>
      <c r="L13" s="22">
        <v>500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f t="shared" ref="AG13:AP13" si="13">AF13</f>
        <v>0</v>
      </c>
      <c r="AH13" s="22">
        <f t="shared" si="13"/>
        <v>0</v>
      </c>
      <c r="AI13" s="22">
        <f t="shared" si="13"/>
        <v>0</v>
      </c>
      <c r="AJ13" s="22">
        <f t="shared" si="13"/>
        <v>0</v>
      </c>
      <c r="AK13" s="22">
        <f t="shared" si="13"/>
        <v>0</v>
      </c>
      <c r="AL13" s="22">
        <f t="shared" si="13"/>
        <v>0</v>
      </c>
      <c r="AM13" s="22">
        <f t="shared" si="13"/>
        <v>0</v>
      </c>
      <c r="AN13" s="22">
        <f t="shared" si="13"/>
        <v>0</v>
      </c>
      <c r="AO13" s="22">
        <f t="shared" si="13"/>
        <v>0</v>
      </c>
      <c r="AP13" s="22">
        <f t="shared" si="13"/>
        <v>0</v>
      </c>
    </row>
    <row r="14" spans="1:42" ht="15.5" x14ac:dyDescent="0.35">
      <c r="A14" s="175" t="str">
        <f>A13</f>
        <v>IRP24_BQ_IGCAR</v>
      </c>
      <c r="B14" s="49">
        <v>1</v>
      </c>
      <c r="C14" s="50" t="s">
        <v>85</v>
      </c>
      <c r="D14" s="108" t="s">
        <v>7</v>
      </c>
      <c r="E14" s="108" t="s">
        <v>32</v>
      </c>
      <c r="F14" s="108" t="s">
        <v>9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2615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f t="shared" ref="AG14:AP14" si="14">AF14</f>
        <v>0</v>
      </c>
      <c r="AH14" s="27">
        <f t="shared" si="14"/>
        <v>0</v>
      </c>
      <c r="AI14" s="27">
        <f t="shared" si="14"/>
        <v>0</v>
      </c>
      <c r="AJ14" s="27">
        <f t="shared" si="14"/>
        <v>0</v>
      </c>
      <c r="AK14" s="27">
        <f t="shared" si="14"/>
        <v>0</v>
      </c>
      <c r="AL14" s="27">
        <f t="shared" si="14"/>
        <v>0</v>
      </c>
      <c r="AM14" s="27">
        <f t="shared" si="14"/>
        <v>0</v>
      </c>
      <c r="AN14" s="27">
        <f t="shared" si="14"/>
        <v>0</v>
      </c>
      <c r="AO14" s="27">
        <f t="shared" si="14"/>
        <v>0</v>
      </c>
      <c r="AP14" s="27">
        <f t="shared" si="14"/>
        <v>0</v>
      </c>
    </row>
  </sheetData>
  <conditionalFormatting sqref="G2:AP14">
    <cfRule type="cellIs" dxfId="17" priority="44" operator="equal">
      <formula>0</formula>
    </cfRule>
    <cfRule type="containsText" dxfId="16" priority="45" operator="containsText" text="unc">
      <formula>NOT(ISERROR(SEARCH("unc",G2)))</formula>
    </cfRule>
    <cfRule type="cellIs" dxfId="15" priority="46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D0F9-347A-9047-BC23-C06D60D34149}">
  <dimension ref="A1:AU75"/>
  <sheetViews>
    <sheetView zoomScaleNormal="100" workbookViewId="0">
      <pane ySplit="1" topLeftCell="A42" activePane="bottomLeft" state="frozen"/>
      <selection pane="bottomLeft" activeCell="A16" sqref="A16:XFD16"/>
    </sheetView>
  </sheetViews>
  <sheetFormatPr defaultColWidth="8.6328125" defaultRowHeight="14.5" x14ac:dyDescent="0.35"/>
  <cols>
    <col min="1" max="1" width="30.453125" customWidth="1"/>
    <col min="2" max="2" width="16.453125" style="35" hidden="1" customWidth="1"/>
    <col min="3" max="3" width="8.36328125" style="35" hidden="1" customWidth="1"/>
    <col min="4" max="4" width="14.36328125" style="35" hidden="1" customWidth="1"/>
    <col min="5" max="5" width="19.453125" style="7" customWidth="1"/>
    <col min="6" max="6" width="16.453125" style="7" hidden="1" customWidth="1"/>
    <col min="7" max="11" width="6" style="8" hidden="1" customWidth="1"/>
    <col min="12" max="12" width="5.453125" style="8" bestFit="1" customWidth="1"/>
    <col min="13" max="16" width="6.453125" style="8" bestFit="1" customWidth="1"/>
    <col min="17" max="17" width="8.453125" style="8" bestFit="1" customWidth="1"/>
    <col min="18" max="26" width="6.453125" style="8" bestFit="1" customWidth="1"/>
    <col min="27" max="27" width="6.453125" style="8" customWidth="1"/>
    <col min="28" max="31" width="6.453125" style="8" bestFit="1" customWidth="1"/>
    <col min="32" max="37" width="8.453125" style="8" bestFit="1" customWidth="1"/>
    <col min="38" max="47" width="8.453125" bestFit="1" customWidth="1"/>
  </cols>
  <sheetData>
    <row r="1" spans="1:47" ht="20.25" customHeight="1" x14ac:dyDescent="0.35">
      <c r="A1" s="2" t="s">
        <v>34</v>
      </c>
      <c r="B1" s="36" t="s">
        <v>83</v>
      </c>
      <c r="C1" s="36" t="s">
        <v>84</v>
      </c>
      <c r="D1" s="36" t="s">
        <v>0</v>
      </c>
      <c r="E1" s="10" t="s">
        <v>1</v>
      </c>
      <c r="F1" s="10" t="s">
        <v>2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f>R1+1</f>
        <v>2032</v>
      </c>
      <c r="T1" s="3">
        <f>S1+1</f>
        <v>2033</v>
      </c>
      <c r="U1" s="3">
        <f>T1+1</f>
        <v>2034</v>
      </c>
      <c r="V1" s="3">
        <v>2035</v>
      </c>
      <c r="W1" s="3">
        <f>V1+1</f>
        <v>2036</v>
      </c>
      <c r="X1" s="3">
        <f>W1+1</f>
        <v>2037</v>
      </c>
      <c r="Y1" s="3">
        <f>X1+1</f>
        <v>2038</v>
      </c>
      <c r="Z1" s="3">
        <f>Y1+1</f>
        <v>2039</v>
      </c>
      <c r="AA1" s="3">
        <v>2040</v>
      </c>
      <c r="AB1" s="3">
        <f>AA1+1</f>
        <v>2041</v>
      </c>
      <c r="AC1" s="3">
        <f>AB1+1</f>
        <v>2042</v>
      </c>
      <c r="AD1" s="3">
        <f>AC1+1</f>
        <v>2043</v>
      </c>
      <c r="AE1" s="3">
        <f>AD1+1</f>
        <v>2044</v>
      </c>
      <c r="AF1" s="3">
        <v>2045</v>
      </c>
      <c r="AG1" s="3">
        <f>AF1+1</f>
        <v>2046</v>
      </c>
      <c r="AH1" s="3">
        <f>AG1+1</f>
        <v>2047</v>
      </c>
      <c r="AI1" s="3">
        <f>AH1+1</f>
        <v>2048</v>
      </c>
      <c r="AJ1" s="3">
        <f>AI1+1</f>
        <v>2049</v>
      </c>
      <c r="AK1" s="3">
        <v>2050</v>
      </c>
      <c r="AL1" s="30">
        <f t="shared" ref="AL1:AU1" si="0">AK1+1</f>
        <v>2051</v>
      </c>
      <c r="AM1" s="30">
        <f t="shared" si="0"/>
        <v>2052</v>
      </c>
      <c r="AN1" s="30">
        <f t="shared" si="0"/>
        <v>2053</v>
      </c>
      <c r="AO1" s="30">
        <f t="shared" si="0"/>
        <v>2054</v>
      </c>
      <c r="AP1" s="30">
        <f t="shared" si="0"/>
        <v>2055</v>
      </c>
      <c r="AQ1" s="30">
        <f t="shared" si="0"/>
        <v>2056</v>
      </c>
      <c r="AR1" s="30">
        <f t="shared" si="0"/>
        <v>2057</v>
      </c>
      <c r="AS1" s="30">
        <f t="shared" si="0"/>
        <v>2058</v>
      </c>
      <c r="AT1" s="30">
        <f t="shared" si="0"/>
        <v>2059</v>
      </c>
      <c r="AU1" s="30">
        <f t="shared" si="0"/>
        <v>2060</v>
      </c>
    </row>
    <row r="2" spans="1:47" ht="15.5" x14ac:dyDescent="0.35">
      <c r="A2" s="31" t="s">
        <v>90</v>
      </c>
      <c r="B2" s="37">
        <v>1</v>
      </c>
      <c r="C2" s="38" t="s">
        <v>85</v>
      </c>
      <c r="D2" s="39" t="s">
        <v>7</v>
      </c>
      <c r="E2" s="40" t="s">
        <v>10</v>
      </c>
      <c r="F2" s="40" t="s">
        <v>9</v>
      </c>
      <c r="G2" s="32" t="s">
        <v>86</v>
      </c>
      <c r="H2" s="32"/>
      <c r="I2" s="32"/>
      <c r="J2" s="32"/>
      <c r="K2" s="32"/>
      <c r="L2" s="32" t="s">
        <v>86</v>
      </c>
      <c r="M2" s="32" t="s">
        <v>86</v>
      </c>
      <c r="N2" s="32" t="s">
        <v>86</v>
      </c>
      <c r="O2" s="32" t="s">
        <v>86</v>
      </c>
      <c r="P2" s="32" t="s">
        <v>86</v>
      </c>
      <c r="Q2" s="32" t="s">
        <v>86</v>
      </c>
      <c r="R2" s="32" t="s">
        <v>86</v>
      </c>
      <c r="S2" s="32" t="s">
        <v>86</v>
      </c>
      <c r="T2" s="32" t="s">
        <v>86</v>
      </c>
      <c r="U2" s="32" t="s">
        <v>86</v>
      </c>
      <c r="V2" s="32" t="s">
        <v>86</v>
      </c>
      <c r="W2" s="32" t="s">
        <v>86</v>
      </c>
      <c r="X2" s="32" t="s">
        <v>86</v>
      </c>
      <c r="Y2" s="32" t="s">
        <v>86</v>
      </c>
      <c r="Z2" s="32" t="s">
        <v>86</v>
      </c>
      <c r="AA2" s="32" t="s">
        <v>86</v>
      </c>
      <c r="AB2" s="32" t="s">
        <v>86</v>
      </c>
      <c r="AC2" s="32" t="s">
        <v>86</v>
      </c>
      <c r="AD2" s="32" t="s">
        <v>86</v>
      </c>
      <c r="AE2" s="32" t="s">
        <v>86</v>
      </c>
      <c r="AF2" s="32" t="s">
        <v>86</v>
      </c>
      <c r="AG2" s="32" t="s">
        <v>86</v>
      </c>
      <c r="AH2" s="32" t="s">
        <v>86</v>
      </c>
      <c r="AI2" s="32" t="s">
        <v>86</v>
      </c>
      <c r="AJ2" s="32" t="s">
        <v>86</v>
      </c>
      <c r="AK2" s="32" t="str">
        <f>AF2</f>
        <v>unc</v>
      </c>
      <c r="AL2" s="27" t="str">
        <f t="shared" ref="AL2:AU2" si="1">AK2</f>
        <v>unc</v>
      </c>
      <c r="AM2" s="27" t="str">
        <f t="shared" si="1"/>
        <v>unc</v>
      </c>
      <c r="AN2" s="27" t="str">
        <f t="shared" si="1"/>
        <v>unc</v>
      </c>
      <c r="AO2" s="27" t="str">
        <f t="shared" si="1"/>
        <v>unc</v>
      </c>
      <c r="AP2" s="27" t="str">
        <f t="shared" si="1"/>
        <v>unc</v>
      </c>
      <c r="AQ2" s="27" t="str">
        <f t="shared" si="1"/>
        <v>unc</v>
      </c>
      <c r="AR2" s="27" t="str">
        <f t="shared" si="1"/>
        <v>unc</v>
      </c>
      <c r="AS2" s="27" t="str">
        <f t="shared" si="1"/>
        <v>unc</v>
      </c>
      <c r="AT2" s="27" t="str">
        <f t="shared" si="1"/>
        <v>unc</v>
      </c>
      <c r="AU2" s="27" t="str">
        <f t="shared" si="1"/>
        <v>unc</v>
      </c>
    </row>
    <row r="3" spans="1:47" ht="15.5" x14ac:dyDescent="0.35">
      <c r="A3" s="178" t="s">
        <v>87</v>
      </c>
      <c r="B3" s="29">
        <v>1</v>
      </c>
      <c r="C3" s="41" t="s">
        <v>85</v>
      </c>
      <c r="D3" s="29" t="s">
        <v>7</v>
      </c>
      <c r="E3" s="4" t="s">
        <v>10</v>
      </c>
      <c r="F3" s="4" t="s">
        <v>9</v>
      </c>
      <c r="G3" s="22"/>
      <c r="H3" s="22"/>
      <c r="I3" s="22"/>
      <c r="J3" s="22"/>
      <c r="K3" s="22"/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10000</v>
      </c>
      <c r="R3" s="22">
        <v>10000</v>
      </c>
      <c r="S3" s="22">
        <v>10000</v>
      </c>
      <c r="T3" s="22">
        <v>10000</v>
      </c>
      <c r="U3" s="22">
        <v>10000</v>
      </c>
      <c r="V3" s="22">
        <v>10000</v>
      </c>
      <c r="W3" s="22">
        <v>10000</v>
      </c>
      <c r="X3" s="22">
        <v>10000</v>
      </c>
      <c r="Y3" s="22">
        <v>10000</v>
      </c>
      <c r="Z3" s="22">
        <v>10000</v>
      </c>
      <c r="AA3" s="22">
        <v>10000</v>
      </c>
      <c r="AB3" s="22">
        <v>10000</v>
      </c>
      <c r="AC3" s="22">
        <v>10000</v>
      </c>
      <c r="AD3" s="22">
        <v>10000</v>
      </c>
      <c r="AE3" s="22">
        <v>10000</v>
      </c>
      <c r="AF3" s="22">
        <v>10000</v>
      </c>
      <c r="AG3" s="22">
        <v>10000</v>
      </c>
      <c r="AH3" s="22">
        <v>10000</v>
      </c>
      <c r="AI3" s="22">
        <v>10000</v>
      </c>
      <c r="AJ3" s="22">
        <v>10000</v>
      </c>
      <c r="AK3" s="22">
        <v>10000</v>
      </c>
      <c r="AL3" s="22">
        <f t="shared" ref="AL3:AU8" si="2">AK3</f>
        <v>10000</v>
      </c>
      <c r="AM3" s="22">
        <f t="shared" ref="AM3:AU5" si="3">AL3</f>
        <v>10000</v>
      </c>
      <c r="AN3" s="22">
        <f t="shared" si="3"/>
        <v>10000</v>
      </c>
      <c r="AO3" s="22">
        <f t="shared" si="3"/>
        <v>10000</v>
      </c>
      <c r="AP3" s="22">
        <f t="shared" si="3"/>
        <v>10000</v>
      </c>
      <c r="AQ3" s="22">
        <f t="shared" si="3"/>
        <v>10000</v>
      </c>
      <c r="AR3" s="22">
        <f t="shared" si="3"/>
        <v>10000</v>
      </c>
      <c r="AS3" s="22">
        <f t="shared" si="3"/>
        <v>10000</v>
      </c>
      <c r="AT3" s="22">
        <f t="shared" si="3"/>
        <v>10000</v>
      </c>
      <c r="AU3" s="22">
        <f t="shared" si="3"/>
        <v>10000</v>
      </c>
    </row>
    <row r="4" spans="1:47" ht="15.5" x14ac:dyDescent="0.35">
      <c r="A4" s="178" t="str">
        <f t="shared" ref="A4:A14" si="4">A3</f>
        <v>LEAST_CNST</v>
      </c>
      <c r="B4" s="28">
        <v>1</v>
      </c>
      <c r="C4" s="42" t="s">
        <v>85</v>
      </c>
      <c r="D4" s="28" t="s">
        <v>7</v>
      </c>
      <c r="E4" s="6" t="s">
        <v>11</v>
      </c>
      <c r="F4" s="6" t="s">
        <v>9</v>
      </c>
      <c r="G4" s="22"/>
      <c r="H4" s="22"/>
      <c r="I4" s="22"/>
      <c r="J4" s="22"/>
      <c r="K4" s="22"/>
      <c r="L4" s="22">
        <v>2000</v>
      </c>
      <c r="M4" s="22">
        <v>10000</v>
      </c>
      <c r="N4" s="22">
        <v>10000</v>
      </c>
      <c r="O4" s="22">
        <v>10000</v>
      </c>
      <c r="P4" s="22">
        <v>10000</v>
      </c>
      <c r="Q4" s="22">
        <v>10000</v>
      </c>
      <c r="R4" s="22">
        <v>10000</v>
      </c>
      <c r="S4" s="22">
        <v>10000</v>
      </c>
      <c r="T4" s="22">
        <v>10000</v>
      </c>
      <c r="U4" s="22">
        <v>10000</v>
      </c>
      <c r="V4" s="22">
        <v>10000</v>
      </c>
      <c r="W4" s="22">
        <v>10000</v>
      </c>
      <c r="X4" s="22">
        <v>10000</v>
      </c>
      <c r="Y4" s="22">
        <v>10000</v>
      </c>
      <c r="Z4" s="22">
        <v>10000</v>
      </c>
      <c r="AA4" s="22">
        <v>10000</v>
      </c>
      <c r="AB4" s="22">
        <v>10000</v>
      </c>
      <c r="AC4" s="22">
        <v>10000</v>
      </c>
      <c r="AD4" s="22">
        <v>10000</v>
      </c>
      <c r="AE4" s="22">
        <v>10000</v>
      </c>
      <c r="AF4" s="22">
        <v>10000</v>
      </c>
      <c r="AG4" s="22">
        <v>10000</v>
      </c>
      <c r="AH4" s="22">
        <v>10000</v>
      </c>
      <c r="AI4" s="22">
        <v>10000</v>
      </c>
      <c r="AJ4" s="22">
        <v>10000</v>
      </c>
      <c r="AK4" s="22">
        <v>10000</v>
      </c>
      <c r="AL4" s="22">
        <f t="shared" si="2"/>
        <v>10000</v>
      </c>
      <c r="AM4" s="22">
        <f t="shared" si="3"/>
        <v>10000</v>
      </c>
      <c r="AN4" s="22">
        <f t="shared" si="3"/>
        <v>10000</v>
      </c>
      <c r="AO4" s="22">
        <f t="shared" si="3"/>
        <v>10000</v>
      </c>
      <c r="AP4" s="22">
        <f t="shared" si="3"/>
        <v>10000</v>
      </c>
      <c r="AQ4" s="22">
        <f t="shared" si="3"/>
        <v>10000</v>
      </c>
      <c r="AR4" s="22">
        <f t="shared" si="3"/>
        <v>10000</v>
      </c>
      <c r="AS4" s="22">
        <f t="shared" si="3"/>
        <v>10000</v>
      </c>
      <c r="AT4" s="22">
        <f t="shared" si="3"/>
        <v>10000</v>
      </c>
      <c r="AU4" s="22">
        <f t="shared" si="3"/>
        <v>10000</v>
      </c>
    </row>
    <row r="5" spans="1:47" ht="15.5" x14ac:dyDescent="0.35">
      <c r="A5" s="178" t="str">
        <f t="shared" si="4"/>
        <v>LEAST_CNST</v>
      </c>
      <c r="B5" s="29">
        <v>1</v>
      </c>
      <c r="C5" s="41" t="s">
        <v>85</v>
      </c>
      <c r="D5" s="29" t="s">
        <v>7</v>
      </c>
      <c r="E5" s="4" t="s">
        <v>12</v>
      </c>
      <c r="F5" s="4" t="s">
        <v>9</v>
      </c>
      <c r="G5" s="22"/>
      <c r="H5" s="22"/>
      <c r="I5" s="22"/>
      <c r="J5" s="22"/>
      <c r="K5" s="22"/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1000</v>
      </c>
      <c r="R5" s="22">
        <f t="shared" ref="R5:AK5" si="5">Q5</f>
        <v>1000</v>
      </c>
      <c r="S5" s="22">
        <f t="shared" si="5"/>
        <v>1000</v>
      </c>
      <c r="T5" s="22">
        <f t="shared" si="5"/>
        <v>1000</v>
      </c>
      <c r="U5" s="22">
        <f t="shared" si="5"/>
        <v>1000</v>
      </c>
      <c r="V5" s="22">
        <f t="shared" si="5"/>
        <v>1000</v>
      </c>
      <c r="W5" s="22">
        <f t="shared" si="5"/>
        <v>1000</v>
      </c>
      <c r="X5" s="22">
        <f t="shared" si="5"/>
        <v>1000</v>
      </c>
      <c r="Y5" s="22">
        <f t="shared" si="5"/>
        <v>1000</v>
      </c>
      <c r="Z5" s="22">
        <f t="shared" si="5"/>
        <v>1000</v>
      </c>
      <c r="AA5" s="22">
        <f t="shared" si="5"/>
        <v>1000</v>
      </c>
      <c r="AB5" s="22">
        <f t="shared" si="5"/>
        <v>1000</v>
      </c>
      <c r="AC5" s="22">
        <f t="shared" si="5"/>
        <v>1000</v>
      </c>
      <c r="AD5" s="22">
        <f t="shared" si="5"/>
        <v>1000</v>
      </c>
      <c r="AE5" s="22">
        <f t="shared" si="5"/>
        <v>1000</v>
      </c>
      <c r="AF5" s="22">
        <f t="shared" si="5"/>
        <v>1000</v>
      </c>
      <c r="AG5" s="22">
        <f t="shared" si="5"/>
        <v>1000</v>
      </c>
      <c r="AH5" s="22">
        <f t="shared" si="5"/>
        <v>1000</v>
      </c>
      <c r="AI5" s="22">
        <f t="shared" si="5"/>
        <v>1000</v>
      </c>
      <c r="AJ5" s="22">
        <f t="shared" si="5"/>
        <v>1000</v>
      </c>
      <c r="AK5" s="22">
        <f t="shared" si="5"/>
        <v>1000</v>
      </c>
      <c r="AL5" s="22">
        <f t="shared" si="2"/>
        <v>1000</v>
      </c>
      <c r="AM5" s="22">
        <f t="shared" si="3"/>
        <v>1000</v>
      </c>
      <c r="AN5" s="22">
        <f t="shared" si="3"/>
        <v>1000</v>
      </c>
      <c r="AO5" s="22">
        <f t="shared" si="3"/>
        <v>1000</v>
      </c>
      <c r="AP5" s="22">
        <f t="shared" si="3"/>
        <v>1000</v>
      </c>
      <c r="AQ5" s="22">
        <f t="shared" si="3"/>
        <v>1000</v>
      </c>
      <c r="AR5" s="22">
        <f t="shared" si="3"/>
        <v>1000</v>
      </c>
      <c r="AS5" s="22">
        <f t="shared" si="3"/>
        <v>1000</v>
      </c>
      <c r="AT5" s="22">
        <f t="shared" si="3"/>
        <v>1000</v>
      </c>
      <c r="AU5" s="22">
        <f t="shared" si="3"/>
        <v>1000</v>
      </c>
    </row>
    <row r="6" spans="1:47" ht="15.5" x14ac:dyDescent="0.35">
      <c r="A6" s="178" t="str">
        <f t="shared" si="4"/>
        <v>LEAST_CNST</v>
      </c>
      <c r="B6" s="28">
        <v>1</v>
      </c>
      <c r="C6" s="42" t="s">
        <v>85</v>
      </c>
      <c r="D6" s="28" t="s">
        <v>7</v>
      </c>
      <c r="E6" s="6" t="s">
        <v>13</v>
      </c>
      <c r="F6" s="6" t="s">
        <v>9</v>
      </c>
      <c r="G6" s="22"/>
      <c r="H6" s="22"/>
      <c r="I6" s="22"/>
      <c r="J6" s="22"/>
      <c r="K6" s="22"/>
      <c r="L6" s="22">
        <v>5</v>
      </c>
      <c r="M6" s="22">
        <v>1000</v>
      </c>
      <c r="N6" s="22">
        <f>M6+100</f>
        <v>1100</v>
      </c>
      <c r="O6" s="22">
        <f t="shared" ref="O6:AU6" si="6">N6+100</f>
        <v>1200</v>
      </c>
      <c r="P6" s="22">
        <f t="shared" si="6"/>
        <v>1300</v>
      </c>
      <c r="Q6" s="22">
        <f t="shared" si="6"/>
        <v>1400</v>
      </c>
      <c r="R6" s="22">
        <f t="shared" si="6"/>
        <v>1500</v>
      </c>
      <c r="S6" s="22">
        <f t="shared" si="6"/>
        <v>1600</v>
      </c>
      <c r="T6" s="22">
        <f t="shared" si="6"/>
        <v>1700</v>
      </c>
      <c r="U6" s="22">
        <f t="shared" si="6"/>
        <v>1800</v>
      </c>
      <c r="V6" s="22">
        <f t="shared" si="6"/>
        <v>1900</v>
      </c>
      <c r="W6" s="22">
        <f t="shared" si="6"/>
        <v>2000</v>
      </c>
      <c r="X6" s="22">
        <f t="shared" si="6"/>
        <v>2100</v>
      </c>
      <c r="Y6" s="22">
        <f t="shared" si="6"/>
        <v>2200</v>
      </c>
      <c r="Z6" s="22">
        <f t="shared" si="6"/>
        <v>2300</v>
      </c>
      <c r="AA6" s="22">
        <f t="shared" si="6"/>
        <v>2400</v>
      </c>
      <c r="AB6" s="22">
        <f t="shared" si="6"/>
        <v>2500</v>
      </c>
      <c r="AC6" s="22">
        <f t="shared" si="6"/>
        <v>2600</v>
      </c>
      <c r="AD6" s="22">
        <f>AC6+100</f>
        <v>2700</v>
      </c>
      <c r="AE6" s="22">
        <f t="shared" si="6"/>
        <v>2800</v>
      </c>
      <c r="AF6" s="22">
        <f t="shared" si="6"/>
        <v>2900</v>
      </c>
      <c r="AG6" s="22">
        <f t="shared" si="6"/>
        <v>3000</v>
      </c>
      <c r="AH6" s="22">
        <f t="shared" si="6"/>
        <v>3100</v>
      </c>
      <c r="AI6" s="22">
        <f t="shared" si="6"/>
        <v>3200</v>
      </c>
      <c r="AJ6" s="22">
        <f t="shared" si="6"/>
        <v>3300</v>
      </c>
      <c r="AK6" s="22">
        <f t="shared" si="6"/>
        <v>3400</v>
      </c>
      <c r="AL6" s="22">
        <f t="shared" si="6"/>
        <v>3500</v>
      </c>
      <c r="AM6" s="22">
        <f t="shared" si="6"/>
        <v>3600</v>
      </c>
      <c r="AN6" s="22">
        <f t="shared" si="6"/>
        <v>3700</v>
      </c>
      <c r="AO6" s="22">
        <f t="shared" si="6"/>
        <v>3800</v>
      </c>
      <c r="AP6" s="22">
        <f t="shared" si="6"/>
        <v>3900</v>
      </c>
      <c r="AQ6" s="22">
        <f t="shared" si="6"/>
        <v>4000</v>
      </c>
      <c r="AR6" s="22">
        <f>AQ6+100</f>
        <v>4100</v>
      </c>
      <c r="AS6" s="22">
        <f t="shared" si="6"/>
        <v>4200</v>
      </c>
      <c r="AT6" s="22">
        <f t="shared" si="6"/>
        <v>4300</v>
      </c>
      <c r="AU6" s="22">
        <f t="shared" si="6"/>
        <v>4400</v>
      </c>
    </row>
    <row r="7" spans="1:47" ht="15.5" x14ac:dyDescent="0.35">
      <c r="A7" s="178" t="str">
        <f t="shared" si="4"/>
        <v>LEAST_CNST</v>
      </c>
      <c r="B7" s="29">
        <v>1</v>
      </c>
      <c r="C7" s="41" t="s">
        <v>85</v>
      </c>
      <c r="D7" s="29" t="s">
        <v>7</v>
      </c>
      <c r="E7" s="4" t="s">
        <v>14</v>
      </c>
      <c r="F7" s="4" t="s">
        <v>9</v>
      </c>
      <c r="G7" s="22"/>
      <c r="H7" s="22"/>
      <c r="I7" s="22"/>
      <c r="J7" s="22"/>
      <c r="K7" s="22"/>
      <c r="L7" s="22">
        <v>5</v>
      </c>
      <c r="M7" s="22">
        <v>0</v>
      </c>
      <c r="N7" s="22">
        <v>0</v>
      </c>
      <c r="O7" s="22">
        <v>0</v>
      </c>
      <c r="P7" s="22">
        <v>0</v>
      </c>
      <c r="Q7" s="22">
        <v>1500</v>
      </c>
      <c r="R7" s="22">
        <f t="shared" ref="R7:AU7" si="7">Q7</f>
        <v>1500</v>
      </c>
      <c r="S7" s="22">
        <f t="shared" si="7"/>
        <v>1500</v>
      </c>
      <c r="T7" s="22">
        <f t="shared" si="7"/>
        <v>1500</v>
      </c>
      <c r="U7" s="22">
        <f t="shared" si="7"/>
        <v>1500</v>
      </c>
      <c r="V7" s="22">
        <f t="shared" si="7"/>
        <v>1500</v>
      </c>
      <c r="W7" s="22">
        <f t="shared" si="7"/>
        <v>1500</v>
      </c>
      <c r="X7" s="22">
        <f t="shared" si="7"/>
        <v>1500</v>
      </c>
      <c r="Y7" s="22">
        <f t="shared" si="7"/>
        <v>1500</v>
      </c>
      <c r="Z7" s="22">
        <f t="shared" si="7"/>
        <v>1500</v>
      </c>
      <c r="AA7" s="22">
        <f t="shared" si="7"/>
        <v>1500</v>
      </c>
      <c r="AB7" s="22">
        <f t="shared" si="7"/>
        <v>1500</v>
      </c>
      <c r="AC7" s="22">
        <f t="shared" si="7"/>
        <v>1500</v>
      </c>
      <c r="AD7" s="22">
        <f t="shared" si="7"/>
        <v>1500</v>
      </c>
      <c r="AE7" s="22">
        <f t="shared" si="7"/>
        <v>1500</v>
      </c>
      <c r="AF7" s="22">
        <f t="shared" si="7"/>
        <v>1500</v>
      </c>
      <c r="AG7" s="22">
        <f t="shared" si="7"/>
        <v>1500</v>
      </c>
      <c r="AH7" s="22">
        <f t="shared" si="7"/>
        <v>1500</v>
      </c>
      <c r="AI7" s="22">
        <f t="shared" si="7"/>
        <v>1500</v>
      </c>
      <c r="AJ7" s="22">
        <f t="shared" si="7"/>
        <v>1500</v>
      </c>
      <c r="AK7" s="22">
        <f t="shared" si="7"/>
        <v>1500</v>
      </c>
      <c r="AL7" s="22">
        <f t="shared" si="7"/>
        <v>1500</v>
      </c>
      <c r="AM7" s="22">
        <f t="shared" si="7"/>
        <v>1500</v>
      </c>
      <c r="AN7" s="22">
        <f t="shared" si="7"/>
        <v>1500</v>
      </c>
      <c r="AO7" s="22">
        <f t="shared" si="7"/>
        <v>1500</v>
      </c>
      <c r="AP7" s="22">
        <f t="shared" si="7"/>
        <v>1500</v>
      </c>
      <c r="AQ7" s="22">
        <f t="shared" si="7"/>
        <v>1500</v>
      </c>
      <c r="AR7" s="22">
        <f t="shared" si="7"/>
        <v>1500</v>
      </c>
      <c r="AS7" s="22">
        <f t="shared" si="7"/>
        <v>1500</v>
      </c>
      <c r="AT7" s="22">
        <f t="shared" si="7"/>
        <v>1500</v>
      </c>
      <c r="AU7" s="22">
        <f t="shared" si="7"/>
        <v>1500</v>
      </c>
    </row>
    <row r="8" spans="1:47" ht="15.5" x14ac:dyDescent="0.35">
      <c r="A8" s="178" t="str">
        <f t="shared" si="4"/>
        <v>LEAST_CNST</v>
      </c>
      <c r="B8" s="28">
        <v>1</v>
      </c>
      <c r="C8" s="42" t="s">
        <v>85</v>
      </c>
      <c r="D8" s="28" t="s">
        <v>7</v>
      </c>
      <c r="E8" s="6" t="s">
        <v>15</v>
      </c>
      <c r="F8" s="6" t="s">
        <v>16</v>
      </c>
      <c r="G8" s="22"/>
      <c r="H8" s="22"/>
      <c r="I8" s="22"/>
      <c r="J8" s="22"/>
      <c r="K8" s="22"/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 t="s">
        <v>86</v>
      </c>
      <c r="R8" s="22" t="s">
        <v>86</v>
      </c>
      <c r="S8" s="22" t="str">
        <f t="shared" ref="S8:AK10" si="8">R8</f>
        <v>unc</v>
      </c>
      <c r="T8" s="22" t="str">
        <f t="shared" si="8"/>
        <v>unc</v>
      </c>
      <c r="U8" s="22" t="str">
        <f t="shared" si="8"/>
        <v>unc</v>
      </c>
      <c r="V8" s="22" t="str">
        <f t="shared" si="8"/>
        <v>unc</v>
      </c>
      <c r="W8" s="22" t="str">
        <f t="shared" si="8"/>
        <v>unc</v>
      </c>
      <c r="X8" s="22" t="str">
        <f t="shared" si="8"/>
        <v>unc</v>
      </c>
      <c r="Y8" s="22" t="str">
        <f t="shared" si="8"/>
        <v>unc</v>
      </c>
      <c r="Z8" s="22" t="str">
        <f t="shared" si="8"/>
        <v>unc</v>
      </c>
      <c r="AA8" s="22" t="str">
        <f t="shared" si="8"/>
        <v>unc</v>
      </c>
      <c r="AB8" s="22" t="str">
        <f t="shared" si="8"/>
        <v>unc</v>
      </c>
      <c r="AC8" s="22" t="str">
        <f t="shared" si="8"/>
        <v>unc</v>
      </c>
      <c r="AD8" s="22" t="str">
        <f t="shared" si="8"/>
        <v>unc</v>
      </c>
      <c r="AE8" s="22" t="str">
        <f t="shared" si="8"/>
        <v>unc</v>
      </c>
      <c r="AF8" s="22" t="str">
        <f t="shared" si="8"/>
        <v>unc</v>
      </c>
      <c r="AG8" s="22" t="str">
        <f t="shared" si="8"/>
        <v>unc</v>
      </c>
      <c r="AH8" s="22" t="str">
        <f t="shared" si="8"/>
        <v>unc</v>
      </c>
      <c r="AI8" s="22" t="str">
        <f t="shared" si="8"/>
        <v>unc</v>
      </c>
      <c r="AJ8" s="22" t="str">
        <f t="shared" si="8"/>
        <v>unc</v>
      </c>
      <c r="AK8" s="22" t="str">
        <f t="shared" si="8"/>
        <v>unc</v>
      </c>
      <c r="AL8" s="22" t="str">
        <f t="shared" si="2"/>
        <v>unc</v>
      </c>
      <c r="AM8" s="22" t="str">
        <f t="shared" si="2"/>
        <v>unc</v>
      </c>
      <c r="AN8" s="22" t="str">
        <f t="shared" si="2"/>
        <v>unc</v>
      </c>
      <c r="AO8" s="22" t="str">
        <f t="shared" si="2"/>
        <v>unc</v>
      </c>
      <c r="AP8" s="22" t="str">
        <f t="shared" si="2"/>
        <v>unc</v>
      </c>
      <c r="AQ8" s="22" t="str">
        <f t="shared" si="2"/>
        <v>unc</v>
      </c>
      <c r="AR8" s="22" t="str">
        <f t="shared" si="2"/>
        <v>unc</v>
      </c>
      <c r="AS8" s="22" t="str">
        <f t="shared" si="2"/>
        <v>unc</v>
      </c>
      <c r="AT8" s="22" t="str">
        <f t="shared" si="2"/>
        <v>unc</v>
      </c>
      <c r="AU8" s="22" t="str">
        <f t="shared" si="2"/>
        <v>unc</v>
      </c>
    </row>
    <row r="9" spans="1:47" ht="15.5" x14ac:dyDescent="0.35">
      <c r="A9" s="178" t="str">
        <f t="shared" si="4"/>
        <v>LEAST_CNST</v>
      </c>
      <c r="B9" s="29">
        <v>1</v>
      </c>
      <c r="C9" s="41" t="s">
        <v>85</v>
      </c>
      <c r="D9" s="29" t="s">
        <v>7</v>
      </c>
      <c r="E9" s="4" t="s">
        <v>17</v>
      </c>
      <c r="F9" s="4" t="s">
        <v>16</v>
      </c>
      <c r="G9" s="22"/>
      <c r="H9" s="22"/>
      <c r="I9" s="22"/>
      <c r="J9" s="22"/>
      <c r="K9" s="22"/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 t="s">
        <v>86</v>
      </c>
      <c r="R9" s="22" t="s">
        <v>86</v>
      </c>
      <c r="S9" s="22" t="str">
        <f t="shared" si="8"/>
        <v>unc</v>
      </c>
      <c r="T9" s="22" t="str">
        <f t="shared" si="8"/>
        <v>unc</v>
      </c>
      <c r="U9" s="22" t="str">
        <f t="shared" si="8"/>
        <v>unc</v>
      </c>
      <c r="V9" s="22" t="str">
        <f t="shared" si="8"/>
        <v>unc</v>
      </c>
      <c r="W9" s="22" t="str">
        <f t="shared" si="8"/>
        <v>unc</v>
      </c>
      <c r="X9" s="22" t="str">
        <f t="shared" si="8"/>
        <v>unc</v>
      </c>
      <c r="Y9" s="22" t="str">
        <f t="shared" si="8"/>
        <v>unc</v>
      </c>
      <c r="Z9" s="22" t="str">
        <f t="shared" si="8"/>
        <v>unc</v>
      </c>
      <c r="AA9" s="22" t="str">
        <f t="shared" si="8"/>
        <v>unc</v>
      </c>
      <c r="AB9" s="22" t="str">
        <f t="shared" si="8"/>
        <v>unc</v>
      </c>
      <c r="AC9" s="22" t="str">
        <f t="shared" si="8"/>
        <v>unc</v>
      </c>
      <c r="AD9" s="22" t="str">
        <f t="shared" si="8"/>
        <v>unc</v>
      </c>
      <c r="AE9" s="22" t="str">
        <f t="shared" si="8"/>
        <v>unc</v>
      </c>
      <c r="AF9" s="22" t="str">
        <f t="shared" si="8"/>
        <v>unc</v>
      </c>
      <c r="AG9" s="22" t="str">
        <f t="shared" si="8"/>
        <v>unc</v>
      </c>
      <c r="AH9" s="22" t="str">
        <f t="shared" si="8"/>
        <v>unc</v>
      </c>
      <c r="AI9" s="22" t="str">
        <f t="shared" si="8"/>
        <v>unc</v>
      </c>
      <c r="AJ9" s="22" t="str">
        <f t="shared" si="8"/>
        <v>unc</v>
      </c>
      <c r="AK9" s="22" t="str">
        <f t="shared" si="8"/>
        <v>unc</v>
      </c>
      <c r="AL9" s="22" t="str">
        <f t="shared" ref="AL9:AU37" si="9">AK9</f>
        <v>unc</v>
      </c>
      <c r="AM9" s="22" t="str">
        <f t="shared" si="9"/>
        <v>unc</v>
      </c>
      <c r="AN9" s="22" t="str">
        <f t="shared" si="9"/>
        <v>unc</v>
      </c>
      <c r="AO9" s="22" t="str">
        <f t="shared" si="9"/>
        <v>unc</v>
      </c>
      <c r="AP9" s="22" t="str">
        <f t="shared" si="9"/>
        <v>unc</v>
      </c>
      <c r="AQ9" s="22" t="str">
        <f t="shared" si="9"/>
        <v>unc</v>
      </c>
      <c r="AR9" s="22" t="str">
        <f t="shared" si="9"/>
        <v>unc</v>
      </c>
      <c r="AS9" s="22" t="str">
        <f t="shared" si="9"/>
        <v>unc</v>
      </c>
      <c r="AT9" s="22" t="str">
        <f t="shared" si="9"/>
        <v>unc</v>
      </c>
      <c r="AU9" s="22" t="str">
        <f t="shared" si="9"/>
        <v>unc</v>
      </c>
    </row>
    <row r="10" spans="1:47" ht="15.5" x14ac:dyDescent="0.35">
      <c r="A10" s="178" t="str">
        <f t="shared" si="4"/>
        <v>LEAST_CNST</v>
      </c>
      <c r="B10" s="28">
        <v>1</v>
      </c>
      <c r="C10" s="42" t="s">
        <v>85</v>
      </c>
      <c r="D10" s="28" t="s">
        <v>7</v>
      </c>
      <c r="E10" s="43" t="s">
        <v>18</v>
      </c>
      <c r="F10" s="6" t="s">
        <v>16</v>
      </c>
      <c r="G10" s="22"/>
      <c r="H10" s="22"/>
      <c r="I10" s="22"/>
      <c r="J10" s="22"/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 t="s">
        <v>86</v>
      </c>
      <c r="R10" s="22">
        <v>0</v>
      </c>
      <c r="S10" s="22">
        <v>0</v>
      </c>
      <c r="T10" s="22">
        <v>0</v>
      </c>
      <c r="U10" s="22">
        <f>T10</f>
        <v>0</v>
      </c>
      <c r="V10" s="22">
        <f>U10</f>
        <v>0</v>
      </c>
      <c r="W10" s="22">
        <v>0</v>
      </c>
      <c r="X10" s="22">
        <f>W10</f>
        <v>0</v>
      </c>
      <c r="Y10" s="22">
        <f>X10</f>
        <v>0</v>
      </c>
      <c r="Z10" s="22">
        <f>Y10</f>
        <v>0</v>
      </c>
      <c r="AA10" s="22">
        <v>0</v>
      </c>
      <c r="AB10" s="22">
        <f t="shared" si="8"/>
        <v>0</v>
      </c>
      <c r="AC10" s="22">
        <f t="shared" si="8"/>
        <v>0</v>
      </c>
      <c r="AD10" s="22">
        <f t="shared" si="8"/>
        <v>0</v>
      </c>
      <c r="AE10" s="22">
        <f t="shared" si="8"/>
        <v>0</v>
      </c>
      <c r="AF10" s="22">
        <f t="shared" si="8"/>
        <v>0</v>
      </c>
      <c r="AG10" s="22">
        <f t="shared" si="8"/>
        <v>0</v>
      </c>
      <c r="AH10" s="22">
        <f t="shared" si="8"/>
        <v>0</v>
      </c>
      <c r="AI10" s="22">
        <f t="shared" si="8"/>
        <v>0</v>
      </c>
      <c r="AJ10" s="22">
        <f t="shared" si="8"/>
        <v>0</v>
      </c>
      <c r="AK10" s="22">
        <f t="shared" si="8"/>
        <v>0</v>
      </c>
      <c r="AL10" s="22">
        <f t="shared" si="9"/>
        <v>0</v>
      </c>
      <c r="AM10" s="22">
        <f t="shared" si="9"/>
        <v>0</v>
      </c>
      <c r="AN10" s="22">
        <f t="shared" si="9"/>
        <v>0</v>
      </c>
      <c r="AO10" s="22">
        <f t="shared" si="9"/>
        <v>0</v>
      </c>
      <c r="AP10" s="22">
        <f t="shared" si="9"/>
        <v>0</v>
      </c>
      <c r="AQ10" s="22">
        <f t="shared" si="9"/>
        <v>0</v>
      </c>
      <c r="AR10" s="22">
        <f t="shared" si="9"/>
        <v>0</v>
      </c>
      <c r="AS10" s="22">
        <f t="shared" si="9"/>
        <v>0</v>
      </c>
      <c r="AT10" s="22">
        <f t="shared" si="9"/>
        <v>0</v>
      </c>
      <c r="AU10" s="22">
        <f t="shared" si="9"/>
        <v>0</v>
      </c>
    </row>
    <row r="11" spans="1:47" ht="15.5" x14ac:dyDescent="0.35">
      <c r="A11" s="178" t="str">
        <f t="shared" si="4"/>
        <v>LEAST_CNST</v>
      </c>
      <c r="B11" s="29">
        <v>1</v>
      </c>
      <c r="C11" s="41" t="s">
        <v>85</v>
      </c>
      <c r="D11" s="29" t="s">
        <v>7</v>
      </c>
      <c r="E11" s="44" t="s">
        <v>19</v>
      </c>
      <c r="F11" s="4" t="s">
        <v>16</v>
      </c>
      <c r="G11" s="22"/>
      <c r="H11" s="22"/>
      <c r="I11" s="22"/>
      <c r="J11" s="22"/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 t="s">
        <v>86</v>
      </c>
      <c r="R11" s="22" t="s">
        <v>86</v>
      </c>
      <c r="S11" s="22" t="str">
        <f t="shared" ref="S11:X22" si="10">R11</f>
        <v>unc</v>
      </c>
      <c r="T11" s="22" t="str">
        <f t="shared" si="10"/>
        <v>unc</v>
      </c>
      <c r="U11" s="22" t="str">
        <f t="shared" si="10"/>
        <v>unc</v>
      </c>
      <c r="V11" s="22" t="s">
        <v>86</v>
      </c>
      <c r="W11" s="22">
        <v>0</v>
      </c>
      <c r="X11" s="22">
        <v>0</v>
      </c>
      <c r="Y11" s="22">
        <f t="shared" ref="Y11:AB22" si="11">X11</f>
        <v>0</v>
      </c>
      <c r="Z11" s="22">
        <f t="shared" si="11"/>
        <v>0</v>
      </c>
      <c r="AA11" s="22">
        <f t="shared" si="11"/>
        <v>0</v>
      </c>
      <c r="AB11" s="22">
        <v>0</v>
      </c>
      <c r="AC11" s="22">
        <f>AB11</f>
        <v>0</v>
      </c>
      <c r="AD11" s="22">
        <f>AC11</f>
        <v>0</v>
      </c>
      <c r="AE11" s="22">
        <f>AD11</f>
        <v>0</v>
      </c>
      <c r="AF11" s="22">
        <v>0</v>
      </c>
      <c r="AG11" s="22">
        <f>AF11</f>
        <v>0</v>
      </c>
      <c r="AH11" s="22">
        <f>AG11</f>
        <v>0</v>
      </c>
      <c r="AI11" s="22">
        <f>AH11</f>
        <v>0</v>
      </c>
      <c r="AJ11" s="22">
        <f>AI11</f>
        <v>0</v>
      </c>
      <c r="AK11" s="22">
        <f>AJ11</f>
        <v>0</v>
      </c>
      <c r="AL11" s="22">
        <f t="shared" si="9"/>
        <v>0</v>
      </c>
      <c r="AM11" s="22">
        <f t="shared" si="9"/>
        <v>0</v>
      </c>
      <c r="AN11" s="22">
        <f t="shared" si="9"/>
        <v>0</v>
      </c>
      <c r="AO11" s="22">
        <f t="shared" si="9"/>
        <v>0</v>
      </c>
      <c r="AP11" s="22">
        <f t="shared" si="9"/>
        <v>0</v>
      </c>
      <c r="AQ11" s="22">
        <f t="shared" si="9"/>
        <v>0</v>
      </c>
      <c r="AR11" s="22">
        <f t="shared" si="9"/>
        <v>0</v>
      </c>
      <c r="AS11" s="22">
        <f t="shared" si="9"/>
        <v>0</v>
      </c>
      <c r="AT11" s="22">
        <f t="shared" si="9"/>
        <v>0</v>
      </c>
      <c r="AU11" s="22">
        <f t="shared" si="9"/>
        <v>0</v>
      </c>
    </row>
    <row r="12" spans="1:47" ht="15.5" x14ac:dyDescent="0.35">
      <c r="A12" s="178" t="str">
        <f t="shared" si="4"/>
        <v>LEAST_CNST</v>
      </c>
      <c r="B12" s="28">
        <v>1</v>
      </c>
      <c r="C12" s="42" t="s">
        <v>85</v>
      </c>
      <c r="D12" s="28" t="s">
        <v>7</v>
      </c>
      <c r="E12" s="43" t="s">
        <v>20</v>
      </c>
      <c r="F12" s="6" t="s">
        <v>16</v>
      </c>
      <c r="G12" s="22"/>
      <c r="H12" s="22"/>
      <c r="I12" s="22"/>
      <c r="J12" s="22"/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 t="s">
        <v>86</v>
      </c>
      <c r="R12" s="22" t="s">
        <v>86</v>
      </c>
      <c r="S12" s="22" t="str">
        <f t="shared" si="10"/>
        <v>unc</v>
      </c>
      <c r="T12" s="22" t="str">
        <f t="shared" si="10"/>
        <v>unc</v>
      </c>
      <c r="U12" s="22" t="str">
        <f t="shared" si="10"/>
        <v>unc</v>
      </c>
      <c r="V12" s="22" t="str">
        <f t="shared" si="10"/>
        <v>unc</v>
      </c>
      <c r="W12" s="22" t="str">
        <f t="shared" si="10"/>
        <v>unc</v>
      </c>
      <c r="X12" s="22" t="str">
        <f t="shared" si="10"/>
        <v>unc</v>
      </c>
      <c r="Y12" s="22" t="str">
        <f t="shared" si="11"/>
        <v>unc</v>
      </c>
      <c r="Z12" s="22" t="str">
        <f t="shared" si="11"/>
        <v>unc</v>
      </c>
      <c r="AA12" s="22" t="str">
        <f t="shared" si="11"/>
        <v>unc</v>
      </c>
      <c r="AB12" s="22">
        <v>0</v>
      </c>
      <c r="AC12" s="22">
        <v>0</v>
      </c>
      <c r="AD12" s="22">
        <v>0</v>
      </c>
      <c r="AE12" s="22">
        <f t="shared" ref="AE12:AG22" si="12">AD12</f>
        <v>0</v>
      </c>
      <c r="AF12" s="22">
        <f t="shared" si="12"/>
        <v>0</v>
      </c>
      <c r="AG12" s="22">
        <v>0</v>
      </c>
      <c r="AH12" s="22">
        <f t="shared" ref="AH12:AL28" si="13">AG12</f>
        <v>0</v>
      </c>
      <c r="AI12" s="22">
        <f t="shared" si="13"/>
        <v>0</v>
      </c>
      <c r="AJ12" s="22">
        <f t="shared" si="13"/>
        <v>0</v>
      </c>
      <c r="AK12" s="22">
        <v>0</v>
      </c>
      <c r="AL12" s="22">
        <f t="shared" si="9"/>
        <v>0</v>
      </c>
      <c r="AM12" s="22">
        <f t="shared" si="9"/>
        <v>0</v>
      </c>
      <c r="AN12" s="22">
        <f t="shared" si="9"/>
        <v>0</v>
      </c>
      <c r="AO12" s="22">
        <f t="shared" si="9"/>
        <v>0</v>
      </c>
      <c r="AP12" s="22">
        <f t="shared" si="9"/>
        <v>0</v>
      </c>
      <c r="AQ12" s="22">
        <f t="shared" si="9"/>
        <v>0</v>
      </c>
      <c r="AR12" s="22">
        <f t="shared" si="9"/>
        <v>0</v>
      </c>
      <c r="AS12" s="22">
        <f t="shared" si="9"/>
        <v>0</v>
      </c>
      <c r="AT12" s="22">
        <f t="shared" si="9"/>
        <v>0</v>
      </c>
      <c r="AU12" s="22">
        <f t="shared" si="9"/>
        <v>0</v>
      </c>
    </row>
    <row r="13" spans="1:47" ht="15.5" x14ac:dyDescent="0.35">
      <c r="A13" s="178" t="str">
        <f t="shared" si="4"/>
        <v>LEAST_CNST</v>
      </c>
      <c r="B13" s="29">
        <v>1</v>
      </c>
      <c r="C13" s="41" t="s">
        <v>85</v>
      </c>
      <c r="D13" s="29" t="s">
        <v>7</v>
      </c>
      <c r="E13" s="44" t="s">
        <v>21</v>
      </c>
      <c r="F13" s="4" t="s">
        <v>16</v>
      </c>
      <c r="G13" s="22"/>
      <c r="H13" s="22"/>
      <c r="I13" s="22"/>
      <c r="J13" s="22"/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 t="s">
        <v>86</v>
      </c>
      <c r="R13" s="22" t="s">
        <v>86</v>
      </c>
      <c r="S13" s="22" t="str">
        <f t="shared" si="10"/>
        <v>unc</v>
      </c>
      <c r="T13" s="22" t="str">
        <f t="shared" si="10"/>
        <v>unc</v>
      </c>
      <c r="U13" s="22" t="str">
        <f t="shared" si="10"/>
        <v>unc</v>
      </c>
      <c r="V13" s="22" t="str">
        <f t="shared" si="10"/>
        <v>unc</v>
      </c>
      <c r="W13" s="22" t="str">
        <f t="shared" si="10"/>
        <v>unc</v>
      </c>
      <c r="X13" s="22" t="str">
        <f t="shared" si="10"/>
        <v>unc</v>
      </c>
      <c r="Y13" s="22" t="str">
        <f t="shared" si="11"/>
        <v>unc</v>
      </c>
      <c r="Z13" s="22" t="str">
        <f t="shared" si="11"/>
        <v>unc</v>
      </c>
      <c r="AA13" s="22" t="str">
        <f t="shared" si="11"/>
        <v>unc</v>
      </c>
      <c r="AB13" s="22" t="s">
        <v>86</v>
      </c>
      <c r="AC13" s="22" t="str">
        <f t="shared" ref="AC13:AD22" si="14">AB13</f>
        <v>unc</v>
      </c>
      <c r="AD13" s="22" t="str">
        <f t="shared" si="14"/>
        <v>unc</v>
      </c>
      <c r="AE13" s="22" t="str">
        <f t="shared" si="12"/>
        <v>unc</v>
      </c>
      <c r="AF13" s="22" t="str">
        <f t="shared" si="12"/>
        <v>unc</v>
      </c>
      <c r="AG13" s="22">
        <v>0</v>
      </c>
      <c r="AH13" s="22">
        <f t="shared" si="13"/>
        <v>0</v>
      </c>
      <c r="AI13" s="22">
        <f t="shared" si="13"/>
        <v>0</v>
      </c>
      <c r="AJ13" s="22">
        <f t="shared" si="13"/>
        <v>0</v>
      </c>
      <c r="AK13" s="22">
        <f t="shared" si="13"/>
        <v>0</v>
      </c>
      <c r="AL13" s="22">
        <v>0</v>
      </c>
      <c r="AM13" s="22">
        <f t="shared" si="9"/>
        <v>0</v>
      </c>
      <c r="AN13" s="22">
        <f t="shared" si="9"/>
        <v>0</v>
      </c>
      <c r="AO13" s="22">
        <f t="shared" si="9"/>
        <v>0</v>
      </c>
      <c r="AP13" s="22">
        <f t="shared" si="9"/>
        <v>0</v>
      </c>
      <c r="AQ13" s="22">
        <f t="shared" si="9"/>
        <v>0</v>
      </c>
      <c r="AR13" s="22">
        <f t="shared" si="9"/>
        <v>0</v>
      </c>
      <c r="AS13" s="22">
        <f t="shared" si="9"/>
        <v>0</v>
      </c>
      <c r="AT13" s="22">
        <f t="shared" si="9"/>
        <v>0</v>
      </c>
      <c r="AU13" s="22">
        <f t="shared" si="9"/>
        <v>0</v>
      </c>
    </row>
    <row r="14" spans="1:47" ht="15.5" x14ac:dyDescent="0.35">
      <c r="A14" s="178" t="str">
        <f t="shared" si="4"/>
        <v>LEAST_CNST</v>
      </c>
      <c r="B14" s="28">
        <v>1</v>
      </c>
      <c r="C14" s="42" t="s">
        <v>85</v>
      </c>
      <c r="D14" s="28" t="s">
        <v>7</v>
      </c>
      <c r="E14" s="43" t="s">
        <v>22</v>
      </c>
      <c r="F14" s="6" t="s">
        <v>16</v>
      </c>
      <c r="G14" s="22"/>
      <c r="H14" s="22"/>
      <c r="I14" s="22"/>
      <c r="J14" s="22"/>
      <c r="K14" s="22"/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 t="s">
        <v>86</v>
      </c>
      <c r="R14" s="22" t="s">
        <v>86</v>
      </c>
      <c r="S14" s="22" t="str">
        <f t="shared" si="10"/>
        <v>unc</v>
      </c>
      <c r="T14" s="22" t="str">
        <f t="shared" si="10"/>
        <v>unc</v>
      </c>
      <c r="U14" s="22" t="str">
        <f t="shared" si="10"/>
        <v>unc</v>
      </c>
      <c r="V14" s="22" t="str">
        <f t="shared" si="10"/>
        <v>unc</v>
      </c>
      <c r="W14" s="22" t="str">
        <f t="shared" si="10"/>
        <v>unc</v>
      </c>
      <c r="X14" s="22" t="str">
        <f t="shared" si="10"/>
        <v>unc</v>
      </c>
      <c r="Y14" s="22" t="str">
        <f t="shared" si="11"/>
        <v>unc</v>
      </c>
      <c r="Z14" s="22" t="str">
        <f t="shared" si="11"/>
        <v>unc</v>
      </c>
      <c r="AA14" s="22" t="str">
        <f t="shared" si="11"/>
        <v>unc</v>
      </c>
      <c r="AB14" s="22" t="str">
        <f t="shared" si="11"/>
        <v>unc</v>
      </c>
      <c r="AC14" s="22" t="str">
        <f t="shared" si="14"/>
        <v>unc</v>
      </c>
      <c r="AD14" s="22" t="str">
        <f t="shared" si="14"/>
        <v>unc</v>
      </c>
      <c r="AE14" s="22" t="str">
        <f t="shared" si="12"/>
        <v>unc</v>
      </c>
      <c r="AF14" s="22" t="str">
        <f t="shared" si="12"/>
        <v>unc</v>
      </c>
      <c r="AG14" s="22" t="str">
        <f t="shared" si="12"/>
        <v>unc</v>
      </c>
      <c r="AH14" s="22" t="str">
        <f t="shared" si="13"/>
        <v>unc</v>
      </c>
      <c r="AI14" s="22" t="str">
        <f t="shared" si="13"/>
        <v>unc</v>
      </c>
      <c r="AJ14" s="22" t="str">
        <f t="shared" si="13"/>
        <v>unc</v>
      </c>
      <c r="AK14" s="22" t="str">
        <f t="shared" si="13"/>
        <v>unc</v>
      </c>
      <c r="AL14" s="22">
        <v>0</v>
      </c>
      <c r="AM14" s="22">
        <f t="shared" si="9"/>
        <v>0</v>
      </c>
      <c r="AN14" s="22">
        <f t="shared" si="9"/>
        <v>0</v>
      </c>
      <c r="AO14" s="22">
        <f t="shared" si="9"/>
        <v>0</v>
      </c>
      <c r="AP14" s="22">
        <f t="shared" si="9"/>
        <v>0</v>
      </c>
      <c r="AQ14" s="22">
        <v>0</v>
      </c>
      <c r="AR14" s="22">
        <f t="shared" si="9"/>
        <v>0</v>
      </c>
      <c r="AS14" s="22">
        <f t="shared" si="9"/>
        <v>0</v>
      </c>
      <c r="AT14" s="22">
        <f t="shared" si="9"/>
        <v>0</v>
      </c>
      <c r="AU14" s="22">
        <f t="shared" si="9"/>
        <v>0</v>
      </c>
    </row>
    <row r="15" spans="1:47" ht="15.5" x14ac:dyDescent="0.35">
      <c r="A15" s="178" t="str">
        <f>A9</f>
        <v>LEAST_CNST</v>
      </c>
      <c r="B15" s="29">
        <v>1</v>
      </c>
      <c r="C15" s="41" t="s">
        <v>85</v>
      </c>
      <c r="D15" s="29" t="s">
        <v>7</v>
      </c>
      <c r="E15" s="4" t="s">
        <v>23</v>
      </c>
      <c r="F15" s="4" t="s">
        <v>16</v>
      </c>
      <c r="G15" s="22"/>
      <c r="H15" s="22"/>
      <c r="I15" s="22"/>
      <c r="J15" s="22"/>
      <c r="K15" s="22"/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 t="s">
        <v>86</v>
      </c>
      <c r="R15" s="22" t="str">
        <f t="shared" ref="R15:R16" si="15">Q15</f>
        <v>unc</v>
      </c>
      <c r="S15" s="22" t="str">
        <f t="shared" ref="S15:S16" si="16">R15</f>
        <v>unc</v>
      </c>
      <c r="T15" s="22" t="str">
        <f t="shared" ref="T15:T16" si="17">S15</f>
        <v>unc</v>
      </c>
      <c r="U15" s="22" t="str">
        <f t="shared" ref="U15:U16" si="18">T15</f>
        <v>unc</v>
      </c>
      <c r="V15" s="22" t="str">
        <f t="shared" ref="V15:V16" si="19">U15</f>
        <v>unc</v>
      </c>
      <c r="W15" s="22" t="str">
        <f t="shared" ref="W15:W16" si="20">V15</f>
        <v>unc</v>
      </c>
      <c r="X15" s="22" t="str">
        <f t="shared" ref="X15:X16" si="21">W15</f>
        <v>unc</v>
      </c>
      <c r="Y15" s="22" t="str">
        <f t="shared" ref="Y15:Y16" si="22">X15</f>
        <v>unc</v>
      </c>
      <c r="Z15" s="22" t="str">
        <f t="shared" ref="Z15:Z16" si="23">Y15</f>
        <v>unc</v>
      </c>
      <c r="AA15" s="22" t="str">
        <f t="shared" ref="AA15:AA16" si="24">Z15</f>
        <v>unc</v>
      </c>
      <c r="AB15" s="22" t="str">
        <f t="shared" ref="AB15:AB16" si="25">AA15</f>
        <v>unc</v>
      </c>
      <c r="AC15" s="22" t="str">
        <f t="shared" ref="AC15:AC16" si="26">AB15</f>
        <v>unc</v>
      </c>
      <c r="AD15" s="22" t="str">
        <f t="shared" ref="AD15:AD16" si="27">AC15</f>
        <v>unc</v>
      </c>
      <c r="AE15" s="22" t="str">
        <f t="shared" ref="AE15:AE16" si="28">AD15</f>
        <v>unc</v>
      </c>
      <c r="AF15" s="22" t="str">
        <f t="shared" ref="AF15:AF16" si="29">AE15</f>
        <v>unc</v>
      </c>
      <c r="AG15" s="22" t="str">
        <f t="shared" ref="AG15:AG16" si="30">AF15</f>
        <v>unc</v>
      </c>
      <c r="AH15" s="22" t="str">
        <f t="shared" ref="AH15:AH16" si="31">AG15</f>
        <v>unc</v>
      </c>
      <c r="AI15" s="22" t="str">
        <f t="shared" ref="AI15:AI16" si="32">AH15</f>
        <v>unc</v>
      </c>
      <c r="AJ15" s="22" t="str">
        <f t="shared" ref="AJ15:AJ16" si="33">AI15</f>
        <v>unc</v>
      </c>
      <c r="AK15" s="22" t="str">
        <f t="shared" ref="AK15:AK16" si="34">AJ15</f>
        <v>unc</v>
      </c>
      <c r="AL15" s="22" t="str">
        <f t="shared" ref="AL15:AU16" si="35">AK15</f>
        <v>unc</v>
      </c>
      <c r="AM15" s="22" t="str">
        <f t="shared" si="35"/>
        <v>unc</v>
      </c>
      <c r="AN15" s="22" t="str">
        <f t="shared" si="35"/>
        <v>unc</v>
      </c>
      <c r="AO15" s="22" t="str">
        <f t="shared" si="35"/>
        <v>unc</v>
      </c>
      <c r="AP15" s="22" t="str">
        <f t="shared" si="35"/>
        <v>unc</v>
      </c>
      <c r="AQ15" s="22" t="str">
        <f t="shared" si="35"/>
        <v>unc</v>
      </c>
      <c r="AR15" s="22" t="str">
        <f t="shared" si="35"/>
        <v>unc</v>
      </c>
      <c r="AS15" s="22" t="str">
        <f t="shared" si="35"/>
        <v>unc</v>
      </c>
      <c r="AT15" s="22" t="str">
        <f t="shared" si="35"/>
        <v>unc</v>
      </c>
      <c r="AU15" s="22" t="str">
        <f t="shared" si="35"/>
        <v>unc</v>
      </c>
    </row>
    <row r="16" spans="1:47" ht="15.5" x14ac:dyDescent="0.35">
      <c r="A16" s="179" t="str">
        <f>A10</f>
        <v>LEAST_CNST</v>
      </c>
      <c r="B16" s="33">
        <v>1</v>
      </c>
      <c r="C16" s="45" t="s">
        <v>85</v>
      </c>
      <c r="D16" s="33" t="s">
        <v>7</v>
      </c>
      <c r="E16" s="34" t="s">
        <v>117</v>
      </c>
      <c r="F16" s="34" t="s">
        <v>16</v>
      </c>
      <c r="G16" s="27"/>
      <c r="H16" s="27"/>
      <c r="I16" s="27"/>
      <c r="J16" s="27"/>
      <c r="K16" s="27"/>
      <c r="L16" s="27">
        <v>0</v>
      </c>
      <c r="M16" s="27">
        <f>L16</f>
        <v>0</v>
      </c>
      <c r="N16" s="27">
        <f t="shared" ref="N16" si="36">M16</f>
        <v>0</v>
      </c>
      <c r="O16" s="27">
        <f t="shared" ref="O16" si="37">N16</f>
        <v>0</v>
      </c>
      <c r="P16" s="27">
        <f t="shared" ref="P16" si="38">O16</f>
        <v>0</v>
      </c>
      <c r="Q16" s="27">
        <f t="shared" ref="Q16" si="39">P16</f>
        <v>0</v>
      </c>
      <c r="R16" s="27">
        <f t="shared" si="15"/>
        <v>0</v>
      </c>
      <c r="S16" s="27">
        <f t="shared" si="16"/>
        <v>0</v>
      </c>
      <c r="T16" s="27">
        <f t="shared" si="17"/>
        <v>0</v>
      </c>
      <c r="U16" s="27">
        <f t="shared" si="18"/>
        <v>0</v>
      </c>
      <c r="V16" s="27">
        <f t="shared" si="19"/>
        <v>0</v>
      </c>
      <c r="W16" s="27">
        <f t="shared" si="20"/>
        <v>0</v>
      </c>
      <c r="X16" s="27">
        <f t="shared" si="21"/>
        <v>0</v>
      </c>
      <c r="Y16" s="27">
        <f t="shared" si="22"/>
        <v>0</v>
      </c>
      <c r="Z16" s="27">
        <f t="shared" si="23"/>
        <v>0</v>
      </c>
      <c r="AA16" s="27">
        <f t="shared" si="24"/>
        <v>0</v>
      </c>
      <c r="AB16" s="27">
        <f t="shared" si="25"/>
        <v>0</v>
      </c>
      <c r="AC16" s="27">
        <f t="shared" si="26"/>
        <v>0</v>
      </c>
      <c r="AD16" s="27">
        <f t="shared" si="27"/>
        <v>0</v>
      </c>
      <c r="AE16" s="27">
        <f t="shared" si="28"/>
        <v>0</v>
      </c>
      <c r="AF16" s="27">
        <f t="shared" si="29"/>
        <v>0</v>
      </c>
      <c r="AG16" s="27">
        <f t="shared" si="30"/>
        <v>0</v>
      </c>
      <c r="AH16" s="27">
        <f t="shared" si="31"/>
        <v>0</v>
      </c>
      <c r="AI16" s="27">
        <f t="shared" si="32"/>
        <v>0</v>
      </c>
      <c r="AJ16" s="27">
        <f t="shared" si="33"/>
        <v>0</v>
      </c>
      <c r="AK16" s="27">
        <f t="shared" si="34"/>
        <v>0</v>
      </c>
      <c r="AL16" s="27">
        <f t="shared" si="35"/>
        <v>0</v>
      </c>
      <c r="AM16" s="27">
        <f t="shared" si="35"/>
        <v>0</v>
      </c>
      <c r="AN16" s="27">
        <f t="shared" si="35"/>
        <v>0</v>
      </c>
      <c r="AO16" s="27">
        <f t="shared" si="35"/>
        <v>0</v>
      </c>
      <c r="AP16" s="27">
        <f t="shared" si="35"/>
        <v>0</v>
      </c>
      <c r="AQ16" s="27">
        <f t="shared" si="35"/>
        <v>0</v>
      </c>
      <c r="AR16" s="27">
        <f t="shared" si="35"/>
        <v>0</v>
      </c>
      <c r="AS16" s="27">
        <f t="shared" si="35"/>
        <v>0</v>
      </c>
      <c r="AT16" s="27">
        <f t="shared" si="35"/>
        <v>0</v>
      </c>
      <c r="AU16" s="27">
        <f t="shared" si="35"/>
        <v>0</v>
      </c>
    </row>
    <row r="17" spans="1:47" ht="15.5" x14ac:dyDescent="0.35">
      <c r="A17" s="178" t="str">
        <f>A12</f>
        <v>LEAST_CNST</v>
      </c>
      <c r="B17" s="28">
        <v>1</v>
      </c>
      <c r="C17" s="42" t="s">
        <v>85</v>
      </c>
      <c r="D17" s="28" t="s">
        <v>7</v>
      </c>
      <c r="E17" s="46" t="s">
        <v>25</v>
      </c>
      <c r="F17" s="6" t="s">
        <v>16</v>
      </c>
      <c r="G17" s="22"/>
      <c r="H17" s="22"/>
      <c r="I17" s="22"/>
      <c r="J17" s="22"/>
      <c r="K17" s="22"/>
      <c r="L17" s="22" t="s">
        <v>86</v>
      </c>
      <c r="M17" s="22" t="str">
        <f t="shared" ref="M17:R22" si="40">L17</f>
        <v>unc</v>
      </c>
      <c r="N17" s="22" t="str">
        <f t="shared" si="40"/>
        <v>unc</v>
      </c>
      <c r="O17" s="22" t="str">
        <f t="shared" si="40"/>
        <v>unc</v>
      </c>
      <c r="P17" s="22" t="str">
        <f t="shared" si="40"/>
        <v>unc</v>
      </c>
      <c r="Q17" s="22" t="str">
        <f t="shared" si="40"/>
        <v>unc</v>
      </c>
      <c r="R17" s="22" t="str">
        <f t="shared" si="40"/>
        <v>unc</v>
      </c>
      <c r="S17" s="22" t="str">
        <f t="shared" si="10"/>
        <v>unc</v>
      </c>
      <c r="T17" s="22" t="str">
        <f t="shared" si="10"/>
        <v>unc</v>
      </c>
      <c r="U17" s="22" t="str">
        <f t="shared" si="10"/>
        <v>unc</v>
      </c>
      <c r="V17" s="22" t="str">
        <f t="shared" si="10"/>
        <v>unc</v>
      </c>
      <c r="W17" s="22" t="str">
        <f t="shared" si="10"/>
        <v>unc</v>
      </c>
      <c r="X17" s="22" t="str">
        <f t="shared" si="10"/>
        <v>unc</v>
      </c>
      <c r="Y17" s="22" t="str">
        <f t="shared" si="11"/>
        <v>unc</v>
      </c>
      <c r="Z17" s="22" t="str">
        <f t="shared" si="11"/>
        <v>unc</v>
      </c>
      <c r="AA17" s="22" t="str">
        <f t="shared" si="11"/>
        <v>unc</v>
      </c>
      <c r="AB17" s="22" t="str">
        <f t="shared" si="11"/>
        <v>unc</v>
      </c>
      <c r="AC17" s="22" t="str">
        <f t="shared" si="14"/>
        <v>unc</v>
      </c>
      <c r="AD17" s="22" t="str">
        <f t="shared" si="14"/>
        <v>unc</v>
      </c>
      <c r="AE17" s="22" t="str">
        <f t="shared" si="12"/>
        <v>unc</v>
      </c>
      <c r="AF17" s="22" t="str">
        <f t="shared" si="12"/>
        <v>unc</v>
      </c>
      <c r="AG17" s="22" t="str">
        <f t="shared" si="12"/>
        <v>unc</v>
      </c>
      <c r="AH17" s="22" t="str">
        <f t="shared" si="13"/>
        <v>unc</v>
      </c>
      <c r="AI17" s="22" t="str">
        <f t="shared" si="13"/>
        <v>unc</v>
      </c>
      <c r="AJ17" s="22" t="str">
        <f t="shared" si="13"/>
        <v>unc</v>
      </c>
      <c r="AK17" s="22" t="str">
        <f t="shared" si="13"/>
        <v>unc</v>
      </c>
      <c r="AL17" s="22" t="str">
        <f t="shared" si="13"/>
        <v>unc</v>
      </c>
      <c r="AM17" s="22" t="str">
        <f t="shared" si="9"/>
        <v>unc</v>
      </c>
      <c r="AN17" s="22" t="str">
        <f t="shared" si="9"/>
        <v>unc</v>
      </c>
      <c r="AO17" s="22" t="str">
        <f t="shared" si="9"/>
        <v>unc</v>
      </c>
      <c r="AP17" s="22" t="str">
        <f t="shared" si="9"/>
        <v>unc</v>
      </c>
      <c r="AQ17" s="22" t="str">
        <f t="shared" si="9"/>
        <v>unc</v>
      </c>
      <c r="AR17" s="22" t="str">
        <f t="shared" si="9"/>
        <v>unc</v>
      </c>
      <c r="AS17" s="22" t="str">
        <f t="shared" si="9"/>
        <v>unc</v>
      </c>
      <c r="AT17" s="22" t="str">
        <f t="shared" si="9"/>
        <v>unc</v>
      </c>
      <c r="AU17" s="22" t="str">
        <f t="shared" si="9"/>
        <v>unc</v>
      </c>
    </row>
    <row r="18" spans="1:47" ht="15.5" x14ac:dyDescent="0.35">
      <c r="A18" s="178" t="str">
        <f>A17</f>
        <v>LEAST_CNST</v>
      </c>
      <c r="B18" s="28">
        <v>1</v>
      </c>
      <c r="C18" s="42" t="s">
        <v>85</v>
      </c>
      <c r="D18" s="33" t="s">
        <v>7</v>
      </c>
      <c r="E18" s="47" t="s">
        <v>26</v>
      </c>
      <c r="F18" s="6" t="s">
        <v>16</v>
      </c>
      <c r="G18" s="22"/>
      <c r="H18" s="22"/>
      <c r="I18" s="22"/>
      <c r="J18" s="22"/>
      <c r="K18" s="22"/>
      <c r="L18" s="22" t="s">
        <v>86</v>
      </c>
      <c r="M18" s="22" t="str">
        <f t="shared" si="40"/>
        <v>unc</v>
      </c>
      <c r="N18" s="22" t="str">
        <f t="shared" si="40"/>
        <v>unc</v>
      </c>
      <c r="O18" s="22" t="str">
        <f t="shared" si="40"/>
        <v>unc</v>
      </c>
      <c r="P18" s="22" t="str">
        <f t="shared" si="40"/>
        <v>unc</v>
      </c>
      <c r="Q18" s="22" t="str">
        <f t="shared" si="40"/>
        <v>unc</v>
      </c>
      <c r="R18" s="22" t="str">
        <f t="shared" si="40"/>
        <v>unc</v>
      </c>
      <c r="S18" s="22" t="str">
        <f t="shared" si="10"/>
        <v>unc</v>
      </c>
      <c r="T18" s="22" t="str">
        <f t="shared" si="10"/>
        <v>unc</v>
      </c>
      <c r="U18" s="22" t="str">
        <f t="shared" si="10"/>
        <v>unc</v>
      </c>
      <c r="V18" s="22" t="str">
        <f t="shared" si="10"/>
        <v>unc</v>
      </c>
      <c r="W18" s="22" t="str">
        <f t="shared" si="10"/>
        <v>unc</v>
      </c>
      <c r="X18" s="22" t="str">
        <f t="shared" si="10"/>
        <v>unc</v>
      </c>
      <c r="Y18" s="22" t="str">
        <f t="shared" si="11"/>
        <v>unc</v>
      </c>
      <c r="Z18" s="22" t="str">
        <f t="shared" si="11"/>
        <v>unc</v>
      </c>
      <c r="AA18" s="22" t="str">
        <f t="shared" si="11"/>
        <v>unc</v>
      </c>
      <c r="AB18" s="22" t="str">
        <f t="shared" si="11"/>
        <v>unc</v>
      </c>
      <c r="AC18" s="22" t="str">
        <f t="shared" si="14"/>
        <v>unc</v>
      </c>
      <c r="AD18" s="22" t="str">
        <f t="shared" si="14"/>
        <v>unc</v>
      </c>
      <c r="AE18" s="22" t="str">
        <f t="shared" si="12"/>
        <v>unc</v>
      </c>
      <c r="AF18" s="22" t="str">
        <f t="shared" si="12"/>
        <v>unc</v>
      </c>
      <c r="AG18" s="22" t="str">
        <f t="shared" si="12"/>
        <v>unc</v>
      </c>
      <c r="AH18" s="22" t="str">
        <f t="shared" si="13"/>
        <v>unc</v>
      </c>
      <c r="AI18" s="22" t="str">
        <f t="shared" si="13"/>
        <v>unc</v>
      </c>
      <c r="AJ18" s="22" t="str">
        <f t="shared" si="13"/>
        <v>unc</v>
      </c>
      <c r="AK18" s="22" t="str">
        <f t="shared" si="13"/>
        <v>unc</v>
      </c>
      <c r="AL18" s="22" t="str">
        <f t="shared" si="13"/>
        <v>unc</v>
      </c>
      <c r="AM18" s="22" t="str">
        <f t="shared" si="9"/>
        <v>unc</v>
      </c>
      <c r="AN18" s="22" t="str">
        <f t="shared" si="9"/>
        <v>unc</v>
      </c>
      <c r="AO18" s="22" t="str">
        <f t="shared" si="9"/>
        <v>unc</v>
      </c>
      <c r="AP18" s="22" t="str">
        <f t="shared" si="9"/>
        <v>unc</v>
      </c>
      <c r="AQ18" s="22" t="str">
        <f t="shared" si="9"/>
        <v>unc</v>
      </c>
      <c r="AR18" s="22" t="str">
        <f t="shared" si="9"/>
        <v>unc</v>
      </c>
      <c r="AS18" s="22" t="str">
        <f t="shared" si="9"/>
        <v>unc</v>
      </c>
      <c r="AT18" s="22" t="str">
        <f t="shared" si="9"/>
        <v>unc</v>
      </c>
      <c r="AU18" s="22" t="str">
        <f t="shared" si="9"/>
        <v>unc</v>
      </c>
    </row>
    <row r="19" spans="1:47" ht="15.5" x14ac:dyDescent="0.35">
      <c r="A19" s="178" t="str">
        <f>A18</f>
        <v>LEAST_CNST</v>
      </c>
      <c r="B19" s="28">
        <v>1</v>
      </c>
      <c r="C19" s="42" t="s">
        <v>85</v>
      </c>
      <c r="D19" s="28" t="s">
        <v>27</v>
      </c>
      <c r="E19" s="46" t="s">
        <v>28</v>
      </c>
      <c r="F19" s="6" t="s">
        <v>29</v>
      </c>
      <c r="G19" s="22"/>
      <c r="H19" s="22"/>
      <c r="I19" s="22"/>
      <c r="J19" s="22"/>
      <c r="K19" s="22"/>
      <c r="L19" s="22" t="s">
        <v>86</v>
      </c>
      <c r="M19" s="22" t="str">
        <f t="shared" si="40"/>
        <v>unc</v>
      </c>
      <c r="N19" s="22" t="str">
        <f t="shared" si="40"/>
        <v>unc</v>
      </c>
      <c r="O19" s="22" t="str">
        <f t="shared" si="40"/>
        <v>unc</v>
      </c>
      <c r="P19" s="22" t="str">
        <f t="shared" si="40"/>
        <v>unc</v>
      </c>
      <c r="Q19" s="22" t="str">
        <f t="shared" si="40"/>
        <v>unc</v>
      </c>
      <c r="R19" s="22" t="str">
        <f t="shared" si="40"/>
        <v>unc</v>
      </c>
      <c r="S19" s="22" t="str">
        <f t="shared" si="10"/>
        <v>unc</v>
      </c>
      <c r="T19" s="22" t="str">
        <f t="shared" si="10"/>
        <v>unc</v>
      </c>
      <c r="U19" s="22" t="str">
        <f t="shared" si="10"/>
        <v>unc</v>
      </c>
      <c r="V19" s="22" t="str">
        <f t="shared" si="10"/>
        <v>unc</v>
      </c>
      <c r="W19" s="22" t="str">
        <f t="shared" si="10"/>
        <v>unc</v>
      </c>
      <c r="X19" s="22" t="str">
        <f t="shared" si="10"/>
        <v>unc</v>
      </c>
      <c r="Y19" s="22" t="str">
        <f t="shared" si="11"/>
        <v>unc</v>
      </c>
      <c r="Z19" s="22" t="str">
        <f t="shared" si="11"/>
        <v>unc</v>
      </c>
      <c r="AA19" s="22" t="str">
        <f t="shared" si="11"/>
        <v>unc</v>
      </c>
      <c r="AB19" s="22" t="str">
        <f t="shared" si="11"/>
        <v>unc</v>
      </c>
      <c r="AC19" s="22" t="str">
        <f t="shared" si="14"/>
        <v>unc</v>
      </c>
      <c r="AD19" s="22" t="str">
        <f t="shared" si="14"/>
        <v>unc</v>
      </c>
      <c r="AE19" s="22" t="str">
        <f t="shared" si="12"/>
        <v>unc</v>
      </c>
      <c r="AF19" s="22" t="str">
        <f t="shared" si="12"/>
        <v>unc</v>
      </c>
      <c r="AG19" s="22" t="str">
        <f t="shared" si="12"/>
        <v>unc</v>
      </c>
      <c r="AH19" s="22" t="str">
        <f t="shared" si="13"/>
        <v>unc</v>
      </c>
      <c r="AI19" s="22" t="str">
        <f t="shared" si="13"/>
        <v>unc</v>
      </c>
      <c r="AJ19" s="22" t="str">
        <f t="shared" si="13"/>
        <v>unc</v>
      </c>
      <c r="AK19" s="22" t="str">
        <f t="shared" si="13"/>
        <v>unc</v>
      </c>
      <c r="AL19" s="22" t="str">
        <f t="shared" si="13"/>
        <v>unc</v>
      </c>
      <c r="AM19" s="22" t="str">
        <f t="shared" si="9"/>
        <v>unc</v>
      </c>
      <c r="AN19" s="22" t="str">
        <f t="shared" si="9"/>
        <v>unc</v>
      </c>
      <c r="AO19" s="22" t="str">
        <f t="shared" si="9"/>
        <v>unc</v>
      </c>
      <c r="AP19" s="22" t="str">
        <f t="shared" si="9"/>
        <v>unc</v>
      </c>
      <c r="AQ19" s="22" t="str">
        <f t="shared" si="9"/>
        <v>unc</v>
      </c>
      <c r="AR19" s="22" t="str">
        <f t="shared" si="9"/>
        <v>unc</v>
      </c>
      <c r="AS19" s="22" t="str">
        <f t="shared" si="9"/>
        <v>unc</v>
      </c>
      <c r="AT19" s="22" t="str">
        <f t="shared" si="9"/>
        <v>unc</v>
      </c>
      <c r="AU19" s="22" t="str">
        <f t="shared" si="9"/>
        <v>unc</v>
      </c>
    </row>
    <row r="20" spans="1:47" ht="15.5" x14ac:dyDescent="0.35">
      <c r="A20" s="178" t="str">
        <f>A19</f>
        <v>LEAST_CNST</v>
      </c>
      <c r="B20" s="28">
        <v>1</v>
      </c>
      <c r="C20" s="42" t="s">
        <v>85</v>
      </c>
      <c r="D20" s="28" t="s">
        <v>27</v>
      </c>
      <c r="E20" s="47" t="s">
        <v>30</v>
      </c>
      <c r="F20" s="6" t="s">
        <v>29</v>
      </c>
      <c r="G20" s="22"/>
      <c r="H20" s="22"/>
      <c r="I20" s="22"/>
      <c r="J20" s="22"/>
      <c r="K20" s="22"/>
      <c r="L20" s="22" t="s">
        <v>86</v>
      </c>
      <c r="M20" s="22" t="str">
        <f t="shared" si="40"/>
        <v>unc</v>
      </c>
      <c r="N20" s="22" t="str">
        <f t="shared" si="40"/>
        <v>unc</v>
      </c>
      <c r="O20" s="22" t="str">
        <f t="shared" si="40"/>
        <v>unc</v>
      </c>
      <c r="P20" s="22" t="str">
        <f t="shared" si="40"/>
        <v>unc</v>
      </c>
      <c r="Q20" s="22" t="str">
        <f t="shared" si="40"/>
        <v>unc</v>
      </c>
      <c r="R20" s="22" t="str">
        <f t="shared" si="40"/>
        <v>unc</v>
      </c>
      <c r="S20" s="22" t="str">
        <f t="shared" si="10"/>
        <v>unc</v>
      </c>
      <c r="T20" s="22" t="str">
        <f t="shared" si="10"/>
        <v>unc</v>
      </c>
      <c r="U20" s="22" t="str">
        <f t="shared" si="10"/>
        <v>unc</v>
      </c>
      <c r="V20" s="22" t="str">
        <f t="shared" si="10"/>
        <v>unc</v>
      </c>
      <c r="W20" s="22" t="str">
        <f t="shared" si="10"/>
        <v>unc</v>
      </c>
      <c r="X20" s="22" t="str">
        <f t="shared" si="10"/>
        <v>unc</v>
      </c>
      <c r="Y20" s="22" t="str">
        <f t="shared" si="11"/>
        <v>unc</v>
      </c>
      <c r="Z20" s="22" t="str">
        <f t="shared" si="11"/>
        <v>unc</v>
      </c>
      <c r="AA20" s="22" t="str">
        <f t="shared" si="11"/>
        <v>unc</v>
      </c>
      <c r="AB20" s="22" t="str">
        <f t="shared" si="11"/>
        <v>unc</v>
      </c>
      <c r="AC20" s="22" t="str">
        <f t="shared" si="14"/>
        <v>unc</v>
      </c>
      <c r="AD20" s="22" t="str">
        <f t="shared" si="14"/>
        <v>unc</v>
      </c>
      <c r="AE20" s="22" t="str">
        <f t="shared" si="12"/>
        <v>unc</v>
      </c>
      <c r="AF20" s="22" t="str">
        <f t="shared" si="12"/>
        <v>unc</v>
      </c>
      <c r="AG20" s="22" t="str">
        <f t="shared" si="12"/>
        <v>unc</v>
      </c>
      <c r="AH20" s="22" t="str">
        <f t="shared" si="13"/>
        <v>unc</v>
      </c>
      <c r="AI20" s="22" t="str">
        <f t="shared" si="13"/>
        <v>unc</v>
      </c>
      <c r="AJ20" s="22" t="str">
        <f t="shared" si="13"/>
        <v>unc</v>
      </c>
      <c r="AK20" s="22" t="str">
        <f t="shared" si="13"/>
        <v>unc</v>
      </c>
      <c r="AL20" s="22" t="str">
        <f t="shared" si="13"/>
        <v>unc</v>
      </c>
      <c r="AM20" s="22" t="str">
        <f t="shared" si="9"/>
        <v>unc</v>
      </c>
      <c r="AN20" s="22" t="str">
        <f t="shared" si="9"/>
        <v>unc</v>
      </c>
      <c r="AO20" s="22" t="str">
        <f t="shared" si="9"/>
        <v>unc</v>
      </c>
      <c r="AP20" s="22" t="str">
        <f t="shared" si="9"/>
        <v>unc</v>
      </c>
      <c r="AQ20" s="22" t="str">
        <f t="shared" si="9"/>
        <v>unc</v>
      </c>
      <c r="AR20" s="22" t="str">
        <f t="shared" si="9"/>
        <v>unc</v>
      </c>
      <c r="AS20" s="22" t="str">
        <f t="shared" si="9"/>
        <v>unc</v>
      </c>
      <c r="AT20" s="22" t="str">
        <f t="shared" si="9"/>
        <v>unc</v>
      </c>
      <c r="AU20" s="22" t="str">
        <f t="shared" si="9"/>
        <v>unc</v>
      </c>
    </row>
    <row r="21" spans="1:47" ht="15.5" x14ac:dyDescent="0.35">
      <c r="A21" s="178" t="str">
        <f>A20</f>
        <v>LEAST_CNST</v>
      </c>
      <c r="B21" s="28">
        <v>1</v>
      </c>
      <c r="C21" s="42" t="s">
        <v>85</v>
      </c>
      <c r="D21" s="28" t="s">
        <v>27</v>
      </c>
      <c r="E21" s="46" t="s">
        <v>32</v>
      </c>
      <c r="F21" s="6" t="s">
        <v>29</v>
      </c>
      <c r="G21" s="22"/>
      <c r="H21" s="22"/>
      <c r="I21" s="22"/>
      <c r="J21" s="22"/>
      <c r="K21" s="22"/>
      <c r="L21" s="22" t="s">
        <v>86</v>
      </c>
      <c r="M21" s="22" t="str">
        <f t="shared" si="40"/>
        <v>unc</v>
      </c>
      <c r="N21" s="22" t="str">
        <f t="shared" si="40"/>
        <v>unc</v>
      </c>
      <c r="O21" s="22" t="str">
        <f t="shared" si="40"/>
        <v>unc</v>
      </c>
      <c r="P21" s="22" t="str">
        <f t="shared" si="40"/>
        <v>unc</v>
      </c>
      <c r="Q21" s="22" t="str">
        <f t="shared" si="40"/>
        <v>unc</v>
      </c>
      <c r="R21" s="22" t="str">
        <f t="shared" si="40"/>
        <v>unc</v>
      </c>
      <c r="S21" s="22" t="str">
        <f t="shared" si="10"/>
        <v>unc</v>
      </c>
      <c r="T21" s="22" t="str">
        <f t="shared" si="10"/>
        <v>unc</v>
      </c>
      <c r="U21" s="22" t="str">
        <f t="shared" si="10"/>
        <v>unc</v>
      </c>
      <c r="V21" s="22" t="str">
        <f t="shared" si="10"/>
        <v>unc</v>
      </c>
      <c r="W21" s="22" t="str">
        <f t="shared" si="10"/>
        <v>unc</v>
      </c>
      <c r="X21" s="22" t="str">
        <f t="shared" si="10"/>
        <v>unc</v>
      </c>
      <c r="Y21" s="22" t="str">
        <f t="shared" si="11"/>
        <v>unc</v>
      </c>
      <c r="Z21" s="22" t="str">
        <f t="shared" si="11"/>
        <v>unc</v>
      </c>
      <c r="AA21" s="22" t="str">
        <f t="shared" si="11"/>
        <v>unc</v>
      </c>
      <c r="AB21" s="22" t="str">
        <f t="shared" si="11"/>
        <v>unc</v>
      </c>
      <c r="AC21" s="22" t="str">
        <f t="shared" si="14"/>
        <v>unc</v>
      </c>
      <c r="AD21" s="22" t="str">
        <f t="shared" si="14"/>
        <v>unc</v>
      </c>
      <c r="AE21" s="22" t="str">
        <f t="shared" si="12"/>
        <v>unc</v>
      </c>
      <c r="AF21" s="22" t="str">
        <f t="shared" si="12"/>
        <v>unc</v>
      </c>
      <c r="AG21" s="22" t="str">
        <f t="shared" si="12"/>
        <v>unc</v>
      </c>
      <c r="AH21" s="22" t="str">
        <f t="shared" si="13"/>
        <v>unc</v>
      </c>
      <c r="AI21" s="22" t="str">
        <f t="shared" si="13"/>
        <v>unc</v>
      </c>
      <c r="AJ21" s="22" t="str">
        <f t="shared" si="13"/>
        <v>unc</v>
      </c>
      <c r="AK21" s="22" t="str">
        <f t="shared" si="13"/>
        <v>unc</v>
      </c>
      <c r="AL21" s="22" t="str">
        <f t="shared" si="13"/>
        <v>unc</v>
      </c>
      <c r="AM21" s="22" t="str">
        <f t="shared" si="9"/>
        <v>unc</v>
      </c>
      <c r="AN21" s="22" t="str">
        <f t="shared" si="9"/>
        <v>unc</v>
      </c>
      <c r="AO21" s="22" t="str">
        <f t="shared" si="9"/>
        <v>unc</v>
      </c>
      <c r="AP21" s="22" t="str">
        <f t="shared" si="9"/>
        <v>unc</v>
      </c>
      <c r="AQ21" s="22" t="str">
        <f t="shared" si="9"/>
        <v>unc</v>
      </c>
      <c r="AR21" s="22" t="str">
        <f t="shared" si="9"/>
        <v>unc</v>
      </c>
      <c r="AS21" s="22" t="str">
        <f t="shared" si="9"/>
        <v>unc</v>
      </c>
      <c r="AT21" s="22" t="str">
        <f t="shared" si="9"/>
        <v>unc</v>
      </c>
      <c r="AU21" s="22" t="str">
        <f t="shared" si="9"/>
        <v>unc</v>
      </c>
    </row>
    <row r="22" spans="1:47" ht="15.5" x14ac:dyDescent="0.35">
      <c r="A22" s="178" t="str">
        <f>A21</f>
        <v>LEAST_CNST</v>
      </c>
      <c r="B22" s="28">
        <v>1</v>
      </c>
      <c r="C22" s="42" t="s">
        <v>85</v>
      </c>
      <c r="D22" s="28" t="s">
        <v>27</v>
      </c>
      <c r="E22" s="48" t="s">
        <v>33</v>
      </c>
      <c r="F22" s="6" t="s">
        <v>29</v>
      </c>
      <c r="G22" s="22"/>
      <c r="H22" s="22"/>
      <c r="I22" s="22"/>
      <c r="J22" s="22"/>
      <c r="K22" s="22"/>
      <c r="L22" s="22" t="s">
        <v>86</v>
      </c>
      <c r="M22" s="22" t="str">
        <f t="shared" si="40"/>
        <v>unc</v>
      </c>
      <c r="N22" s="22" t="str">
        <f t="shared" si="40"/>
        <v>unc</v>
      </c>
      <c r="O22" s="22" t="str">
        <f t="shared" si="40"/>
        <v>unc</v>
      </c>
      <c r="P22" s="22" t="str">
        <f t="shared" si="40"/>
        <v>unc</v>
      </c>
      <c r="Q22" s="22" t="str">
        <f t="shared" si="40"/>
        <v>unc</v>
      </c>
      <c r="R22" s="22" t="str">
        <f t="shared" si="40"/>
        <v>unc</v>
      </c>
      <c r="S22" s="22" t="str">
        <f t="shared" si="10"/>
        <v>unc</v>
      </c>
      <c r="T22" s="22" t="str">
        <f t="shared" si="10"/>
        <v>unc</v>
      </c>
      <c r="U22" s="22" t="str">
        <f t="shared" si="10"/>
        <v>unc</v>
      </c>
      <c r="V22" s="22" t="str">
        <f t="shared" si="10"/>
        <v>unc</v>
      </c>
      <c r="W22" s="22" t="str">
        <f t="shared" si="10"/>
        <v>unc</v>
      </c>
      <c r="X22" s="22" t="str">
        <f t="shared" si="10"/>
        <v>unc</v>
      </c>
      <c r="Y22" s="22" t="str">
        <f t="shared" si="11"/>
        <v>unc</v>
      </c>
      <c r="Z22" s="22" t="str">
        <f t="shared" si="11"/>
        <v>unc</v>
      </c>
      <c r="AA22" s="22" t="str">
        <f t="shared" si="11"/>
        <v>unc</v>
      </c>
      <c r="AB22" s="22" t="str">
        <f t="shared" si="11"/>
        <v>unc</v>
      </c>
      <c r="AC22" s="22" t="str">
        <f t="shared" si="14"/>
        <v>unc</v>
      </c>
      <c r="AD22" s="22" t="str">
        <f t="shared" si="14"/>
        <v>unc</v>
      </c>
      <c r="AE22" s="22" t="str">
        <f t="shared" si="12"/>
        <v>unc</v>
      </c>
      <c r="AF22" s="22" t="str">
        <f t="shared" si="12"/>
        <v>unc</v>
      </c>
      <c r="AG22" s="22" t="str">
        <f t="shared" si="12"/>
        <v>unc</v>
      </c>
      <c r="AH22" s="22" t="str">
        <f t="shared" si="13"/>
        <v>unc</v>
      </c>
      <c r="AI22" s="22" t="str">
        <f t="shared" si="13"/>
        <v>unc</v>
      </c>
      <c r="AJ22" s="22" t="str">
        <f t="shared" si="13"/>
        <v>unc</v>
      </c>
      <c r="AK22" s="22" t="str">
        <f t="shared" si="13"/>
        <v>unc</v>
      </c>
      <c r="AL22" s="22" t="str">
        <f t="shared" si="13"/>
        <v>unc</v>
      </c>
      <c r="AM22" s="22" t="str">
        <f t="shared" si="9"/>
        <v>unc</v>
      </c>
      <c r="AN22" s="22" t="str">
        <f t="shared" si="9"/>
        <v>unc</v>
      </c>
      <c r="AO22" s="22" t="str">
        <f t="shared" si="9"/>
        <v>unc</v>
      </c>
      <c r="AP22" s="22" t="str">
        <f t="shared" si="9"/>
        <v>unc</v>
      </c>
      <c r="AQ22" s="22" t="str">
        <f t="shared" si="9"/>
        <v>unc</v>
      </c>
      <c r="AR22" s="22" t="str">
        <f t="shared" si="9"/>
        <v>unc</v>
      </c>
      <c r="AS22" s="22" t="str">
        <f t="shared" si="9"/>
        <v>unc</v>
      </c>
      <c r="AT22" s="22" t="str">
        <f t="shared" si="9"/>
        <v>unc</v>
      </c>
      <c r="AU22" s="22" t="str">
        <f t="shared" si="9"/>
        <v>unc</v>
      </c>
    </row>
    <row r="23" spans="1:47" s="56" customFormat="1" ht="15.5" x14ac:dyDescent="0.35">
      <c r="A23" s="94" t="s">
        <v>98</v>
      </c>
      <c r="B23" s="95">
        <v>1</v>
      </c>
      <c r="C23" s="96" t="s">
        <v>85</v>
      </c>
      <c r="D23" s="95" t="s">
        <v>7</v>
      </c>
      <c r="E23" s="97" t="s">
        <v>13</v>
      </c>
      <c r="F23" s="97" t="s">
        <v>9</v>
      </c>
      <c r="G23" s="22"/>
      <c r="H23" s="22"/>
      <c r="I23" s="22"/>
      <c r="J23" s="22"/>
      <c r="K23" s="22"/>
      <c r="L23" s="98">
        <f>L6</f>
        <v>5</v>
      </c>
      <c r="M23" s="98">
        <f t="shared" ref="M23:AU23" si="41">L23+M6</f>
        <v>1005</v>
      </c>
      <c r="N23" s="98">
        <f t="shared" si="41"/>
        <v>2105</v>
      </c>
      <c r="O23" s="98">
        <f t="shared" si="41"/>
        <v>3305</v>
      </c>
      <c r="P23" s="98">
        <f t="shared" si="41"/>
        <v>4605</v>
      </c>
      <c r="Q23" s="98">
        <f t="shared" si="41"/>
        <v>6005</v>
      </c>
      <c r="R23" s="98">
        <f t="shared" si="41"/>
        <v>7505</v>
      </c>
      <c r="S23" s="98">
        <f t="shared" si="41"/>
        <v>9105</v>
      </c>
      <c r="T23" s="98">
        <f t="shared" si="41"/>
        <v>10805</v>
      </c>
      <c r="U23" s="98">
        <f t="shared" si="41"/>
        <v>12605</v>
      </c>
      <c r="V23" s="98">
        <f t="shared" si="41"/>
        <v>14505</v>
      </c>
      <c r="W23" s="98">
        <f t="shared" si="41"/>
        <v>16505</v>
      </c>
      <c r="X23" s="98">
        <f t="shared" si="41"/>
        <v>18605</v>
      </c>
      <c r="Y23" s="98">
        <f t="shared" si="41"/>
        <v>20805</v>
      </c>
      <c r="Z23" s="98">
        <f t="shared" si="41"/>
        <v>23105</v>
      </c>
      <c r="AA23" s="98">
        <f t="shared" si="41"/>
        <v>25505</v>
      </c>
      <c r="AB23" s="98">
        <f t="shared" si="41"/>
        <v>28005</v>
      </c>
      <c r="AC23" s="98">
        <f t="shared" si="41"/>
        <v>30605</v>
      </c>
      <c r="AD23" s="98">
        <f t="shared" si="41"/>
        <v>33305</v>
      </c>
      <c r="AE23" s="98">
        <f t="shared" si="41"/>
        <v>36105</v>
      </c>
      <c r="AF23" s="98">
        <f t="shared" si="41"/>
        <v>39005</v>
      </c>
      <c r="AG23" s="98">
        <f t="shared" si="41"/>
        <v>42005</v>
      </c>
      <c r="AH23" s="98">
        <f t="shared" si="41"/>
        <v>45105</v>
      </c>
      <c r="AI23" s="98">
        <f t="shared" si="41"/>
        <v>48305</v>
      </c>
      <c r="AJ23" s="98">
        <f t="shared" si="41"/>
        <v>51605</v>
      </c>
      <c r="AK23" s="98">
        <f t="shared" si="41"/>
        <v>55005</v>
      </c>
      <c r="AL23" s="98">
        <f t="shared" si="41"/>
        <v>58505</v>
      </c>
      <c r="AM23" s="98">
        <f t="shared" si="41"/>
        <v>62105</v>
      </c>
      <c r="AN23" s="98">
        <f t="shared" si="41"/>
        <v>65805</v>
      </c>
      <c r="AO23" s="98">
        <f t="shared" si="41"/>
        <v>69605</v>
      </c>
      <c r="AP23" s="98">
        <f t="shared" si="41"/>
        <v>73505</v>
      </c>
      <c r="AQ23" s="98">
        <f t="shared" si="41"/>
        <v>77505</v>
      </c>
      <c r="AR23" s="98">
        <f t="shared" si="41"/>
        <v>81605</v>
      </c>
      <c r="AS23" s="98">
        <f t="shared" si="41"/>
        <v>85805</v>
      </c>
      <c r="AT23" s="98">
        <f t="shared" si="41"/>
        <v>90105</v>
      </c>
      <c r="AU23" s="98">
        <f t="shared" si="41"/>
        <v>94505</v>
      </c>
    </row>
    <row r="24" spans="1:47" s="56" customFormat="1" ht="15.5" x14ac:dyDescent="0.35">
      <c r="A24" s="94" t="s">
        <v>99</v>
      </c>
      <c r="B24" s="95">
        <v>1</v>
      </c>
      <c r="C24" s="96" t="s">
        <v>85</v>
      </c>
      <c r="D24" s="95" t="s">
        <v>7</v>
      </c>
      <c r="E24" s="97" t="s">
        <v>13</v>
      </c>
      <c r="F24" s="97" t="s">
        <v>9</v>
      </c>
      <c r="G24" s="22"/>
      <c r="H24" s="22"/>
      <c r="I24" s="22"/>
      <c r="J24" s="22"/>
      <c r="K24" s="22"/>
      <c r="L24" s="98">
        <f>L7</f>
        <v>5</v>
      </c>
      <c r="M24" s="98">
        <f t="shared" ref="M24:AU24" si="42">L24+M7</f>
        <v>5</v>
      </c>
      <c r="N24" s="98">
        <f t="shared" si="42"/>
        <v>5</v>
      </c>
      <c r="O24" s="98">
        <f t="shared" si="42"/>
        <v>5</v>
      </c>
      <c r="P24" s="98">
        <f t="shared" si="42"/>
        <v>5</v>
      </c>
      <c r="Q24" s="98">
        <f t="shared" si="42"/>
        <v>1505</v>
      </c>
      <c r="R24" s="98">
        <f t="shared" si="42"/>
        <v>3005</v>
      </c>
      <c r="S24" s="98">
        <f t="shared" si="42"/>
        <v>4505</v>
      </c>
      <c r="T24" s="98">
        <f t="shared" si="42"/>
        <v>6005</v>
      </c>
      <c r="U24" s="98">
        <f t="shared" si="42"/>
        <v>7505</v>
      </c>
      <c r="V24" s="98">
        <f t="shared" si="42"/>
        <v>9005</v>
      </c>
      <c r="W24" s="98">
        <f t="shared" si="42"/>
        <v>10505</v>
      </c>
      <c r="X24" s="98">
        <f t="shared" si="42"/>
        <v>12005</v>
      </c>
      <c r="Y24" s="98">
        <f t="shared" si="42"/>
        <v>13505</v>
      </c>
      <c r="Z24" s="98">
        <f t="shared" si="42"/>
        <v>15005</v>
      </c>
      <c r="AA24" s="98">
        <f t="shared" si="42"/>
        <v>16505</v>
      </c>
      <c r="AB24" s="98">
        <f t="shared" si="42"/>
        <v>18005</v>
      </c>
      <c r="AC24" s="98">
        <f t="shared" si="42"/>
        <v>19505</v>
      </c>
      <c r="AD24" s="98">
        <f t="shared" si="42"/>
        <v>21005</v>
      </c>
      <c r="AE24" s="98">
        <f t="shared" si="42"/>
        <v>22505</v>
      </c>
      <c r="AF24" s="98">
        <f t="shared" si="42"/>
        <v>24005</v>
      </c>
      <c r="AG24" s="98">
        <f t="shared" si="42"/>
        <v>25505</v>
      </c>
      <c r="AH24" s="98">
        <f t="shared" si="42"/>
        <v>27005</v>
      </c>
      <c r="AI24" s="98">
        <f t="shared" si="42"/>
        <v>28505</v>
      </c>
      <c r="AJ24" s="98">
        <f t="shared" si="42"/>
        <v>30005</v>
      </c>
      <c r="AK24" s="98">
        <f t="shared" si="42"/>
        <v>31505</v>
      </c>
      <c r="AL24" s="98">
        <f t="shared" si="42"/>
        <v>33005</v>
      </c>
      <c r="AM24" s="98">
        <f t="shared" si="42"/>
        <v>34505</v>
      </c>
      <c r="AN24" s="98">
        <f t="shared" si="42"/>
        <v>36005</v>
      </c>
      <c r="AO24" s="98">
        <f t="shared" si="42"/>
        <v>37505</v>
      </c>
      <c r="AP24" s="98">
        <f t="shared" si="42"/>
        <v>39005</v>
      </c>
      <c r="AQ24" s="98">
        <f t="shared" si="42"/>
        <v>40505</v>
      </c>
      <c r="AR24" s="98">
        <f t="shared" si="42"/>
        <v>42005</v>
      </c>
      <c r="AS24" s="98">
        <f t="shared" si="42"/>
        <v>43505</v>
      </c>
      <c r="AT24" s="98">
        <f t="shared" si="42"/>
        <v>45005</v>
      </c>
      <c r="AU24" s="98">
        <f t="shared" si="42"/>
        <v>46505</v>
      </c>
    </row>
    <row r="25" spans="1:47" s="56" customFormat="1" ht="15.5" x14ac:dyDescent="0.35">
      <c r="A25" s="94" t="s">
        <v>100</v>
      </c>
      <c r="B25" s="95">
        <v>1</v>
      </c>
      <c r="C25" s="96" t="s">
        <v>85</v>
      </c>
      <c r="D25" s="95" t="s">
        <v>7</v>
      </c>
      <c r="E25" s="97" t="s">
        <v>13</v>
      </c>
      <c r="F25" s="97" t="s">
        <v>9</v>
      </c>
      <c r="G25" s="22"/>
      <c r="H25" s="22"/>
      <c r="I25" s="22"/>
      <c r="J25" s="22"/>
      <c r="K25" s="22"/>
      <c r="L25" s="98">
        <f>L23+L24</f>
        <v>10</v>
      </c>
      <c r="M25" s="98">
        <f t="shared" ref="M25:AU25" si="43">M23+M24</f>
        <v>1010</v>
      </c>
      <c r="N25" s="98">
        <f t="shared" si="43"/>
        <v>2110</v>
      </c>
      <c r="O25" s="98">
        <f t="shared" si="43"/>
        <v>3310</v>
      </c>
      <c r="P25" s="98">
        <f t="shared" si="43"/>
        <v>4610</v>
      </c>
      <c r="Q25" s="98">
        <f t="shared" si="43"/>
        <v>7510</v>
      </c>
      <c r="R25" s="98">
        <f t="shared" si="43"/>
        <v>10510</v>
      </c>
      <c r="S25" s="98">
        <f t="shared" si="43"/>
        <v>13610</v>
      </c>
      <c r="T25" s="98">
        <f t="shared" si="43"/>
        <v>16810</v>
      </c>
      <c r="U25" s="98">
        <f t="shared" si="43"/>
        <v>20110</v>
      </c>
      <c r="V25" s="98">
        <f t="shared" si="43"/>
        <v>23510</v>
      </c>
      <c r="W25" s="98">
        <f t="shared" si="43"/>
        <v>27010</v>
      </c>
      <c r="X25" s="98">
        <f t="shared" si="43"/>
        <v>30610</v>
      </c>
      <c r="Y25" s="98">
        <f t="shared" si="43"/>
        <v>34310</v>
      </c>
      <c r="Z25" s="98">
        <f t="shared" si="43"/>
        <v>38110</v>
      </c>
      <c r="AA25" s="98">
        <f t="shared" si="43"/>
        <v>42010</v>
      </c>
      <c r="AB25" s="98">
        <f t="shared" si="43"/>
        <v>46010</v>
      </c>
      <c r="AC25" s="98">
        <f t="shared" si="43"/>
        <v>50110</v>
      </c>
      <c r="AD25" s="98">
        <f t="shared" si="43"/>
        <v>54310</v>
      </c>
      <c r="AE25" s="98">
        <f t="shared" si="43"/>
        <v>58610</v>
      </c>
      <c r="AF25" s="98">
        <f t="shared" si="43"/>
        <v>63010</v>
      </c>
      <c r="AG25" s="98">
        <f t="shared" si="43"/>
        <v>67510</v>
      </c>
      <c r="AH25" s="98">
        <f t="shared" si="43"/>
        <v>72110</v>
      </c>
      <c r="AI25" s="98">
        <f t="shared" si="43"/>
        <v>76810</v>
      </c>
      <c r="AJ25" s="98">
        <f t="shared" si="43"/>
        <v>81610</v>
      </c>
      <c r="AK25" s="98">
        <f t="shared" si="43"/>
        <v>86510</v>
      </c>
      <c r="AL25" s="98">
        <f t="shared" si="43"/>
        <v>91510</v>
      </c>
      <c r="AM25" s="98">
        <f t="shared" si="43"/>
        <v>96610</v>
      </c>
      <c r="AN25" s="98">
        <f t="shared" si="43"/>
        <v>101810</v>
      </c>
      <c r="AO25" s="98">
        <f t="shared" si="43"/>
        <v>107110</v>
      </c>
      <c r="AP25" s="98">
        <f t="shared" si="43"/>
        <v>112510</v>
      </c>
      <c r="AQ25" s="98">
        <f t="shared" si="43"/>
        <v>118010</v>
      </c>
      <c r="AR25" s="98">
        <f t="shared" si="43"/>
        <v>123610</v>
      </c>
      <c r="AS25" s="98">
        <f t="shared" si="43"/>
        <v>129310</v>
      </c>
      <c r="AT25" s="98">
        <f t="shared" si="43"/>
        <v>135110</v>
      </c>
      <c r="AU25" s="98">
        <f t="shared" si="43"/>
        <v>141010</v>
      </c>
    </row>
    <row r="26" spans="1:47" ht="15.5" x14ac:dyDescent="0.35">
      <c r="A26" s="180" t="s">
        <v>88</v>
      </c>
      <c r="B26" s="29">
        <v>1</v>
      </c>
      <c r="C26" s="41" t="s">
        <v>85</v>
      </c>
      <c r="D26" s="29" t="s">
        <v>7</v>
      </c>
      <c r="E26" s="4" t="s">
        <v>10</v>
      </c>
      <c r="F26" s="4" t="s">
        <v>9</v>
      </c>
      <c r="G26" s="22"/>
      <c r="H26" s="22"/>
      <c r="I26" s="22"/>
      <c r="J26" s="22"/>
      <c r="K26" s="22"/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10000</v>
      </c>
      <c r="R26" s="22">
        <v>10000</v>
      </c>
      <c r="S26" s="22">
        <v>10000</v>
      </c>
      <c r="T26" s="22">
        <v>10000</v>
      </c>
      <c r="U26" s="22">
        <v>10000</v>
      </c>
      <c r="V26" s="22">
        <v>10000</v>
      </c>
      <c r="W26" s="22">
        <v>10000</v>
      </c>
      <c r="X26" s="22">
        <v>10000</v>
      </c>
      <c r="Y26" s="22">
        <v>10000</v>
      </c>
      <c r="Z26" s="22">
        <v>10000</v>
      </c>
      <c r="AA26" s="22">
        <v>10000</v>
      </c>
      <c r="AB26" s="22">
        <v>10000</v>
      </c>
      <c r="AC26" s="22">
        <v>10000</v>
      </c>
      <c r="AD26" s="22">
        <v>10000</v>
      </c>
      <c r="AE26" s="22">
        <v>10000</v>
      </c>
      <c r="AF26" s="22">
        <v>10000</v>
      </c>
      <c r="AG26" s="22">
        <v>10000</v>
      </c>
      <c r="AH26" s="22">
        <v>10000</v>
      </c>
      <c r="AI26" s="22">
        <v>10000</v>
      </c>
      <c r="AJ26" s="22">
        <v>10000</v>
      </c>
      <c r="AK26" s="22">
        <v>10000</v>
      </c>
      <c r="AL26" s="22">
        <f t="shared" si="13"/>
        <v>10000</v>
      </c>
      <c r="AM26" s="22">
        <f t="shared" si="9"/>
        <v>10000</v>
      </c>
      <c r="AN26" s="22">
        <f t="shared" si="9"/>
        <v>10000</v>
      </c>
      <c r="AO26" s="22">
        <f t="shared" si="9"/>
        <v>10000</v>
      </c>
      <c r="AP26" s="22">
        <f t="shared" si="9"/>
        <v>10000</v>
      </c>
      <c r="AQ26" s="22">
        <f t="shared" si="9"/>
        <v>10000</v>
      </c>
      <c r="AR26" s="22">
        <f t="shared" si="9"/>
        <v>10000</v>
      </c>
      <c r="AS26" s="22">
        <f t="shared" si="9"/>
        <v>10000</v>
      </c>
      <c r="AT26" s="22">
        <f t="shared" si="9"/>
        <v>10000</v>
      </c>
      <c r="AU26" s="22">
        <f t="shared" si="9"/>
        <v>10000</v>
      </c>
    </row>
    <row r="27" spans="1:47" ht="15.5" x14ac:dyDescent="0.35">
      <c r="A27" s="180" t="str">
        <f t="shared" ref="A27:A37" si="44">A26</f>
        <v>MOD_CNST</v>
      </c>
      <c r="B27" s="28">
        <v>1</v>
      </c>
      <c r="C27" s="42" t="s">
        <v>85</v>
      </c>
      <c r="D27" s="28" t="s">
        <v>7</v>
      </c>
      <c r="E27" s="6" t="s">
        <v>11</v>
      </c>
      <c r="F27" s="6" t="s">
        <v>9</v>
      </c>
      <c r="G27" s="22"/>
      <c r="H27" s="22"/>
      <c r="I27" s="22"/>
      <c r="J27" s="22"/>
      <c r="K27" s="22"/>
      <c r="L27" s="22">
        <v>2000</v>
      </c>
      <c r="M27" s="22">
        <v>10000</v>
      </c>
      <c r="N27" s="22">
        <v>10000</v>
      </c>
      <c r="O27" s="22">
        <v>10000</v>
      </c>
      <c r="P27" s="22">
        <v>10000</v>
      </c>
      <c r="Q27" s="22">
        <v>10000</v>
      </c>
      <c r="R27" s="22">
        <v>10000</v>
      </c>
      <c r="S27" s="22">
        <v>10000</v>
      </c>
      <c r="T27" s="22">
        <v>10000</v>
      </c>
      <c r="U27" s="22">
        <v>10000</v>
      </c>
      <c r="V27" s="22">
        <v>10000</v>
      </c>
      <c r="W27" s="22">
        <v>10000</v>
      </c>
      <c r="X27" s="22">
        <v>10000</v>
      </c>
      <c r="Y27" s="22">
        <v>10000</v>
      </c>
      <c r="Z27" s="22">
        <v>10000</v>
      </c>
      <c r="AA27" s="22">
        <v>10000</v>
      </c>
      <c r="AB27" s="22">
        <v>10000</v>
      </c>
      <c r="AC27" s="22">
        <v>10000</v>
      </c>
      <c r="AD27" s="22">
        <v>10000</v>
      </c>
      <c r="AE27" s="22">
        <v>10000</v>
      </c>
      <c r="AF27" s="22">
        <v>10000</v>
      </c>
      <c r="AG27" s="22">
        <v>10000</v>
      </c>
      <c r="AH27" s="22">
        <v>10000</v>
      </c>
      <c r="AI27" s="22">
        <v>10000</v>
      </c>
      <c r="AJ27" s="22">
        <v>10000</v>
      </c>
      <c r="AK27" s="22">
        <v>10000</v>
      </c>
      <c r="AL27" s="22">
        <f t="shared" si="13"/>
        <v>10000</v>
      </c>
      <c r="AM27" s="22">
        <f t="shared" si="9"/>
        <v>10000</v>
      </c>
      <c r="AN27" s="22">
        <f t="shared" si="9"/>
        <v>10000</v>
      </c>
      <c r="AO27" s="22">
        <f t="shared" si="9"/>
        <v>10000</v>
      </c>
      <c r="AP27" s="22">
        <f t="shared" si="9"/>
        <v>10000</v>
      </c>
      <c r="AQ27" s="22">
        <f t="shared" si="9"/>
        <v>10000</v>
      </c>
      <c r="AR27" s="22">
        <f t="shared" si="9"/>
        <v>10000</v>
      </c>
      <c r="AS27" s="22">
        <f t="shared" si="9"/>
        <v>10000</v>
      </c>
      <c r="AT27" s="22">
        <f t="shared" si="9"/>
        <v>10000</v>
      </c>
      <c r="AU27" s="22">
        <f t="shared" si="9"/>
        <v>10000</v>
      </c>
    </row>
    <row r="28" spans="1:47" ht="15.5" x14ac:dyDescent="0.35">
      <c r="A28" s="180" t="str">
        <f t="shared" si="44"/>
        <v>MOD_CNST</v>
      </c>
      <c r="B28" s="29">
        <v>1</v>
      </c>
      <c r="C28" s="41" t="s">
        <v>85</v>
      </c>
      <c r="D28" s="29" t="s">
        <v>7</v>
      </c>
      <c r="E28" s="4" t="s">
        <v>12</v>
      </c>
      <c r="F28" s="4" t="s">
        <v>9</v>
      </c>
      <c r="G28" s="22"/>
      <c r="H28" s="22"/>
      <c r="I28" s="22"/>
      <c r="J28" s="22"/>
      <c r="K28" s="22"/>
      <c r="L28" s="22">
        <v>0</v>
      </c>
      <c r="M28" s="22">
        <v>1000</v>
      </c>
      <c r="N28" s="22">
        <f t="shared" ref="N28:AK28" si="45">M28</f>
        <v>1000</v>
      </c>
      <c r="O28" s="22">
        <f t="shared" si="45"/>
        <v>1000</v>
      </c>
      <c r="P28" s="22">
        <f t="shared" si="45"/>
        <v>1000</v>
      </c>
      <c r="Q28" s="22">
        <f t="shared" si="45"/>
        <v>1000</v>
      </c>
      <c r="R28" s="22">
        <f t="shared" si="45"/>
        <v>1000</v>
      </c>
      <c r="S28" s="22">
        <f t="shared" si="45"/>
        <v>1000</v>
      </c>
      <c r="T28" s="22">
        <f t="shared" si="45"/>
        <v>1000</v>
      </c>
      <c r="U28" s="22">
        <f t="shared" si="45"/>
        <v>1000</v>
      </c>
      <c r="V28" s="22">
        <f t="shared" si="45"/>
        <v>1000</v>
      </c>
      <c r="W28" s="22">
        <f t="shared" si="45"/>
        <v>1000</v>
      </c>
      <c r="X28" s="22">
        <f t="shared" si="45"/>
        <v>1000</v>
      </c>
      <c r="Y28" s="22">
        <f t="shared" si="45"/>
        <v>1000</v>
      </c>
      <c r="Z28" s="22">
        <f t="shared" si="45"/>
        <v>1000</v>
      </c>
      <c r="AA28" s="22">
        <f t="shared" si="45"/>
        <v>1000</v>
      </c>
      <c r="AB28" s="22">
        <f t="shared" si="45"/>
        <v>1000</v>
      </c>
      <c r="AC28" s="22">
        <f t="shared" si="45"/>
        <v>1000</v>
      </c>
      <c r="AD28" s="22">
        <f t="shared" si="45"/>
        <v>1000</v>
      </c>
      <c r="AE28" s="22">
        <f t="shared" si="45"/>
        <v>1000</v>
      </c>
      <c r="AF28" s="22">
        <f t="shared" si="45"/>
        <v>1000</v>
      </c>
      <c r="AG28" s="22">
        <f t="shared" si="45"/>
        <v>1000</v>
      </c>
      <c r="AH28" s="22">
        <f t="shared" si="45"/>
        <v>1000</v>
      </c>
      <c r="AI28" s="22">
        <f t="shared" si="45"/>
        <v>1000</v>
      </c>
      <c r="AJ28" s="22">
        <f t="shared" si="45"/>
        <v>1000</v>
      </c>
      <c r="AK28" s="22">
        <f t="shared" si="45"/>
        <v>1000</v>
      </c>
      <c r="AL28" s="22">
        <f t="shared" si="13"/>
        <v>1000</v>
      </c>
      <c r="AM28" s="22">
        <f t="shared" si="9"/>
        <v>1000</v>
      </c>
      <c r="AN28" s="22">
        <f t="shared" si="9"/>
        <v>1000</v>
      </c>
      <c r="AO28" s="22">
        <f t="shared" si="9"/>
        <v>1000</v>
      </c>
      <c r="AP28" s="22">
        <f t="shared" si="9"/>
        <v>1000</v>
      </c>
      <c r="AQ28" s="22">
        <f t="shared" si="9"/>
        <v>1000</v>
      </c>
      <c r="AR28" s="22">
        <f t="shared" si="9"/>
        <v>1000</v>
      </c>
      <c r="AS28" s="22">
        <f t="shared" si="9"/>
        <v>1000</v>
      </c>
      <c r="AT28" s="22">
        <f t="shared" si="9"/>
        <v>1000</v>
      </c>
      <c r="AU28" s="22">
        <f t="shared" si="9"/>
        <v>1000</v>
      </c>
    </row>
    <row r="29" spans="1:47" ht="15.5" x14ac:dyDescent="0.35">
      <c r="A29" s="180" t="str">
        <f t="shared" si="44"/>
        <v>MOD_CNST</v>
      </c>
      <c r="B29" s="28">
        <v>1</v>
      </c>
      <c r="C29" s="42" t="s">
        <v>85</v>
      </c>
      <c r="D29" s="28" t="s">
        <v>7</v>
      </c>
      <c r="E29" s="6" t="s">
        <v>13</v>
      </c>
      <c r="F29" s="6" t="s">
        <v>9</v>
      </c>
      <c r="G29" s="22"/>
      <c r="H29" s="22"/>
      <c r="I29" s="22"/>
      <c r="J29" s="22"/>
      <c r="K29" s="22"/>
      <c r="L29" s="22">
        <v>5</v>
      </c>
      <c r="M29" s="22">
        <v>1000</v>
      </c>
      <c r="N29" s="22">
        <v>1000</v>
      </c>
      <c r="O29" s="22">
        <v>1000</v>
      </c>
      <c r="P29" s="22">
        <v>1000</v>
      </c>
      <c r="Q29" s="22">
        <f>P29</f>
        <v>1000</v>
      </c>
      <c r="R29" s="22">
        <f>Q29+100</f>
        <v>1100</v>
      </c>
      <c r="S29" s="22">
        <f t="shared" ref="S29:AU29" si="46">R29+100</f>
        <v>1200</v>
      </c>
      <c r="T29" s="22">
        <f t="shared" si="46"/>
        <v>1300</v>
      </c>
      <c r="U29" s="22">
        <f t="shared" si="46"/>
        <v>1400</v>
      </c>
      <c r="V29" s="22">
        <f t="shared" si="46"/>
        <v>1500</v>
      </c>
      <c r="W29" s="22">
        <f t="shared" si="46"/>
        <v>1600</v>
      </c>
      <c r="X29" s="22">
        <f t="shared" si="46"/>
        <v>1700</v>
      </c>
      <c r="Y29" s="22">
        <f t="shared" si="46"/>
        <v>1800</v>
      </c>
      <c r="Z29" s="22">
        <f t="shared" si="46"/>
        <v>1900</v>
      </c>
      <c r="AA29" s="22">
        <f t="shared" si="46"/>
        <v>2000</v>
      </c>
      <c r="AB29" s="22">
        <f t="shared" si="46"/>
        <v>2100</v>
      </c>
      <c r="AC29" s="22">
        <f t="shared" si="46"/>
        <v>2200</v>
      </c>
      <c r="AD29" s="22">
        <f t="shared" si="46"/>
        <v>2300</v>
      </c>
      <c r="AE29" s="22">
        <f t="shared" si="46"/>
        <v>2400</v>
      </c>
      <c r="AF29" s="22">
        <f t="shared" si="46"/>
        <v>2500</v>
      </c>
      <c r="AG29" s="22">
        <f t="shared" si="46"/>
        <v>2600</v>
      </c>
      <c r="AH29" s="22">
        <f t="shared" si="46"/>
        <v>2700</v>
      </c>
      <c r="AI29" s="22">
        <f t="shared" si="46"/>
        <v>2800</v>
      </c>
      <c r="AJ29" s="22">
        <f t="shared" si="46"/>
        <v>2900</v>
      </c>
      <c r="AK29" s="22">
        <f t="shared" si="46"/>
        <v>3000</v>
      </c>
      <c r="AL29" s="22">
        <f t="shared" si="46"/>
        <v>3100</v>
      </c>
      <c r="AM29" s="22">
        <f t="shared" si="46"/>
        <v>3200</v>
      </c>
      <c r="AN29" s="22">
        <f t="shared" si="46"/>
        <v>3300</v>
      </c>
      <c r="AO29" s="22">
        <f t="shared" si="46"/>
        <v>3400</v>
      </c>
      <c r="AP29" s="22">
        <f t="shared" si="46"/>
        <v>3500</v>
      </c>
      <c r="AQ29" s="22">
        <f t="shared" si="46"/>
        <v>3600</v>
      </c>
      <c r="AR29" s="22">
        <f t="shared" si="46"/>
        <v>3700</v>
      </c>
      <c r="AS29" s="22">
        <f t="shared" si="46"/>
        <v>3800</v>
      </c>
      <c r="AT29" s="22">
        <f t="shared" si="46"/>
        <v>3900</v>
      </c>
      <c r="AU29" s="22">
        <f t="shared" si="46"/>
        <v>4000</v>
      </c>
    </row>
    <row r="30" spans="1:47" ht="15.5" x14ac:dyDescent="0.35">
      <c r="A30" s="180" t="str">
        <f t="shared" si="44"/>
        <v>MOD_CNST</v>
      </c>
      <c r="B30" s="29">
        <v>1</v>
      </c>
      <c r="C30" s="41" t="s">
        <v>85</v>
      </c>
      <c r="D30" s="29" t="s">
        <v>7</v>
      </c>
      <c r="E30" s="4" t="s">
        <v>14</v>
      </c>
      <c r="F30" s="4" t="s">
        <v>9</v>
      </c>
      <c r="G30" s="22"/>
      <c r="H30" s="22"/>
      <c r="I30" s="22"/>
      <c r="J30" s="22"/>
      <c r="K30" s="22"/>
      <c r="L30" s="22">
        <v>5</v>
      </c>
      <c r="M30" s="22">
        <v>0</v>
      </c>
      <c r="N30" s="22">
        <v>0</v>
      </c>
      <c r="O30" s="22">
        <v>0</v>
      </c>
      <c r="P30" s="22">
        <v>0</v>
      </c>
      <c r="Q30" s="22">
        <v>1000</v>
      </c>
      <c r="R30" s="22">
        <f t="shared" ref="R30:AL35" si="47">Q30</f>
        <v>1000</v>
      </c>
      <c r="S30" s="22">
        <f t="shared" si="47"/>
        <v>1000</v>
      </c>
      <c r="T30" s="22">
        <f t="shared" si="47"/>
        <v>1000</v>
      </c>
      <c r="U30" s="22">
        <f t="shared" si="47"/>
        <v>1000</v>
      </c>
      <c r="V30" s="22">
        <f t="shared" si="47"/>
        <v>1000</v>
      </c>
      <c r="W30" s="22">
        <f t="shared" si="47"/>
        <v>1000</v>
      </c>
      <c r="X30" s="22">
        <f t="shared" si="47"/>
        <v>1000</v>
      </c>
      <c r="Y30" s="22">
        <f t="shared" si="47"/>
        <v>1000</v>
      </c>
      <c r="Z30" s="22">
        <f t="shared" si="47"/>
        <v>1000</v>
      </c>
      <c r="AA30" s="22">
        <f t="shared" si="47"/>
        <v>1000</v>
      </c>
      <c r="AB30" s="22">
        <f t="shared" si="47"/>
        <v>1000</v>
      </c>
      <c r="AC30" s="22">
        <f t="shared" si="47"/>
        <v>1000</v>
      </c>
      <c r="AD30" s="22">
        <f t="shared" si="47"/>
        <v>1000</v>
      </c>
      <c r="AE30" s="22">
        <f t="shared" si="47"/>
        <v>1000</v>
      </c>
      <c r="AF30" s="22">
        <f t="shared" si="47"/>
        <v>1000</v>
      </c>
      <c r="AG30" s="22">
        <f t="shared" si="47"/>
        <v>1000</v>
      </c>
      <c r="AH30" s="22">
        <f t="shared" si="47"/>
        <v>1000</v>
      </c>
      <c r="AI30" s="22">
        <f t="shared" si="47"/>
        <v>1000</v>
      </c>
      <c r="AJ30" s="22">
        <f t="shared" si="47"/>
        <v>1000</v>
      </c>
      <c r="AK30" s="22">
        <f t="shared" si="47"/>
        <v>1000</v>
      </c>
      <c r="AL30" s="22">
        <f t="shared" si="47"/>
        <v>1000</v>
      </c>
      <c r="AM30" s="22">
        <f t="shared" si="9"/>
        <v>1000</v>
      </c>
      <c r="AN30" s="22">
        <f t="shared" si="9"/>
        <v>1000</v>
      </c>
      <c r="AO30" s="22">
        <f t="shared" si="9"/>
        <v>1000</v>
      </c>
      <c r="AP30" s="22">
        <f t="shared" si="9"/>
        <v>1000</v>
      </c>
      <c r="AQ30" s="22">
        <f t="shared" si="9"/>
        <v>1000</v>
      </c>
      <c r="AR30" s="22">
        <f t="shared" si="9"/>
        <v>1000</v>
      </c>
      <c r="AS30" s="22">
        <f t="shared" si="9"/>
        <v>1000</v>
      </c>
      <c r="AT30" s="22">
        <f t="shared" si="9"/>
        <v>1000</v>
      </c>
      <c r="AU30" s="22">
        <f t="shared" si="9"/>
        <v>1000</v>
      </c>
    </row>
    <row r="31" spans="1:47" ht="15.5" x14ac:dyDescent="0.35">
      <c r="A31" s="180" t="str">
        <f t="shared" si="44"/>
        <v>MOD_CNST</v>
      </c>
      <c r="B31" s="28">
        <v>1</v>
      </c>
      <c r="C31" s="42" t="s">
        <v>85</v>
      </c>
      <c r="D31" s="28" t="s">
        <v>7</v>
      </c>
      <c r="E31" s="6" t="s">
        <v>15</v>
      </c>
      <c r="F31" s="6" t="s">
        <v>16</v>
      </c>
      <c r="G31" s="22"/>
      <c r="H31" s="22"/>
      <c r="I31" s="22"/>
      <c r="J31" s="22"/>
      <c r="K31" s="22"/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 t="s">
        <v>86</v>
      </c>
      <c r="R31" s="22" t="s">
        <v>86</v>
      </c>
      <c r="S31" s="22" t="str">
        <f t="shared" si="47"/>
        <v>unc</v>
      </c>
      <c r="T31" s="22" t="str">
        <f t="shared" si="47"/>
        <v>unc</v>
      </c>
      <c r="U31" s="22" t="str">
        <f t="shared" si="47"/>
        <v>unc</v>
      </c>
      <c r="V31" s="22" t="str">
        <f t="shared" si="47"/>
        <v>unc</v>
      </c>
      <c r="W31" s="22" t="str">
        <f t="shared" si="47"/>
        <v>unc</v>
      </c>
      <c r="X31" s="22" t="str">
        <f t="shared" si="47"/>
        <v>unc</v>
      </c>
      <c r="Y31" s="22" t="str">
        <f t="shared" si="47"/>
        <v>unc</v>
      </c>
      <c r="Z31" s="22" t="str">
        <f t="shared" si="47"/>
        <v>unc</v>
      </c>
      <c r="AA31" s="22" t="str">
        <f t="shared" si="47"/>
        <v>unc</v>
      </c>
      <c r="AB31" s="22" t="str">
        <f t="shared" si="47"/>
        <v>unc</v>
      </c>
      <c r="AC31" s="22" t="str">
        <f t="shared" si="47"/>
        <v>unc</v>
      </c>
      <c r="AD31" s="22" t="str">
        <f t="shared" si="47"/>
        <v>unc</v>
      </c>
      <c r="AE31" s="22" t="str">
        <f t="shared" si="47"/>
        <v>unc</v>
      </c>
      <c r="AF31" s="22" t="str">
        <f t="shared" si="47"/>
        <v>unc</v>
      </c>
      <c r="AG31" s="22" t="str">
        <f t="shared" si="47"/>
        <v>unc</v>
      </c>
      <c r="AH31" s="22" t="str">
        <f t="shared" si="47"/>
        <v>unc</v>
      </c>
      <c r="AI31" s="22" t="str">
        <f t="shared" si="47"/>
        <v>unc</v>
      </c>
      <c r="AJ31" s="22" t="str">
        <f t="shared" si="47"/>
        <v>unc</v>
      </c>
      <c r="AK31" s="22" t="str">
        <f t="shared" si="47"/>
        <v>unc</v>
      </c>
      <c r="AL31" s="22" t="str">
        <f t="shared" si="47"/>
        <v>unc</v>
      </c>
      <c r="AM31" s="22" t="str">
        <f t="shared" si="9"/>
        <v>unc</v>
      </c>
      <c r="AN31" s="22" t="str">
        <f t="shared" si="9"/>
        <v>unc</v>
      </c>
      <c r="AO31" s="22" t="str">
        <f t="shared" si="9"/>
        <v>unc</v>
      </c>
      <c r="AP31" s="22" t="str">
        <f t="shared" si="9"/>
        <v>unc</v>
      </c>
      <c r="AQ31" s="22" t="str">
        <f t="shared" si="9"/>
        <v>unc</v>
      </c>
      <c r="AR31" s="22" t="str">
        <f t="shared" si="9"/>
        <v>unc</v>
      </c>
      <c r="AS31" s="22" t="str">
        <f t="shared" si="9"/>
        <v>unc</v>
      </c>
      <c r="AT31" s="22" t="str">
        <f t="shared" si="9"/>
        <v>unc</v>
      </c>
      <c r="AU31" s="22" t="str">
        <f t="shared" si="9"/>
        <v>unc</v>
      </c>
    </row>
    <row r="32" spans="1:47" ht="15.5" x14ac:dyDescent="0.35">
      <c r="A32" s="180" t="str">
        <f t="shared" si="44"/>
        <v>MOD_CNST</v>
      </c>
      <c r="B32" s="29">
        <v>1</v>
      </c>
      <c r="C32" s="41" t="s">
        <v>85</v>
      </c>
      <c r="D32" s="29" t="s">
        <v>7</v>
      </c>
      <c r="E32" s="4" t="s">
        <v>17</v>
      </c>
      <c r="F32" s="4" t="s">
        <v>16</v>
      </c>
      <c r="G32" s="22"/>
      <c r="H32" s="22"/>
      <c r="I32" s="22"/>
      <c r="J32" s="22"/>
      <c r="K32" s="22"/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 t="s">
        <v>86</v>
      </c>
      <c r="R32" s="22" t="s">
        <v>86</v>
      </c>
      <c r="S32" s="22" t="str">
        <f t="shared" si="47"/>
        <v>unc</v>
      </c>
      <c r="T32" s="22" t="str">
        <f t="shared" si="47"/>
        <v>unc</v>
      </c>
      <c r="U32" s="22" t="str">
        <f t="shared" si="47"/>
        <v>unc</v>
      </c>
      <c r="V32" s="22" t="str">
        <f t="shared" si="47"/>
        <v>unc</v>
      </c>
      <c r="W32" s="22" t="str">
        <f t="shared" si="47"/>
        <v>unc</v>
      </c>
      <c r="X32" s="22" t="str">
        <f t="shared" si="47"/>
        <v>unc</v>
      </c>
      <c r="Y32" s="22" t="str">
        <f t="shared" si="47"/>
        <v>unc</v>
      </c>
      <c r="Z32" s="22" t="str">
        <f t="shared" si="47"/>
        <v>unc</v>
      </c>
      <c r="AA32" s="22" t="str">
        <f t="shared" si="47"/>
        <v>unc</v>
      </c>
      <c r="AB32" s="22" t="str">
        <f t="shared" si="47"/>
        <v>unc</v>
      </c>
      <c r="AC32" s="22" t="str">
        <f t="shared" si="47"/>
        <v>unc</v>
      </c>
      <c r="AD32" s="22" t="str">
        <f t="shared" si="47"/>
        <v>unc</v>
      </c>
      <c r="AE32" s="22" t="str">
        <f t="shared" si="47"/>
        <v>unc</v>
      </c>
      <c r="AF32" s="22" t="str">
        <f t="shared" si="47"/>
        <v>unc</v>
      </c>
      <c r="AG32" s="22" t="str">
        <f t="shared" si="47"/>
        <v>unc</v>
      </c>
      <c r="AH32" s="22" t="str">
        <f t="shared" si="47"/>
        <v>unc</v>
      </c>
      <c r="AI32" s="22" t="str">
        <f t="shared" si="47"/>
        <v>unc</v>
      </c>
      <c r="AJ32" s="22" t="str">
        <f t="shared" si="47"/>
        <v>unc</v>
      </c>
      <c r="AK32" s="22" t="str">
        <f t="shared" si="47"/>
        <v>unc</v>
      </c>
      <c r="AL32" s="22" t="str">
        <f t="shared" si="47"/>
        <v>unc</v>
      </c>
      <c r="AM32" s="22" t="str">
        <f t="shared" si="9"/>
        <v>unc</v>
      </c>
      <c r="AN32" s="22" t="str">
        <f t="shared" si="9"/>
        <v>unc</v>
      </c>
      <c r="AO32" s="22" t="str">
        <f t="shared" si="9"/>
        <v>unc</v>
      </c>
      <c r="AP32" s="22" t="str">
        <f t="shared" si="9"/>
        <v>unc</v>
      </c>
      <c r="AQ32" s="22" t="str">
        <f t="shared" si="9"/>
        <v>unc</v>
      </c>
      <c r="AR32" s="22" t="str">
        <f t="shared" si="9"/>
        <v>unc</v>
      </c>
      <c r="AS32" s="22" t="str">
        <f t="shared" si="9"/>
        <v>unc</v>
      </c>
      <c r="AT32" s="22" t="str">
        <f t="shared" si="9"/>
        <v>unc</v>
      </c>
      <c r="AU32" s="22" t="str">
        <f t="shared" si="9"/>
        <v>unc</v>
      </c>
    </row>
    <row r="33" spans="1:47" ht="15.5" x14ac:dyDescent="0.35">
      <c r="A33" s="180" t="str">
        <f t="shared" si="44"/>
        <v>MOD_CNST</v>
      </c>
      <c r="B33" s="28">
        <v>1</v>
      </c>
      <c r="C33" s="42" t="s">
        <v>85</v>
      </c>
      <c r="D33" s="28" t="s">
        <v>7</v>
      </c>
      <c r="E33" s="43" t="s">
        <v>18</v>
      </c>
      <c r="F33" s="6" t="s">
        <v>16</v>
      </c>
      <c r="G33" s="22"/>
      <c r="H33" s="22"/>
      <c r="I33" s="22"/>
      <c r="J33" s="22"/>
      <c r="K33" s="22"/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 t="s">
        <v>86</v>
      </c>
      <c r="R33" s="22">
        <v>0</v>
      </c>
      <c r="S33" s="22">
        <v>0</v>
      </c>
      <c r="T33" s="22">
        <v>0</v>
      </c>
      <c r="U33" s="22">
        <f>T33</f>
        <v>0</v>
      </c>
      <c r="V33" s="22">
        <f>U33</f>
        <v>0</v>
      </c>
      <c r="W33" s="22">
        <v>0</v>
      </c>
      <c r="X33" s="22">
        <f>W33</f>
        <v>0</v>
      </c>
      <c r="Y33" s="22">
        <f>X33</f>
        <v>0</v>
      </c>
      <c r="Z33" s="22">
        <f>Y33</f>
        <v>0</v>
      </c>
      <c r="AA33" s="22">
        <v>0</v>
      </c>
      <c r="AB33" s="22">
        <f t="shared" si="47"/>
        <v>0</v>
      </c>
      <c r="AC33" s="22">
        <f t="shared" si="47"/>
        <v>0</v>
      </c>
      <c r="AD33" s="22">
        <f t="shared" si="47"/>
        <v>0</v>
      </c>
      <c r="AE33" s="22">
        <f t="shared" si="47"/>
        <v>0</v>
      </c>
      <c r="AF33" s="22">
        <f t="shared" si="47"/>
        <v>0</v>
      </c>
      <c r="AG33" s="22">
        <f t="shared" si="47"/>
        <v>0</v>
      </c>
      <c r="AH33" s="22">
        <f t="shared" si="47"/>
        <v>0</v>
      </c>
      <c r="AI33" s="22">
        <f t="shared" si="47"/>
        <v>0</v>
      </c>
      <c r="AJ33" s="22">
        <f t="shared" si="47"/>
        <v>0</v>
      </c>
      <c r="AK33" s="22">
        <f t="shared" si="47"/>
        <v>0</v>
      </c>
      <c r="AL33" s="22">
        <f t="shared" si="47"/>
        <v>0</v>
      </c>
      <c r="AM33" s="22">
        <f t="shared" si="9"/>
        <v>0</v>
      </c>
      <c r="AN33" s="22">
        <f t="shared" si="9"/>
        <v>0</v>
      </c>
      <c r="AO33" s="22">
        <f t="shared" si="9"/>
        <v>0</v>
      </c>
      <c r="AP33" s="22">
        <f t="shared" si="9"/>
        <v>0</v>
      </c>
      <c r="AQ33" s="22">
        <f t="shared" si="9"/>
        <v>0</v>
      </c>
      <c r="AR33" s="22">
        <f t="shared" si="9"/>
        <v>0</v>
      </c>
      <c r="AS33" s="22">
        <f t="shared" si="9"/>
        <v>0</v>
      </c>
      <c r="AT33" s="22">
        <f t="shared" si="9"/>
        <v>0</v>
      </c>
      <c r="AU33" s="22">
        <f t="shared" si="9"/>
        <v>0</v>
      </c>
    </row>
    <row r="34" spans="1:47" ht="15.5" x14ac:dyDescent="0.35">
      <c r="A34" s="180" t="str">
        <f t="shared" si="44"/>
        <v>MOD_CNST</v>
      </c>
      <c r="B34" s="29">
        <v>1</v>
      </c>
      <c r="C34" s="41" t="s">
        <v>85</v>
      </c>
      <c r="D34" s="29" t="s">
        <v>7</v>
      </c>
      <c r="E34" s="44" t="s">
        <v>19</v>
      </c>
      <c r="F34" s="4" t="s">
        <v>16</v>
      </c>
      <c r="G34" s="22"/>
      <c r="H34" s="22"/>
      <c r="I34" s="22"/>
      <c r="J34" s="22"/>
      <c r="K34" s="22"/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 t="s">
        <v>86</v>
      </c>
      <c r="R34" s="22" t="s">
        <v>86</v>
      </c>
      <c r="S34" s="22" t="str">
        <f t="shared" ref="S34:X37" si="48">R34</f>
        <v>unc</v>
      </c>
      <c r="T34" s="22" t="str">
        <f t="shared" si="48"/>
        <v>unc</v>
      </c>
      <c r="U34" s="22" t="str">
        <f t="shared" si="48"/>
        <v>unc</v>
      </c>
      <c r="V34" s="22" t="s">
        <v>86</v>
      </c>
      <c r="W34" s="22">
        <v>0</v>
      </c>
      <c r="X34" s="22">
        <v>0</v>
      </c>
      <c r="Y34" s="22">
        <f t="shared" ref="Y34:AB37" si="49">X34</f>
        <v>0</v>
      </c>
      <c r="Z34" s="22">
        <f t="shared" si="49"/>
        <v>0</v>
      </c>
      <c r="AA34" s="22">
        <f t="shared" si="49"/>
        <v>0</v>
      </c>
      <c r="AB34" s="22">
        <v>0</v>
      </c>
      <c r="AC34" s="22">
        <f>AB34</f>
        <v>0</v>
      </c>
      <c r="AD34" s="22">
        <f>AC34</f>
        <v>0</v>
      </c>
      <c r="AE34" s="22">
        <f>AD34</f>
        <v>0</v>
      </c>
      <c r="AF34" s="22">
        <v>0</v>
      </c>
      <c r="AG34" s="22">
        <f>AF34</f>
        <v>0</v>
      </c>
      <c r="AH34" s="22">
        <f>AG34</f>
        <v>0</v>
      </c>
      <c r="AI34" s="22">
        <f>AH34</f>
        <v>0</v>
      </c>
      <c r="AJ34" s="22">
        <f>AI34</f>
        <v>0</v>
      </c>
      <c r="AK34" s="22">
        <f>AJ34</f>
        <v>0</v>
      </c>
      <c r="AL34" s="22">
        <f t="shared" si="47"/>
        <v>0</v>
      </c>
      <c r="AM34" s="22">
        <f t="shared" si="9"/>
        <v>0</v>
      </c>
      <c r="AN34" s="22">
        <f t="shared" si="9"/>
        <v>0</v>
      </c>
      <c r="AO34" s="22">
        <f t="shared" si="9"/>
        <v>0</v>
      </c>
      <c r="AP34" s="22">
        <f t="shared" si="9"/>
        <v>0</v>
      </c>
      <c r="AQ34" s="22">
        <f t="shared" si="9"/>
        <v>0</v>
      </c>
      <c r="AR34" s="22">
        <f t="shared" si="9"/>
        <v>0</v>
      </c>
      <c r="AS34" s="22">
        <f t="shared" si="9"/>
        <v>0</v>
      </c>
      <c r="AT34" s="22">
        <f t="shared" si="9"/>
        <v>0</v>
      </c>
      <c r="AU34" s="22">
        <f t="shared" si="9"/>
        <v>0</v>
      </c>
    </row>
    <row r="35" spans="1:47" ht="15.5" x14ac:dyDescent="0.35">
      <c r="A35" s="180" t="str">
        <f t="shared" si="44"/>
        <v>MOD_CNST</v>
      </c>
      <c r="B35" s="28">
        <v>1</v>
      </c>
      <c r="C35" s="42" t="s">
        <v>85</v>
      </c>
      <c r="D35" s="28" t="s">
        <v>7</v>
      </c>
      <c r="E35" s="43" t="s">
        <v>20</v>
      </c>
      <c r="F35" s="6" t="s">
        <v>16</v>
      </c>
      <c r="G35" s="22"/>
      <c r="H35" s="22"/>
      <c r="I35" s="22"/>
      <c r="J35" s="22"/>
      <c r="K35" s="22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 t="s">
        <v>86</v>
      </c>
      <c r="R35" s="22" t="s">
        <v>86</v>
      </c>
      <c r="S35" s="22" t="str">
        <f t="shared" si="48"/>
        <v>unc</v>
      </c>
      <c r="T35" s="22" t="str">
        <f t="shared" si="48"/>
        <v>unc</v>
      </c>
      <c r="U35" s="22" t="str">
        <f t="shared" si="48"/>
        <v>unc</v>
      </c>
      <c r="V35" s="22" t="str">
        <f t="shared" si="48"/>
        <v>unc</v>
      </c>
      <c r="W35" s="22" t="str">
        <f t="shared" si="48"/>
        <v>unc</v>
      </c>
      <c r="X35" s="22" t="str">
        <f t="shared" si="48"/>
        <v>unc</v>
      </c>
      <c r="Y35" s="22" t="str">
        <f t="shared" si="49"/>
        <v>unc</v>
      </c>
      <c r="Z35" s="22" t="str">
        <f t="shared" si="49"/>
        <v>unc</v>
      </c>
      <c r="AA35" s="22" t="str">
        <f t="shared" si="49"/>
        <v>unc</v>
      </c>
      <c r="AB35" s="22">
        <v>0</v>
      </c>
      <c r="AC35" s="22">
        <v>0</v>
      </c>
      <c r="AD35" s="22">
        <v>0</v>
      </c>
      <c r="AE35" s="22">
        <f t="shared" ref="AE35:AG37" si="50">AD35</f>
        <v>0</v>
      </c>
      <c r="AF35" s="22">
        <f t="shared" si="50"/>
        <v>0</v>
      </c>
      <c r="AG35" s="22">
        <v>0</v>
      </c>
      <c r="AH35" s="22">
        <f t="shared" ref="AH35:AM51" si="51">AG35</f>
        <v>0</v>
      </c>
      <c r="AI35" s="22">
        <f t="shared" si="51"/>
        <v>0</v>
      </c>
      <c r="AJ35" s="22">
        <f t="shared" si="51"/>
        <v>0</v>
      </c>
      <c r="AK35" s="22">
        <v>0</v>
      </c>
      <c r="AL35" s="22">
        <f t="shared" si="47"/>
        <v>0</v>
      </c>
      <c r="AM35" s="22">
        <f t="shared" si="9"/>
        <v>0</v>
      </c>
      <c r="AN35" s="22">
        <f t="shared" si="9"/>
        <v>0</v>
      </c>
      <c r="AO35" s="22">
        <f t="shared" si="9"/>
        <v>0</v>
      </c>
      <c r="AP35" s="22">
        <f t="shared" si="9"/>
        <v>0</v>
      </c>
      <c r="AQ35" s="22">
        <f t="shared" si="9"/>
        <v>0</v>
      </c>
      <c r="AR35" s="22">
        <f t="shared" si="9"/>
        <v>0</v>
      </c>
      <c r="AS35" s="22">
        <f t="shared" si="9"/>
        <v>0</v>
      </c>
      <c r="AT35" s="22">
        <f t="shared" si="9"/>
        <v>0</v>
      </c>
      <c r="AU35" s="22">
        <f t="shared" si="9"/>
        <v>0</v>
      </c>
    </row>
    <row r="36" spans="1:47" ht="15.5" x14ac:dyDescent="0.35">
      <c r="A36" s="180" t="str">
        <f t="shared" si="44"/>
        <v>MOD_CNST</v>
      </c>
      <c r="B36" s="29">
        <v>1</v>
      </c>
      <c r="C36" s="41" t="s">
        <v>85</v>
      </c>
      <c r="D36" s="29" t="s">
        <v>7</v>
      </c>
      <c r="E36" s="44" t="s">
        <v>21</v>
      </c>
      <c r="F36" s="4" t="s">
        <v>16</v>
      </c>
      <c r="G36" s="22"/>
      <c r="H36" s="22"/>
      <c r="I36" s="22"/>
      <c r="J36" s="22"/>
      <c r="K36" s="22"/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 t="s">
        <v>86</v>
      </c>
      <c r="R36" s="22" t="s">
        <v>86</v>
      </c>
      <c r="S36" s="22" t="str">
        <f t="shared" si="48"/>
        <v>unc</v>
      </c>
      <c r="T36" s="22" t="str">
        <f t="shared" si="48"/>
        <v>unc</v>
      </c>
      <c r="U36" s="22" t="str">
        <f t="shared" si="48"/>
        <v>unc</v>
      </c>
      <c r="V36" s="22" t="str">
        <f t="shared" si="48"/>
        <v>unc</v>
      </c>
      <c r="W36" s="22" t="str">
        <f t="shared" si="48"/>
        <v>unc</v>
      </c>
      <c r="X36" s="22" t="str">
        <f t="shared" si="48"/>
        <v>unc</v>
      </c>
      <c r="Y36" s="22" t="str">
        <f t="shared" si="49"/>
        <v>unc</v>
      </c>
      <c r="Z36" s="22" t="str">
        <f t="shared" si="49"/>
        <v>unc</v>
      </c>
      <c r="AA36" s="22" t="str">
        <f t="shared" si="49"/>
        <v>unc</v>
      </c>
      <c r="AB36" s="22" t="s">
        <v>86</v>
      </c>
      <c r="AC36" s="22" t="str">
        <f t="shared" ref="AC36:AD37" si="52">AB36</f>
        <v>unc</v>
      </c>
      <c r="AD36" s="22" t="str">
        <f t="shared" si="52"/>
        <v>unc</v>
      </c>
      <c r="AE36" s="22" t="str">
        <f t="shared" si="50"/>
        <v>unc</v>
      </c>
      <c r="AF36" s="22" t="str">
        <f t="shared" si="50"/>
        <v>unc</v>
      </c>
      <c r="AG36" s="22">
        <v>0</v>
      </c>
      <c r="AH36" s="22">
        <f t="shared" si="51"/>
        <v>0</v>
      </c>
      <c r="AI36" s="22">
        <f t="shared" si="51"/>
        <v>0</v>
      </c>
      <c r="AJ36" s="22">
        <f t="shared" si="51"/>
        <v>0</v>
      </c>
      <c r="AK36" s="22">
        <f t="shared" si="51"/>
        <v>0</v>
      </c>
      <c r="AL36" s="22">
        <v>0</v>
      </c>
      <c r="AM36" s="22">
        <f t="shared" si="9"/>
        <v>0</v>
      </c>
      <c r="AN36" s="22">
        <f t="shared" si="9"/>
        <v>0</v>
      </c>
      <c r="AO36" s="22">
        <f t="shared" si="9"/>
        <v>0</v>
      </c>
      <c r="AP36" s="22">
        <f t="shared" si="9"/>
        <v>0</v>
      </c>
      <c r="AQ36" s="22">
        <f t="shared" si="9"/>
        <v>0</v>
      </c>
      <c r="AR36" s="22">
        <f t="shared" si="9"/>
        <v>0</v>
      </c>
      <c r="AS36" s="22">
        <f t="shared" si="9"/>
        <v>0</v>
      </c>
      <c r="AT36" s="22">
        <f t="shared" si="9"/>
        <v>0</v>
      </c>
      <c r="AU36" s="22">
        <f t="shared" si="9"/>
        <v>0</v>
      </c>
    </row>
    <row r="37" spans="1:47" ht="15.5" x14ac:dyDescent="0.35">
      <c r="A37" s="180" t="str">
        <f t="shared" si="44"/>
        <v>MOD_CNST</v>
      </c>
      <c r="B37" s="28">
        <v>1</v>
      </c>
      <c r="C37" s="42" t="s">
        <v>85</v>
      </c>
      <c r="D37" s="28" t="s">
        <v>7</v>
      </c>
      <c r="E37" s="43" t="s">
        <v>22</v>
      </c>
      <c r="F37" s="6" t="s">
        <v>16</v>
      </c>
      <c r="G37" s="22"/>
      <c r="H37" s="22"/>
      <c r="I37" s="22"/>
      <c r="J37" s="22"/>
      <c r="K37" s="22"/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 t="s">
        <v>86</v>
      </c>
      <c r="R37" s="22" t="s">
        <v>86</v>
      </c>
      <c r="S37" s="22" t="str">
        <f t="shared" si="48"/>
        <v>unc</v>
      </c>
      <c r="T37" s="22" t="str">
        <f t="shared" si="48"/>
        <v>unc</v>
      </c>
      <c r="U37" s="22" t="str">
        <f t="shared" si="48"/>
        <v>unc</v>
      </c>
      <c r="V37" s="22" t="str">
        <f t="shared" si="48"/>
        <v>unc</v>
      </c>
      <c r="W37" s="22" t="str">
        <f t="shared" si="48"/>
        <v>unc</v>
      </c>
      <c r="X37" s="22" t="str">
        <f t="shared" si="48"/>
        <v>unc</v>
      </c>
      <c r="Y37" s="22" t="str">
        <f t="shared" si="49"/>
        <v>unc</v>
      </c>
      <c r="Z37" s="22" t="str">
        <f t="shared" si="49"/>
        <v>unc</v>
      </c>
      <c r="AA37" s="22" t="str">
        <f t="shared" si="49"/>
        <v>unc</v>
      </c>
      <c r="AB37" s="22" t="str">
        <f t="shared" si="49"/>
        <v>unc</v>
      </c>
      <c r="AC37" s="22" t="str">
        <f t="shared" si="52"/>
        <v>unc</v>
      </c>
      <c r="AD37" s="22" t="str">
        <f t="shared" si="52"/>
        <v>unc</v>
      </c>
      <c r="AE37" s="22" t="str">
        <f t="shared" si="50"/>
        <v>unc</v>
      </c>
      <c r="AF37" s="22" t="str">
        <f t="shared" si="50"/>
        <v>unc</v>
      </c>
      <c r="AG37" s="22" t="str">
        <f t="shared" si="50"/>
        <v>unc</v>
      </c>
      <c r="AH37" s="22" t="str">
        <f t="shared" si="51"/>
        <v>unc</v>
      </c>
      <c r="AI37" s="22" t="str">
        <f t="shared" si="51"/>
        <v>unc</v>
      </c>
      <c r="AJ37" s="22" t="str">
        <f t="shared" si="51"/>
        <v>unc</v>
      </c>
      <c r="AK37" s="22" t="str">
        <f t="shared" si="51"/>
        <v>unc</v>
      </c>
      <c r="AL37" s="22">
        <v>0</v>
      </c>
      <c r="AM37" s="22">
        <f t="shared" si="9"/>
        <v>0</v>
      </c>
      <c r="AN37" s="22">
        <f t="shared" si="9"/>
        <v>0</v>
      </c>
      <c r="AO37" s="22">
        <f t="shared" si="9"/>
        <v>0</v>
      </c>
      <c r="AP37" s="22">
        <f t="shared" si="9"/>
        <v>0</v>
      </c>
      <c r="AQ37" s="22">
        <v>0</v>
      </c>
      <c r="AR37" s="22">
        <f t="shared" si="9"/>
        <v>0</v>
      </c>
      <c r="AS37" s="22">
        <f t="shared" si="9"/>
        <v>0</v>
      </c>
      <c r="AT37" s="22">
        <f t="shared" si="9"/>
        <v>0</v>
      </c>
      <c r="AU37" s="22">
        <f t="shared" si="9"/>
        <v>0</v>
      </c>
    </row>
    <row r="38" spans="1:47" ht="15.5" x14ac:dyDescent="0.35">
      <c r="A38" s="180" t="str">
        <f>A33</f>
        <v>MOD_CNST</v>
      </c>
      <c r="B38" s="29">
        <v>1</v>
      </c>
      <c r="C38" s="41" t="s">
        <v>85</v>
      </c>
      <c r="D38" s="29" t="s">
        <v>7</v>
      </c>
      <c r="E38" s="4" t="s">
        <v>23</v>
      </c>
      <c r="F38" s="4" t="s">
        <v>16</v>
      </c>
      <c r="G38" s="22"/>
      <c r="H38" s="22"/>
      <c r="I38" s="22"/>
      <c r="J38" s="22"/>
      <c r="K38" s="22"/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 t="s">
        <v>86</v>
      </c>
      <c r="R38" s="22" t="s">
        <v>86</v>
      </c>
      <c r="S38" s="22" t="str">
        <f t="shared" ref="S38:AU38" si="53">R38</f>
        <v>unc</v>
      </c>
      <c r="T38" s="22" t="str">
        <f t="shared" si="53"/>
        <v>unc</v>
      </c>
      <c r="U38" s="22" t="str">
        <f t="shared" si="53"/>
        <v>unc</v>
      </c>
      <c r="V38" s="22" t="str">
        <f t="shared" si="53"/>
        <v>unc</v>
      </c>
      <c r="W38" s="22" t="str">
        <f t="shared" si="53"/>
        <v>unc</v>
      </c>
      <c r="X38" s="22" t="str">
        <f t="shared" si="53"/>
        <v>unc</v>
      </c>
      <c r="Y38" s="22" t="str">
        <f t="shared" si="53"/>
        <v>unc</v>
      </c>
      <c r="Z38" s="22" t="str">
        <f t="shared" si="53"/>
        <v>unc</v>
      </c>
      <c r="AA38" s="22" t="str">
        <f t="shared" si="53"/>
        <v>unc</v>
      </c>
      <c r="AB38" s="22" t="str">
        <f t="shared" si="53"/>
        <v>unc</v>
      </c>
      <c r="AC38" s="22" t="str">
        <f t="shared" si="53"/>
        <v>unc</v>
      </c>
      <c r="AD38" s="22" t="str">
        <f t="shared" si="53"/>
        <v>unc</v>
      </c>
      <c r="AE38" s="22" t="str">
        <f t="shared" si="53"/>
        <v>unc</v>
      </c>
      <c r="AF38" s="22" t="str">
        <f t="shared" si="53"/>
        <v>unc</v>
      </c>
      <c r="AG38" s="22" t="str">
        <f t="shared" si="53"/>
        <v>unc</v>
      </c>
      <c r="AH38" s="22" t="str">
        <f t="shared" si="53"/>
        <v>unc</v>
      </c>
      <c r="AI38" s="22" t="str">
        <f t="shared" si="53"/>
        <v>unc</v>
      </c>
      <c r="AJ38" s="22" t="str">
        <f t="shared" si="53"/>
        <v>unc</v>
      </c>
      <c r="AK38" s="22" t="str">
        <f t="shared" si="53"/>
        <v>unc</v>
      </c>
      <c r="AL38" s="22" t="str">
        <f t="shared" si="53"/>
        <v>unc</v>
      </c>
      <c r="AM38" s="22" t="str">
        <f t="shared" si="53"/>
        <v>unc</v>
      </c>
      <c r="AN38" s="22" t="str">
        <f t="shared" si="53"/>
        <v>unc</v>
      </c>
      <c r="AO38" s="22" t="str">
        <f t="shared" si="53"/>
        <v>unc</v>
      </c>
      <c r="AP38" s="22" t="str">
        <f t="shared" si="53"/>
        <v>unc</v>
      </c>
      <c r="AQ38" s="22" t="str">
        <f t="shared" si="53"/>
        <v>unc</v>
      </c>
      <c r="AR38" s="22" t="str">
        <f t="shared" si="53"/>
        <v>unc</v>
      </c>
      <c r="AS38" s="22" t="str">
        <f t="shared" si="53"/>
        <v>unc</v>
      </c>
      <c r="AT38" s="22" t="str">
        <f t="shared" si="53"/>
        <v>unc</v>
      </c>
      <c r="AU38" s="22" t="str">
        <f t="shared" si="53"/>
        <v>unc</v>
      </c>
    </row>
    <row r="39" spans="1:47" ht="15.5" x14ac:dyDescent="0.35">
      <c r="A39" s="181" t="str">
        <f>A32</f>
        <v>MOD_CNST</v>
      </c>
      <c r="B39" s="33">
        <v>1</v>
      </c>
      <c r="C39" s="45" t="s">
        <v>85</v>
      </c>
      <c r="D39" s="33" t="s">
        <v>7</v>
      </c>
      <c r="E39" s="34" t="s">
        <v>117</v>
      </c>
      <c r="F39" s="34" t="s">
        <v>16</v>
      </c>
      <c r="G39" s="27"/>
      <c r="H39" s="27"/>
      <c r="I39" s="27"/>
      <c r="J39" s="27"/>
      <c r="K39" s="27"/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0</v>
      </c>
    </row>
    <row r="40" spans="1:47" ht="15.5" x14ac:dyDescent="0.35">
      <c r="A40" s="180" t="str">
        <f>A35</f>
        <v>MOD_CNST</v>
      </c>
      <c r="B40" s="28">
        <v>1</v>
      </c>
      <c r="C40" s="42" t="s">
        <v>85</v>
      </c>
      <c r="D40" s="28" t="s">
        <v>7</v>
      </c>
      <c r="E40" s="46" t="s">
        <v>25</v>
      </c>
      <c r="F40" s="6" t="s">
        <v>16</v>
      </c>
      <c r="G40" s="22"/>
      <c r="H40" s="22"/>
      <c r="I40" s="22"/>
      <c r="J40" s="22"/>
      <c r="K40" s="22"/>
      <c r="L40" s="22">
        <v>0</v>
      </c>
      <c r="M40" s="22">
        <f t="shared" ref="M40:P42" si="54">L40</f>
        <v>0</v>
      </c>
      <c r="N40" s="22">
        <f t="shared" si="54"/>
        <v>0</v>
      </c>
      <c r="O40" s="22">
        <f t="shared" si="54"/>
        <v>0</v>
      </c>
      <c r="P40" s="22">
        <f t="shared" si="54"/>
        <v>0</v>
      </c>
      <c r="Q40" s="22" t="s">
        <v>86</v>
      </c>
      <c r="R40" s="22" t="s">
        <v>86</v>
      </c>
      <c r="S40" s="22" t="s">
        <v>86</v>
      </c>
      <c r="T40" s="22" t="s">
        <v>86</v>
      </c>
      <c r="U40" s="22" t="s">
        <v>86</v>
      </c>
      <c r="V40" s="22" t="s">
        <v>86</v>
      </c>
      <c r="W40" s="22" t="s">
        <v>86</v>
      </c>
      <c r="X40" s="22" t="s">
        <v>86</v>
      </c>
      <c r="Y40" s="22" t="s">
        <v>86</v>
      </c>
      <c r="Z40" s="22" t="s">
        <v>86</v>
      </c>
      <c r="AA40" s="22" t="s">
        <v>86</v>
      </c>
      <c r="AB40" s="22" t="s">
        <v>86</v>
      </c>
      <c r="AC40" s="22" t="s">
        <v>86</v>
      </c>
      <c r="AD40" s="22" t="s">
        <v>86</v>
      </c>
      <c r="AE40" s="22" t="s">
        <v>86</v>
      </c>
      <c r="AF40" s="22" t="s">
        <v>86</v>
      </c>
      <c r="AG40" s="22" t="s">
        <v>86</v>
      </c>
      <c r="AH40" s="22" t="s">
        <v>86</v>
      </c>
      <c r="AI40" s="22" t="s">
        <v>86</v>
      </c>
      <c r="AJ40" s="22" t="s">
        <v>86</v>
      </c>
      <c r="AK40" s="22" t="s">
        <v>86</v>
      </c>
      <c r="AL40" s="22" t="s">
        <v>86</v>
      </c>
      <c r="AM40" s="22" t="s">
        <v>86</v>
      </c>
      <c r="AN40" s="22" t="s">
        <v>86</v>
      </c>
      <c r="AO40" s="22" t="s">
        <v>86</v>
      </c>
      <c r="AP40" s="22" t="s">
        <v>86</v>
      </c>
      <c r="AQ40" s="22" t="s">
        <v>86</v>
      </c>
      <c r="AR40" s="22" t="s">
        <v>86</v>
      </c>
      <c r="AS40" s="22" t="s">
        <v>86</v>
      </c>
      <c r="AT40" s="22" t="s">
        <v>86</v>
      </c>
      <c r="AU40" s="22" t="s">
        <v>86</v>
      </c>
    </row>
    <row r="41" spans="1:47" ht="15.5" x14ac:dyDescent="0.35">
      <c r="A41" s="180" t="str">
        <f>A40</f>
        <v>MOD_CNST</v>
      </c>
      <c r="B41" s="28">
        <v>1</v>
      </c>
      <c r="C41" s="42" t="s">
        <v>85</v>
      </c>
      <c r="D41" s="33" t="s">
        <v>7</v>
      </c>
      <c r="E41" s="47" t="s">
        <v>26</v>
      </c>
      <c r="F41" s="6" t="s">
        <v>16</v>
      </c>
      <c r="G41" s="22"/>
      <c r="H41" s="22"/>
      <c r="I41" s="22"/>
      <c r="J41" s="22"/>
      <c r="K41" s="22"/>
      <c r="L41" s="22">
        <v>0</v>
      </c>
      <c r="M41" s="22">
        <f t="shared" si="54"/>
        <v>0</v>
      </c>
      <c r="N41" s="22">
        <f t="shared" si="54"/>
        <v>0</v>
      </c>
      <c r="O41" s="22">
        <f t="shared" si="54"/>
        <v>0</v>
      </c>
      <c r="P41" s="22">
        <f t="shared" si="54"/>
        <v>0</v>
      </c>
      <c r="Q41" s="22" t="s">
        <v>86</v>
      </c>
      <c r="R41" s="22" t="s">
        <v>86</v>
      </c>
      <c r="S41" s="22" t="s">
        <v>86</v>
      </c>
      <c r="T41" s="22" t="s">
        <v>86</v>
      </c>
      <c r="U41" s="22" t="s">
        <v>86</v>
      </c>
      <c r="V41" s="22" t="s">
        <v>86</v>
      </c>
      <c r="W41" s="22" t="s">
        <v>86</v>
      </c>
      <c r="X41" s="22" t="s">
        <v>86</v>
      </c>
      <c r="Y41" s="22" t="s">
        <v>86</v>
      </c>
      <c r="Z41" s="22" t="s">
        <v>86</v>
      </c>
      <c r="AA41" s="22" t="s">
        <v>86</v>
      </c>
      <c r="AB41" s="22" t="s">
        <v>86</v>
      </c>
      <c r="AC41" s="22" t="s">
        <v>86</v>
      </c>
      <c r="AD41" s="22" t="s">
        <v>86</v>
      </c>
      <c r="AE41" s="22" t="s">
        <v>86</v>
      </c>
      <c r="AF41" s="22" t="s">
        <v>86</v>
      </c>
      <c r="AG41" s="22" t="s">
        <v>86</v>
      </c>
      <c r="AH41" s="22" t="s">
        <v>86</v>
      </c>
      <c r="AI41" s="22" t="s">
        <v>86</v>
      </c>
      <c r="AJ41" s="22" t="s">
        <v>86</v>
      </c>
      <c r="AK41" s="22" t="s">
        <v>86</v>
      </c>
      <c r="AL41" s="22" t="s">
        <v>86</v>
      </c>
      <c r="AM41" s="22" t="s">
        <v>86</v>
      </c>
      <c r="AN41" s="22" t="s">
        <v>86</v>
      </c>
      <c r="AO41" s="22" t="s">
        <v>86</v>
      </c>
      <c r="AP41" s="22" t="s">
        <v>86</v>
      </c>
      <c r="AQ41" s="22" t="s">
        <v>86</v>
      </c>
      <c r="AR41" s="22" t="s">
        <v>86</v>
      </c>
      <c r="AS41" s="22" t="s">
        <v>86</v>
      </c>
      <c r="AT41" s="22" t="s">
        <v>86</v>
      </c>
      <c r="AU41" s="22" t="s">
        <v>86</v>
      </c>
    </row>
    <row r="42" spans="1:47" ht="15.5" x14ac:dyDescent="0.35">
      <c r="A42" s="180" t="str">
        <f>A41</f>
        <v>MOD_CNST</v>
      </c>
      <c r="B42" s="28">
        <v>1</v>
      </c>
      <c r="C42" s="42" t="s">
        <v>85</v>
      </c>
      <c r="D42" s="28" t="s">
        <v>27</v>
      </c>
      <c r="E42" s="46" t="s">
        <v>28</v>
      </c>
      <c r="F42" s="6" t="s">
        <v>29</v>
      </c>
      <c r="G42" s="22"/>
      <c r="H42" s="22"/>
      <c r="I42" s="22"/>
      <c r="J42" s="22"/>
      <c r="K42" s="22"/>
      <c r="L42" s="22">
        <v>0</v>
      </c>
      <c r="M42" s="22">
        <f t="shared" si="54"/>
        <v>0</v>
      </c>
      <c r="N42" s="22">
        <f t="shared" si="54"/>
        <v>0</v>
      </c>
      <c r="O42" s="22">
        <f t="shared" si="54"/>
        <v>0</v>
      </c>
      <c r="P42" s="22">
        <f t="shared" si="54"/>
        <v>0</v>
      </c>
      <c r="Q42" s="22" t="s">
        <v>86</v>
      </c>
      <c r="R42" s="22" t="s">
        <v>86</v>
      </c>
      <c r="S42" s="22" t="s">
        <v>86</v>
      </c>
      <c r="T42" s="22" t="s">
        <v>86</v>
      </c>
      <c r="U42" s="22" t="s">
        <v>86</v>
      </c>
      <c r="V42" s="22" t="s">
        <v>86</v>
      </c>
      <c r="W42" s="22" t="s">
        <v>86</v>
      </c>
      <c r="X42" s="22" t="s">
        <v>86</v>
      </c>
      <c r="Y42" s="22" t="s">
        <v>86</v>
      </c>
      <c r="Z42" s="22" t="s">
        <v>86</v>
      </c>
      <c r="AA42" s="22" t="s">
        <v>86</v>
      </c>
      <c r="AB42" s="22" t="s">
        <v>86</v>
      </c>
      <c r="AC42" s="22" t="s">
        <v>86</v>
      </c>
      <c r="AD42" s="22" t="s">
        <v>86</v>
      </c>
      <c r="AE42" s="22" t="s">
        <v>86</v>
      </c>
      <c r="AF42" s="22" t="s">
        <v>86</v>
      </c>
      <c r="AG42" s="22" t="s">
        <v>86</v>
      </c>
      <c r="AH42" s="22" t="s">
        <v>86</v>
      </c>
      <c r="AI42" s="22" t="s">
        <v>86</v>
      </c>
      <c r="AJ42" s="22" t="s">
        <v>86</v>
      </c>
      <c r="AK42" s="22" t="s">
        <v>86</v>
      </c>
      <c r="AL42" s="22" t="s">
        <v>86</v>
      </c>
      <c r="AM42" s="22" t="s">
        <v>86</v>
      </c>
      <c r="AN42" s="22" t="s">
        <v>86</v>
      </c>
      <c r="AO42" s="22" t="s">
        <v>86</v>
      </c>
      <c r="AP42" s="22" t="s">
        <v>86</v>
      </c>
      <c r="AQ42" s="22" t="s">
        <v>86</v>
      </c>
      <c r="AR42" s="22" t="s">
        <v>86</v>
      </c>
      <c r="AS42" s="22" t="s">
        <v>86</v>
      </c>
      <c r="AT42" s="22" t="s">
        <v>86</v>
      </c>
      <c r="AU42" s="22" t="s">
        <v>86</v>
      </c>
    </row>
    <row r="43" spans="1:47" ht="15.5" x14ac:dyDescent="0.35">
      <c r="A43" s="180" t="str">
        <f>A42</f>
        <v>MOD_CNST</v>
      </c>
      <c r="B43" s="28">
        <v>1</v>
      </c>
      <c r="C43" s="42" t="s">
        <v>85</v>
      </c>
      <c r="D43" s="28" t="s">
        <v>27</v>
      </c>
      <c r="E43" s="47" t="s">
        <v>30</v>
      </c>
      <c r="F43" s="6" t="s">
        <v>29</v>
      </c>
      <c r="G43" s="22"/>
      <c r="H43" s="22"/>
      <c r="I43" s="22"/>
      <c r="J43" s="22"/>
      <c r="K43" s="22"/>
      <c r="L43" s="22" t="s">
        <v>86</v>
      </c>
      <c r="M43" s="22" t="s">
        <v>86</v>
      </c>
      <c r="N43" s="22" t="s">
        <v>86</v>
      </c>
      <c r="O43" s="22" t="s">
        <v>86</v>
      </c>
      <c r="P43" s="22" t="s">
        <v>86</v>
      </c>
      <c r="Q43" s="22" t="s">
        <v>86</v>
      </c>
      <c r="R43" s="22" t="s">
        <v>86</v>
      </c>
      <c r="S43" s="22" t="s">
        <v>86</v>
      </c>
      <c r="T43" s="22" t="s">
        <v>86</v>
      </c>
      <c r="U43" s="22" t="s">
        <v>86</v>
      </c>
      <c r="V43" s="22" t="s">
        <v>86</v>
      </c>
      <c r="W43" s="22" t="s">
        <v>86</v>
      </c>
      <c r="X43" s="22" t="s">
        <v>86</v>
      </c>
      <c r="Y43" s="22" t="s">
        <v>86</v>
      </c>
      <c r="Z43" s="22" t="s">
        <v>86</v>
      </c>
      <c r="AA43" s="22" t="s">
        <v>86</v>
      </c>
      <c r="AB43" s="22" t="s">
        <v>86</v>
      </c>
      <c r="AC43" s="22" t="s">
        <v>86</v>
      </c>
      <c r="AD43" s="22" t="s">
        <v>86</v>
      </c>
      <c r="AE43" s="22" t="s">
        <v>86</v>
      </c>
      <c r="AF43" s="22" t="s">
        <v>86</v>
      </c>
      <c r="AG43" s="22" t="s">
        <v>86</v>
      </c>
      <c r="AH43" s="22" t="s">
        <v>86</v>
      </c>
      <c r="AI43" s="22" t="s">
        <v>86</v>
      </c>
      <c r="AJ43" s="22" t="s">
        <v>86</v>
      </c>
      <c r="AK43" s="22" t="s">
        <v>86</v>
      </c>
      <c r="AL43" s="22" t="s">
        <v>86</v>
      </c>
      <c r="AM43" s="22" t="s">
        <v>86</v>
      </c>
      <c r="AN43" s="22" t="s">
        <v>86</v>
      </c>
      <c r="AO43" s="22" t="s">
        <v>86</v>
      </c>
      <c r="AP43" s="22" t="s">
        <v>86</v>
      </c>
      <c r="AQ43" s="22" t="s">
        <v>86</v>
      </c>
      <c r="AR43" s="22" t="s">
        <v>86</v>
      </c>
      <c r="AS43" s="22" t="s">
        <v>86</v>
      </c>
      <c r="AT43" s="22" t="s">
        <v>86</v>
      </c>
      <c r="AU43" s="22" t="s">
        <v>86</v>
      </c>
    </row>
    <row r="44" spans="1:47" ht="15.5" x14ac:dyDescent="0.35">
      <c r="A44" s="180" t="str">
        <f>A43</f>
        <v>MOD_CNST</v>
      </c>
      <c r="B44" s="28">
        <v>1</v>
      </c>
      <c r="C44" s="42" t="s">
        <v>85</v>
      </c>
      <c r="D44" s="28" t="s">
        <v>27</v>
      </c>
      <c r="E44" s="46" t="s">
        <v>32</v>
      </c>
      <c r="F44" s="6" t="s">
        <v>29</v>
      </c>
      <c r="G44" s="22"/>
      <c r="H44" s="22"/>
      <c r="I44" s="22"/>
      <c r="J44" s="22"/>
      <c r="K44" s="22"/>
      <c r="L44" s="22" t="s">
        <v>86</v>
      </c>
      <c r="M44" s="22" t="s">
        <v>86</v>
      </c>
      <c r="N44" s="22" t="s">
        <v>86</v>
      </c>
      <c r="O44" s="22" t="s">
        <v>86</v>
      </c>
      <c r="P44" s="22" t="s">
        <v>86</v>
      </c>
      <c r="Q44" s="22" t="s">
        <v>86</v>
      </c>
      <c r="R44" s="22" t="s">
        <v>86</v>
      </c>
      <c r="S44" s="22" t="s">
        <v>86</v>
      </c>
      <c r="T44" s="22" t="s">
        <v>86</v>
      </c>
      <c r="U44" s="22" t="s">
        <v>86</v>
      </c>
      <c r="V44" s="22" t="s">
        <v>86</v>
      </c>
      <c r="W44" s="22" t="s">
        <v>86</v>
      </c>
      <c r="X44" s="22" t="s">
        <v>86</v>
      </c>
      <c r="Y44" s="22" t="s">
        <v>86</v>
      </c>
      <c r="Z44" s="22" t="s">
        <v>86</v>
      </c>
      <c r="AA44" s="22" t="s">
        <v>86</v>
      </c>
      <c r="AB44" s="22" t="s">
        <v>86</v>
      </c>
      <c r="AC44" s="22" t="s">
        <v>86</v>
      </c>
      <c r="AD44" s="22" t="s">
        <v>86</v>
      </c>
      <c r="AE44" s="22" t="s">
        <v>86</v>
      </c>
      <c r="AF44" s="22" t="s">
        <v>86</v>
      </c>
      <c r="AG44" s="22" t="s">
        <v>86</v>
      </c>
      <c r="AH44" s="22" t="s">
        <v>86</v>
      </c>
      <c r="AI44" s="22" t="s">
        <v>86</v>
      </c>
      <c r="AJ44" s="22" t="s">
        <v>86</v>
      </c>
      <c r="AK44" s="22" t="s">
        <v>86</v>
      </c>
      <c r="AL44" s="22" t="s">
        <v>86</v>
      </c>
      <c r="AM44" s="22" t="s">
        <v>86</v>
      </c>
      <c r="AN44" s="22" t="s">
        <v>86</v>
      </c>
      <c r="AO44" s="22" t="s">
        <v>86</v>
      </c>
      <c r="AP44" s="22" t="s">
        <v>86</v>
      </c>
      <c r="AQ44" s="22" t="s">
        <v>86</v>
      </c>
      <c r="AR44" s="22" t="s">
        <v>86</v>
      </c>
      <c r="AS44" s="22" t="s">
        <v>86</v>
      </c>
      <c r="AT44" s="22" t="s">
        <v>86</v>
      </c>
      <c r="AU44" s="22" t="s">
        <v>86</v>
      </c>
    </row>
    <row r="45" spans="1:47" ht="15.5" x14ac:dyDescent="0.35">
      <c r="A45" s="181" t="str">
        <f>A44</f>
        <v>MOD_CNST</v>
      </c>
      <c r="B45" s="49">
        <v>1</v>
      </c>
      <c r="C45" s="50" t="s">
        <v>85</v>
      </c>
      <c r="D45" s="49" t="s">
        <v>27</v>
      </c>
      <c r="E45" s="48" t="s">
        <v>33</v>
      </c>
      <c r="F45" s="16" t="s">
        <v>29</v>
      </c>
      <c r="G45" s="27"/>
      <c r="H45" s="27"/>
      <c r="I45" s="27"/>
      <c r="J45" s="27"/>
      <c r="K45" s="27"/>
      <c r="L45" s="27" t="s">
        <v>86</v>
      </c>
      <c r="M45" s="27" t="s">
        <v>86</v>
      </c>
      <c r="N45" s="27" t="s">
        <v>86</v>
      </c>
      <c r="O45" s="27" t="s">
        <v>86</v>
      </c>
      <c r="P45" s="27" t="s">
        <v>86</v>
      </c>
      <c r="Q45" s="27" t="s">
        <v>86</v>
      </c>
      <c r="R45" s="27" t="s">
        <v>86</v>
      </c>
      <c r="S45" s="27" t="s">
        <v>86</v>
      </c>
      <c r="T45" s="27" t="s">
        <v>86</v>
      </c>
      <c r="U45" s="27" t="s">
        <v>86</v>
      </c>
      <c r="V45" s="27" t="s">
        <v>86</v>
      </c>
      <c r="W45" s="27" t="s">
        <v>86</v>
      </c>
      <c r="X45" s="27" t="s">
        <v>86</v>
      </c>
      <c r="Y45" s="27" t="s">
        <v>86</v>
      </c>
      <c r="Z45" s="27" t="s">
        <v>86</v>
      </c>
      <c r="AA45" s="27" t="s">
        <v>86</v>
      </c>
      <c r="AB45" s="27" t="s">
        <v>86</v>
      </c>
      <c r="AC45" s="27" t="s">
        <v>86</v>
      </c>
      <c r="AD45" s="27" t="s">
        <v>86</v>
      </c>
      <c r="AE45" s="27" t="s">
        <v>86</v>
      </c>
      <c r="AF45" s="27" t="s">
        <v>86</v>
      </c>
      <c r="AG45" s="27" t="s">
        <v>86</v>
      </c>
      <c r="AH45" s="27" t="s">
        <v>86</v>
      </c>
      <c r="AI45" s="27" t="s">
        <v>86</v>
      </c>
      <c r="AJ45" s="27" t="s">
        <v>86</v>
      </c>
      <c r="AK45" s="27" t="s">
        <v>86</v>
      </c>
      <c r="AL45" s="27" t="s">
        <v>86</v>
      </c>
      <c r="AM45" s="27" t="s">
        <v>86</v>
      </c>
      <c r="AN45" s="27" t="s">
        <v>86</v>
      </c>
      <c r="AO45" s="27" t="s">
        <v>86</v>
      </c>
      <c r="AP45" s="27" t="s">
        <v>86</v>
      </c>
      <c r="AQ45" s="27" t="s">
        <v>86</v>
      </c>
      <c r="AR45" s="27" t="s">
        <v>86</v>
      </c>
      <c r="AS45" s="27" t="s">
        <v>86</v>
      </c>
      <c r="AT45" s="27" t="s">
        <v>86</v>
      </c>
      <c r="AU45" s="27" t="s">
        <v>86</v>
      </c>
    </row>
    <row r="46" spans="1:47" ht="15.5" x14ac:dyDescent="0.35">
      <c r="A46" s="94" t="s">
        <v>101</v>
      </c>
      <c r="B46" s="95">
        <v>1</v>
      </c>
      <c r="C46" s="96" t="s">
        <v>85</v>
      </c>
      <c r="D46" s="95" t="s">
        <v>7</v>
      </c>
      <c r="E46" s="97" t="s">
        <v>13</v>
      </c>
      <c r="F46" s="97" t="s">
        <v>9</v>
      </c>
      <c r="G46" s="98"/>
      <c r="H46" s="98"/>
      <c r="I46" s="98"/>
      <c r="J46" s="98"/>
      <c r="K46" s="98"/>
      <c r="L46" s="22">
        <v>0</v>
      </c>
      <c r="M46" s="98">
        <f t="shared" ref="M46:AU46" si="55">L46+M29</f>
        <v>1000</v>
      </c>
      <c r="N46" s="98">
        <f t="shared" si="55"/>
        <v>2000</v>
      </c>
      <c r="O46" s="98">
        <f t="shared" si="55"/>
        <v>3000</v>
      </c>
      <c r="P46" s="98">
        <f t="shared" si="55"/>
        <v>4000</v>
      </c>
      <c r="Q46" s="98">
        <f t="shared" si="55"/>
        <v>5000</v>
      </c>
      <c r="R46" s="98">
        <f t="shared" si="55"/>
        <v>6100</v>
      </c>
      <c r="S46" s="98">
        <f t="shared" si="55"/>
        <v>7300</v>
      </c>
      <c r="T46" s="98">
        <f t="shared" si="55"/>
        <v>8600</v>
      </c>
      <c r="U46" s="98">
        <f t="shared" si="55"/>
        <v>10000</v>
      </c>
      <c r="V46" s="98">
        <f t="shared" si="55"/>
        <v>11500</v>
      </c>
      <c r="W46" s="98">
        <f t="shared" si="55"/>
        <v>13100</v>
      </c>
      <c r="X46" s="98">
        <f t="shared" si="55"/>
        <v>14800</v>
      </c>
      <c r="Y46" s="98">
        <f t="shared" si="55"/>
        <v>16600</v>
      </c>
      <c r="Z46" s="98">
        <f t="shared" si="55"/>
        <v>18500</v>
      </c>
      <c r="AA46" s="98">
        <f t="shared" si="55"/>
        <v>20500</v>
      </c>
      <c r="AB46" s="98">
        <f t="shared" si="55"/>
        <v>22600</v>
      </c>
      <c r="AC46" s="98">
        <f t="shared" si="55"/>
        <v>24800</v>
      </c>
      <c r="AD46" s="98">
        <f t="shared" si="55"/>
        <v>27100</v>
      </c>
      <c r="AE46" s="98">
        <f t="shared" si="55"/>
        <v>29500</v>
      </c>
      <c r="AF46" s="98">
        <f t="shared" si="55"/>
        <v>32000</v>
      </c>
      <c r="AG46" s="98">
        <f t="shared" si="55"/>
        <v>34600</v>
      </c>
      <c r="AH46" s="98">
        <f t="shared" si="55"/>
        <v>37300</v>
      </c>
      <c r="AI46" s="98">
        <f t="shared" si="55"/>
        <v>40100</v>
      </c>
      <c r="AJ46" s="98">
        <f t="shared" si="55"/>
        <v>43000</v>
      </c>
      <c r="AK46" s="98">
        <f t="shared" si="55"/>
        <v>46000</v>
      </c>
      <c r="AL46" s="98">
        <f t="shared" si="55"/>
        <v>49100</v>
      </c>
      <c r="AM46" s="98">
        <f t="shared" si="55"/>
        <v>52300</v>
      </c>
      <c r="AN46" s="98">
        <f t="shared" si="55"/>
        <v>55600</v>
      </c>
      <c r="AO46" s="98">
        <f t="shared" si="55"/>
        <v>59000</v>
      </c>
      <c r="AP46" s="98">
        <f t="shared" si="55"/>
        <v>62500</v>
      </c>
      <c r="AQ46" s="98">
        <f t="shared" si="55"/>
        <v>66100</v>
      </c>
      <c r="AR46" s="98">
        <f t="shared" si="55"/>
        <v>69800</v>
      </c>
      <c r="AS46" s="98">
        <f t="shared" si="55"/>
        <v>73600</v>
      </c>
      <c r="AT46" s="98">
        <f t="shared" si="55"/>
        <v>77500</v>
      </c>
      <c r="AU46" s="98">
        <f t="shared" si="55"/>
        <v>81500</v>
      </c>
    </row>
    <row r="47" spans="1:47" ht="15.5" x14ac:dyDescent="0.35">
      <c r="A47" s="94" t="s">
        <v>102</v>
      </c>
      <c r="B47" s="95">
        <v>1</v>
      </c>
      <c r="C47" s="96" t="s">
        <v>85</v>
      </c>
      <c r="D47" s="95" t="s">
        <v>7</v>
      </c>
      <c r="E47" s="97" t="s">
        <v>13</v>
      </c>
      <c r="F47" s="97" t="s">
        <v>9</v>
      </c>
      <c r="G47" s="98"/>
      <c r="H47" s="98"/>
      <c r="I47" s="98"/>
      <c r="J47" s="98"/>
      <c r="K47" s="98"/>
      <c r="L47" s="22">
        <v>0</v>
      </c>
      <c r="M47" s="98">
        <f t="shared" ref="M47:AU47" si="56">L47+M30</f>
        <v>0</v>
      </c>
      <c r="N47" s="98">
        <f t="shared" si="56"/>
        <v>0</v>
      </c>
      <c r="O47" s="98">
        <f t="shared" si="56"/>
        <v>0</v>
      </c>
      <c r="P47" s="98">
        <f t="shared" si="56"/>
        <v>0</v>
      </c>
      <c r="Q47" s="98">
        <f t="shared" si="56"/>
        <v>1000</v>
      </c>
      <c r="R47" s="98">
        <f t="shared" si="56"/>
        <v>2000</v>
      </c>
      <c r="S47" s="98">
        <f t="shared" si="56"/>
        <v>3000</v>
      </c>
      <c r="T47" s="98">
        <f t="shared" si="56"/>
        <v>4000</v>
      </c>
      <c r="U47" s="98">
        <f t="shared" si="56"/>
        <v>5000</v>
      </c>
      <c r="V47" s="98">
        <f t="shared" si="56"/>
        <v>6000</v>
      </c>
      <c r="W47" s="98">
        <f t="shared" si="56"/>
        <v>7000</v>
      </c>
      <c r="X47" s="98">
        <f t="shared" si="56"/>
        <v>8000</v>
      </c>
      <c r="Y47" s="98">
        <f t="shared" si="56"/>
        <v>9000</v>
      </c>
      <c r="Z47" s="98">
        <f t="shared" si="56"/>
        <v>10000</v>
      </c>
      <c r="AA47" s="98">
        <f t="shared" si="56"/>
        <v>11000</v>
      </c>
      <c r="AB47" s="98">
        <f t="shared" si="56"/>
        <v>12000</v>
      </c>
      <c r="AC47" s="98">
        <f t="shared" si="56"/>
        <v>13000</v>
      </c>
      <c r="AD47" s="98">
        <f t="shared" si="56"/>
        <v>14000</v>
      </c>
      <c r="AE47" s="98">
        <f t="shared" si="56"/>
        <v>15000</v>
      </c>
      <c r="AF47" s="98">
        <f t="shared" si="56"/>
        <v>16000</v>
      </c>
      <c r="AG47" s="98">
        <f t="shared" si="56"/>
        <v>17000</v>
      </c>
      <c r="AH47" s="98">
        <f t="shared" si="56"/>
        <v>18000</v>
      </c>
      <c r="AI47" s="98">
        <f t="shared" si="56"/>
        <v>19000</v>
      </c>
      <c r="AJ47" s="98">
        <f t="shared" si="56"/>
        <v>20000</v>
      </c>
      <c r="AK47" s="98">
        <f t="shared" si="56"/>
        <v>21000</v>
      </c>
      <c r="AL47" s="98">
        <f t="shared" si="56"/>
        <v>22000</v>
      </c>
      <c r="AM47" s="98">
        <f t="shared" si="56"/>
        <v>23000</v>
      </c>
      <c r="AN47" s="98">
        <f t="shared" si="56"/>
        <v>24000</v>
      </c>
      <c r="AO47" s="98">
        <f t="shared" si="56"/>
        <v>25000</v>
      </c>
      <c r="AP47" s="98">
        <f t="shared" si="56"/>
        <v>26000</v>
      </c>
      <c r="AQ47" s="98">
        <f t="shared" si="56"/>
        <v>27000</v>
      </c>
      <c r="AR47" s="98">
        <f t="shared" si="56"/>
        <v>28000</v>
      </c>
      <c r="AS47" s="98">
        <f t="shared" si="56"/>
        <v>29000</v>
      </c>
      <c r="AT47" s="98">
        <f t="shared" si="56"/>
        <v>30000</v>
      </c>
      <c r="AU47" s="98">
        <f t="shared" si="56"/>
        <v>31000</v>
      </c>
    </row>
    <row r="48" spans="1:47" ht="15.5" x14ac:dyDescent="0.35">
      <c r="A48" s="94" t="s">
        <v>103</v>
      </c>
      <c r="B48" s="95">
        <v>1</v>
      </c>
      <c r="C48" s="96" t="s">
        <v>85</v>
      </c>
      <c r="D48" s="95" t="s">
        <v>7</v>
      </c>
      <c r="E48" s="97" t="s">
        <v>13</v>
      </c>
      <c r="F48" s="97" t="s">
        <v>9</v>
      </c>
      <c r="G48" s="98"/>
      <c r="H48" s="98"/>
      <c r="I48" s="98"/>
      <c r="J48" s="98"/>
      <c r="K48" s="98"/>
      <c r="L48" s="22">
        <v>0</v>
      </c>
      <c r="M48" s="98">
        <f t="shared" ref="M48:AU48" si="57">M46+M47</f>
        <v>1000</v>
      </c>
      <c r="N48" s="98">
        <f t="shared" si="57"/>
        <v>2000</v>
      </c>
      <c r="O48" s="98">
        <f t="shared" si="57"/>
        <v>3000</v>
      </c>
      <c r="P48" s="98">
        <f t="shared" si="57"/>
        <v>4000</v>
      </c>
      <c r="Q48" s="98">
        <f t="shared" si="57"/>
        <v>6000</v>
      </c>
      <c r="R48" s="98">
        <f t="shared" si="57"/>
        <v>8100</v>
      </c>
      <c r="S48" s="98">
        <f t="shared" si="57"/>
        <v>10300</v>
      </c>
      <c r="T48" s="98">
        <f t="shared" si="57"/>
        <v>12600</v>
      </c>
      <c r="U48" s="98">
        <f t="shared" si="57"/>
        <v>15000</v>
      </c>
      <c r="V48" s="98">
        <f t="shared" si="57"/>
        <v>17500</v>
      </c>
      <c r="W48" s="98">
        <f t="shared" si="57"/>
        <v>20100</v>
      </c>
      <c r="X48" s="98">
        <f t="shared" si="57"/>
        <v>22800</v>
      </c>
      <c r="Y48" s="98">
        <f t="shared" si="57"/>
        <v>25600</v>
      </c>
      <c r="Z48" s="98">
        <f t="shared" si="57"/>
        <v>28500</v>
      </c>
      <c r="AA48" s="98">
        <f t="shared" si="57"/>
        <v>31500</v>
      </c>
      <c r="AB48" s="98">
        <f t="shared" si="57"/>
        <v>34600</v>
      </c>
      <c r="AC48" s="98">
        <f t="shared" si="57"/>
        <v>37800</v>
      </c>
      <c r="AD48" s="98">
        <f t="shared" si="57"/>
        <v>41100</v>
      </c>
      <c r="AE48" s="98">
        <f t="shared" si="57"/>
        <v>44500</v>
      </c>
      <c r="AF48" s="98">
        <f t="shared" si="57"/>
        <v>48000</v>
      </c>
      <c r="AG48" s="98">
        <f t="shared" si="57"/>
        <v>51600</v>
      </c>
      <c r="AH48" s="98">
        <f t="shared" si="57"/>
        <v>55300</v>
      </c>
      <c r="AI48" s="98">
        <f t="shared" si="57"/>
        <v>59100</v>
      </c>
      <c r="AJ48" s="98">
        <f t="shared" si="57"/>
        <v>63000</v>
      </c>
      <c r="AK48" s="98">
        <f t="shared" si="57"/>
        <v>67000</v>
      </c>
      <c r="AL48" s="98">
        <f t="shared" si="57"/>
        <v>71100</v>
      </c>
      <c r="AM48" s="98">
        <f t="shared" si="57"/>
        <v>75300</v>
      </c>
      <c r="AN48" s="98">
        <f t="shared" si="57"/>
        <v>79600</v>
      </c>
      <c r="AO48" s="98">
        <f t="shared" si="57"/>
        <v>84000</v>
      </c>
      <c r="AP48" s="98">
        <f t="shared" si="57"/>
        <v>88500</v>
      </c>
      <c r="AQ48" s="98">
        <f t="shared" si="57"/>
        <v>93100</v>
      </c>
      <c r="AR48" s="98">
        <f t="shared" si="57"/>
        <v>97800</v>
      </c>
      <c r="AS48" s="98">
        <f t="shared" si="57"/>
        <v>102600</v>
      </c>
      <c r="AT48" s="98">
        <f t="shared" si="57"/>
        <v>107500</v>
      </c>
      <c r="AU48" s="98">
        <f t="shared" si="57"/>
        <v>112500</v>
      </c>
    </row>
    <row r="49" spans="1:47" ht="15.5" x14ac:dyDescent="0.35">
      <c r="A49" s="173" t="s">
        <v>89</v>
      </c>
      <c r="B49" s="29">
        <v>1</v>
      </c>
      <c r="C49" s="41" t="s">
        <v>85</v>
      </c>
      <c r="D49" s="29" t="s">
        <v>7</v>
      </c>
      <c r="E49" s="4" t="s">
        <v>10</v>
      </c>
      <c r="F49" s="4" t="s">
        <v>9</v>
      </c>
      <c r="G49" s="22"/>
      <c r="H49" s="22"/>
      <c r="I49" s="22"/>
      <c r="J49" s="22"/>
      <c r="K49" s="22"/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10000</v>
      </c>
      <c r="R49" s="22">
        <v>10000</v>
      </c>
      <c r="S49" s="22">
        <v>10000</v>
      </c>
      <c r="T49" s="22">
        <v>10000</v>
      </c>
      <c r="U49" s="22">
        <v>10000</v>
      </c>
      <c r="V49" s="22">
        <v>10000</v>
      </c>
      <c r="W49" s="22">
        <v>10000</v>
      </c>
      <c r="X49" s="22">
        <v>10000</v>
      </c>
      <c r="Y49" s="22">
        <v>10000</v>
      </c>
      <c r="Z49" s="22">
        <v>10000</v>
      </c>
      <c r="AA49" s="22">
        <v>10000</v>
      </c>
      <c r="AB49" s="22">
        <v>10000</v>
      </c>
      <c r="AC49" s="22">
        <v>10000</v>
      </c>
      <c r="AD49" s="22">
        <v>10000</v>
      </c>
      <c r="AE49" s="22">
        <v>10000</v>
      </c>
      <c r="AF49" s="22">
        <v>10000</v>
      </c>
      <c r="AG49" s="22">
        <v>10000</v>
      </c>
      <c r="AH49" s="22">
        <v>10000</v>
      </c>
      <c r="AI49" s="22">
        <v>10000</v>
      </c>
      <c r="AJ49" s="22">
        <v>10000</v>
      </c>
      <c r="AK49" s="22">
        <v>10000</v>
      </c>
      <c r="AL49" s="22">
        <f t="shared" si="51"/>
        <v>10000</v>
      </c>
      <c r="AM49" s="22">
        <f t="shared" si="51"/>
        <v>10000</v>
      </c>
      <c r="AN49" s="22">
        <f t="shared" ref="AN49:AU65" si="58">AM49</f>
        <v>10000</v>
      </c>
      <c r="AO49" s="22">
        <f t="shared" si="58"/>
        <v>10000</v>
      </c>
      <c r="AP49" s="22">
        <f t="shared" si="58"/>
        <v>10000</v>
      </c>
      <c r="AQ49" s="22">
        <f t="shared" si="58"/>
        <v>10000</v>
      </c>
      <c r="AR49" s="22">
        <f t="shared" si="58"/>
        <v>10000</v>
      </c>
      <c r="AS49" s="22">
        <f t="shared" si="58"/>
        <v>10000</v>
      </c>
      <c r="AT49" s="22">
        <f t="shared" si="58"/>
        <v>10000</v>
      </c>
      <c r="AU49" s="22">
        <f t="shared" si="58"/>
        <v>10000</v>
      </c>
    </row>
    <row r="50" spans="1:47" ht="15.5" x14ac:dyDescent="0.35">
      <c r="A50" s="173" t="str">
        <f t="shared" ref="A50:A60" si="59">A49</f>
        <v>MOST_CNST</v>
      </c>
      <c r="B50" s="28">
        <v>1</v>
      </c>
      <c r="C50" s="42" t="s">
        <v>85</v>
      </c>
      <c r="D50" s="28" t="s">
        <v>7</v>
      </c>
      <c r="E50" s="6" t="s">
        <v>11</v>
      </c>
      <c r="F50" s="6" t="s">
        <v>9</v>
      </c>
      <c r="G50" s="22"/>
      <c r="H50" s="22"/>
      <c r="I50" s="22"/>
      <c r="J50" s="22"/>
      <c r="K50" s="22"/>
      <c r="L50" s="22">
        <v>2000</v>
      </c>
      <c r="M50" s="22">
        <v>10000</v>
      </c>
      <c r="N50" s="22">
        <v>10000</v>
      </c>
      <c r="O50" s="22">
        <v>10000</v>
      </c>
      <c r="P50" s="22">
        <v>10000</v>
      </c>
      <c r="Q50" s="22">
        <v>10000</v>
      </c>
      <c r="R50" s="22">
        <v>10000</v>
      </c>
      <c r="S50" s="22">
        <v>10000</v>
      </c>
      <c r="T50" s="22">
        <v>10000</v>
      </c>
      <c r="U50" s="22">
        <v>10000</v>
      </c>
      <c r="V50" s="22">
        <v>10000</v>
      </c>
      <c r="W50" s="22">
        <v>10000</v>
      </c>
      <c r="X50" s="22">
        <v>10000</v>
      </c>
      <c r="Y50" s="22">
        <v>10000</v>
      </c>
      <c r="Z50" s="22">
        <v>10000</v>
      </c>
      <c r="AA50" s="22">
        <v>10000</v>
      </c>
      <c r="AB50" s="22">
        <v>10000</v>
      </c>
      <c r="AC50" s="22">
        <v>10000</v>
      </c>
      <c r="AD50" s="22">
        <v>10000</v>
      </c>
      <c r="AE50" s="22">
        <v>10000</v>
      </c>
      <c r="AF50" s="22">
        <v>10000</v>
      </c>
      <c r="AG50" s="22">
        <v>10000</v>
      </c>
      <c r="AH50" s="22">
        <v>10000</v>
      </c>
      <c r="AI50" s="22">
        <v>10000</v>
      </c>
      <c r="AJ50" s="22">
        <v>10000</v>
      </c>
      <c r="AK50" s="22">
        <v>10000</v>
      </c>
      <c r="AL50" s="22">
        <f t="shared" si="51"/>
        <v>10000</v>
      </c>
      <c r="AM50" s="22">
        <f t="shared" si="51"/>
        <v>10000</v>
      </c>
      <c r="AN50" s="22">
        <f t="shared" si="58"/>
        <v>10000</v>
      </c>
      <c r="AO50" s="22">
        <f t="shared" si="58"/>
        <v>10000</v>
      </c>
      <c r="AP50" s="22">
        <f t="shared" si="58"/>
        <v>10000</v>
      </c>
      <c r="AQ50" s="22">
        <f t="shared" si="58"/>
        <v>10000</v>
      </c>
      <c r="AR50" s="22">
        <f t="shared" si="58"/>
        <v>10000</v>
      </c>
      <c r="AS50" s="22">
        <f t="shared" si="58"/>
        <v>10000</v>
      </c>
      <c r="AT50" s="22">
        <f t="shared" si="58"/>
        <v>10000</v>
      </c>
      <c r="AU50" s="22">
        <f t="shared" si="58"/>
        <v>10000</v>
      </c>
    </row>
    <row r="51" spans="1:47" ht="15.5" x14ac:dyDescent="0.35">
      <c r="A51" s="173" t="str">
        <f t="shared" si="59"/>
        <v>MOST_CNST</v>
      </c>
      <c r="B51" s="29">
        <v>1</v>
      </c>
      <c r="C51" s="41" t="s">
        <v>85</v>
      </c>
      <c r="D51" s="29" t="s">
        <v>7</v>
      </c>
      <c r="E51" s="4" t="s">
        <v>12</v>
      </c>
      <c r="F51" s="4" t="s">
        <v>9</v>
      </c>
      <c r="G51" s="22"/>
      <c r="H51" s="22"/>
      <c r="I51" s="22"/>
      <c r="J51" s="22"/>
      <c r="K51" s="22"/>
      <c r="L51" s="22">
        <v>0</v>
      </c>
      <c r="M51" s="22">
        <v>1000</v>
      </c>
      <c r="N51" s="22">
        <f t="shared" ref="N51:AK51" si="60">M51</f>
        <v>1000</v>
      </c>
      <c r="O51" s="22">
        <f t="shared" si="60"/>
        <v>1000</v>
      </c>
      <c r="P51" s="22">
        <f t="shared" si="60"/>
        <v>1000</v>
      </c>
      <c r="Q51" s="22">
        <f t="shared" si="60"/>
        <v>1000</v>
      </c>
      <c r="R51" s="22">
        <f t="shared" si="60"/>
        <v>1000</v>
      </c>
      <c r="S51" s="22">
        <f t="shared" si="60"/>
        <v>1000</v>
      </c>
      <c r="T51" s="22">
        <f t="shared" si="60"/>
        <v>1000</v>
      </c>
      <c r="U51" s="22">
        <f t="shared" si="60"/>
        <v>1000</v>
      </c>
      <c r="V51" s="22">
        <f t="shared" si="60"/>
        <v>1000</v>
      </c>
      <c r="W51" s="22">
        <f t="shared" si="60"/>
        <v>1000</v>
      </c>
      <c r="X51" s="22">
        <f t="shared" si="60"/>
        <v>1000</v>
      </c>
      <c r="Y51" s="22">
        <f t="shared" si="60"/>
        <v>1000</v>
      </c>
      <c r="Z51" s="22">
        <f t="shared" si="60"/>
        <v>1000</v>
      </c>
      <c r="AA51" s="22">
        <f t="shared" si="60"/>
        <v>1000</v>
      </c>
      <c r="AB51" s="22">
        <f t="shared" si="60"/>
        <v>1000</v>
      </c>
      <c r="AC51" s="22">
        <f t="shared" si="60"/>
        <v>1000</v>
      </c>
      <c r="AD51" s="22">
        <f t="shared" si="60"/>
        <v>1000</v>
      </c>
      <c r="AE51" s="22">
        <f t="shared" si="60"/>
        <v>1000</v>
      </c>
      <c r="AF51" s="22">
        <f t="shared" si="60"/>
        <v>1000</v>
      </c>
      <c r="AG51" s="22">
        <f t="shared" si="60"/>
        <v>1000</v>
      </c>
      <c r="AH51" s="22">
        <f t="shared" si="60"/>
        <v>1000</v>
      </c>
      <c r="AI51" s="22">
        <f t="shared" si="60"/>
        <v>1000</v>
      </c>
      <c r="AJ51" s="22">
        <f t="shared" si="60"/>
        <v>1000</v>
      </c>
      <c r="AK51" s="22">
        <f t="shared" si="60"/>
        <v>1000</v>
      </c>
      <c r="AL51" s="22">
        <f t="shared" si="51"/>
        <v>1000</v>
      </c>
      <c r="AM51" s="22">
        <f t="shared" si="51"/>
        <v>1000</v>
      </c>
      <c r="AN51" s="22">
        <f t="shared" si="58"/>
        <v>1000</v>
      </c>
      <c r="AO51" s="22">
        <f t="shared" si="58"/>
        <v>1000</v>
      </c>
      <c r="AP51" s="22">
        <f t="shared" si="58"/>
        <v>1000</v>
      </c>
      <c r="AQ51" s="22">
        <f t="shared" si="58"/>
        <v>1000</v>
      </c>
      <c r="AR51" s="22">
        <f t="shared" si="58"/>
        <v>1000</v>
      </c>
      <c r="AS51" s="22">
        <f t="shared" si="58"/>
        <v>1000</v>
      </c>
      <c r="AT51" s="22">
        <f t="shared" si="58"/>
        <v>1000</v>
      </c>
      <c r="AU51" s="22">
        <f t="shared" si="58"/>
        <v>1000</v>
      </c>
    </row>
    <row r="52" spans="1:47" ht="15.5" x14ac:dyDescent="0.35">
      <c r="A52" s="173" t="str">
        <f t="shared" si="59"/>
        <v>MOST_CNST</v>
      </c>
      <c r="B52" s="28">
        <v>1</v>
      </c>
      <c r="C52" s="42" t="s">
        <v>85</v>
      </c>
      <c r="D52" s="28" t="s">
        <v>7</v>
      </c>
      <c r="E52" s="6" t="s">
        <v>13</v>
      </c>
      <c r="F52" s="6" t="s">
        <v>9</v>
      </c>
      <c r="G52" s="22"/>
      <c r="H52" s="22"/>
      <c r="I52" s="22"/>
      <c r="J52" s="22"/>
      <c r="K52" s="22"/>
      <c r="L52" s="22">
        <v>5</v>
      </c>
      <c r="M52" s="22">
        <v>1000</v>
      </c>
      <c r="N52" s="22">
        <v>1000</v>
      </c>
      <c r="O52" s="22">
        <v>1000</v>
      </c>
      <c r="P52" s="22">
        <v>1000</v>
      </c>
      <c r="Q52" s="22">
        <v>1000</v>
      </c>
      <c r="R52" s="22">
        <v>1000</v>
      </c>
      <c r="S52" s="22">
        <v>1000</v>
      </c>
      <c r="T52" s="22">
        <v>1000</v>
      </c>
      <c r="U52" s="22">
        <v>1000</v>
      </c>
      <c r="V52" s="22">
        <v>1000</v>
      </c>
      <c r="W52" s="22">
        <f t="shared" ref="W52:AU52" si="61">V52+100</f>
        <v>1100</v>
      </c>
      <c r="X52" s="22">
        <f t="shared" si="61"/>
        <v>1200</v>
      </c>
      <c r="Y52" s="22">
        <f t="shared" si="61"/>
        <v>1300</v>
      </c>
      <c r="Z52" s="22">
        <f t="shared" si="61"/>
        <v>1400</v>
      </c>
      <c r="AA52" s="22">
        <f t="shared" si="61"/>
        <v>1500</v>
      </c>
      <c r="AB52" s="22">
        <f t="shared" si="61"/>
        <v>1600</v>
      </c>
      <c r="AC52" s="22">
        <f t="shared" si="61"/>
        <v>1700</v>
      </c>
      <c r="AD52" s="22">
        <f t="shared" si="61"/>
        <v>1800</v>
      </c>
      <c r="AE52" s="22">
        <f t="shared" si="61"/>
        <v>1900</v>
      </c>
      <c r="AF52" s="22">
        <f t="shared" si="61"/>
        <v>2000</v>
      </c>
      <c r="AG52" s="22">
        <f t="shared" si="61"/>
        <v>2100</v>
      </c>
      <c r="AH52" s="22">
        <f t="shared" si="61"/>
        <v>2200</v>
      </c>
      <c r="AI52" s="22">
        <f t="shared" si="61"/>
        <v>2300</v>
      </c>
      <c r="AJ52" s="22">
        <f t="shared" si="61"/>
        <v>2400</v>
      </c>
      <c r="AK52" s="22">
        <f t="shared" si="61"/>
        <v>2500</v>
      </c>
      <c r="AL52" s="22">
        <f t="shared" si="61"/>
        <v>2600</v>
      </c>
      <c r="AM52" s="22">
        <f t="shared" si="61"/>
        <v>2700</v>
      </c>
      <c r="AN52" s="22">
        <f t="shared" si="61"/>
        <v>2800</v>
      </c>
      <c r="AO52" s="22">
        <f t="shared" si="61"/>
        <v>2900</v>
      </c>
      <c r="AP52" s="22">
        <f t="shared" si="61"/>
        <v>3000</v>
      </c>
      <c r="AQ52" s="22">
        <f t="shared" si="61"/>
        <v>3100</v>
      </c>
      <c r="AR52" s="22">
        <f t="shared" si="61"/>
        <v>3200</v>
      </c>
      <c r="AS52" s="22">
        <f t="shared" si="61"/>
        <v>3300</v>
      </c>
      <c r="AT52" s="22">
        <f t="shared" si="61"/>
        <v>3400</v>
      </c>
      <c r="AU52" s="22">
        <f t="shared" si="61"/>
        <v>3500</v>
      </c>
    </row>
    <row r="53" spans="1:47" ht="15.5" x14ac:dyDescent="0.35">
      <c r="A53" s="173" t="str">
        <f t="shared" si="59"/>
        <v>MOST_CNST</v>
      </c>
      <c r="B53" s="29">
        <v>1</v>
      </c>
      <c r="C53" s="41" t="s">
        <v>85</v>
      </c>
      <c r="D53" s="29" t="s">
        <v>7</v>
      </c>
      <c r="E53" s="4" t="s">
        <v>14</v>
      </c>
      <c r="F53" s="4" t="s">
        <v>9</v>
      </c>
      <c r="G53" s="22"/>
      <c r="H53" s="22"/>
      <c r="I53" s="22"/>
      <c r="J53" s="22"/>
      <c r="K53" s="22"/>
      <c r="L53" s="22">
        <v>5</v>
      </c>
      <c r="M53" s="22">
        <v>0</v>
      </c>
      <c r="N53" s="22">
        <v>0</v>
      </c>
      <c r="O53" s="22">
        <v>0</v>
      </c>
      <c r="P53" s="22">
        <v>0</v>
      </c>
      <c r="Q53" s="22">
        <v>500</v>
      </c>
      <c r="R53" s="22">
        <f>Q53</f>
        <v>500</v>
      </c>
      <c r="S53" s="22">
        <f t="shared" ref="S53:AU53" si="62">R53</f>
        <v>500</v>
      </c>
      <c r="T53" s="22">
        <f t="shared" si="62"/>
        <v>500</v>
      </c>
      <c r="U53" s="22">
        <f t="shared" si="62"/>
        <v>500</v>
      </c>
      <c r="V53" s="22">
        <f t="shared" si="62"/>
        <v>500</v>
      </c>
      <c r="W53" s="22">
        <f t="shared" si="62"/>
        <v>500</v>
      </c>
      <c r="X53" s="22">
        <f t="shared" si="62"/>
        <v>500</v>
      </c>
      <c r="Y53" s="22">
        <f t="shared" si="62"/>
        <v>500</v>
      </c>
      <c r="Z53" s="22">
        <f t="shared" si="62"/>
        <v>500</v>
      </c>
      <c r="AA53" s="22">
        <f t="shared" si="62"/>
        <v>500</v>
      </c>
      <c r="AB53" s="22">
        <f t="shared" si="62"/>
        <v>500</v>
      </c>
      <c r="AC53" s="22">
        <f t="shared" si="62"/>
        <v>500</v>
      </c>
      <c r="AD53" s="22">
        <f t="shared" si="62"/>
        <v>500</v>
      </c>
      <c r="AE53" s="22">
        <f t="shared" si="62"/>
        <v>500</v>
      </c>
      <c r="AF53" s="22">
        <f t="shared" si="62"/>
        <v>500</v>
      </c>
      <c r="AG53" s="22">
        <f t="shared" si="62"/>
        <v>500</v>
      </c>
      <c r="AH53" s="22">
        <f t="shared" si="62"/>
        <v>500</v>
      </c>
      <c r="AI53" s="22">
        <f t="shared" si="62"/>
        <v>500</v>
      </c>
      <c r="AJ53" s="22">
        <f t="shared" si="62"/>
        <v>500</v>
      </c>
      <c r="AK53" s="22">
        <f t="shared" si="62"/>
        <v>500</v>
      </c>
      <c r="AL53" s="22">
        <f t="shared" si="62"/>
        <v>500</v>
      </c>
      <c r="AM53" s="22">
        <f t="shared" si="62"/>
        <v>500</v>
      </c>
      <c r="AN53" s="22">
        <f t="shared" si="62"/>
        <v>500</v>
      </c>
      <c r="AO53" s="22">
        <f t="shared" si="62"/>
        <v>500</v>
      </c>
      <c r="AP53" s="22">
        <f t="shared" si="62"/>
        <v>500</v>
      </c>
      <c r="AQ53" s="22">
        <f t="shared" si="62"/>
        <v>500</v>
      </c>
      <c r="AR53" s="22">
        <f t="shared" si="62"/>
        <v>500</v>
      </c>
      <c r="AS53" s="22">
        <f t="shared" si="62"/>
        <v>500</v>
      </c>
      <c r="AT53" s="22">
        <f t="shared" si="62"/>
        <v>500</v>
      </c>
      <c r="AU53" s="22">
        <f t="shared" si="62"/>
        <v>500</v>
      </c>
    </row>
    <row r="54" spans="1:47" ht="15.5" x14ac:dyDescent="0.35">
      <c r="A54" s="173" t="str">
        <f t="shared" si="59"/>
        <v>MOST_CNST</v>
      </c>
      <c r="B54" s="28">
        <v>1</v>
      </c>
      <c r="C54" s="42" t="s">
        <v>85</v>
      </c>
      <c r="D54" s="28" t="s">
        <v>7</v>
      </c>
      <c r="E54" s="6" t="s">
        <v>15</v>
      </c>
      <c r="F54" s="6" t="s">
        <v>16</v>
      </c>
      <c r="G54" s="22"/>
      <c r="H54" s="22"/>
      <c r="I54" s="22"/>
      <c r="J54" s="22"/>
      <c r="K54" s="22"/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 t="s">
        <v>86</v>
      </c>
      <c r="R54" s="22" t="s">
        <v>86</v>
      </c>
      <c r="S54" s="22" t="str">
        <f t="shared" ref="S54:AM65" si="63">R54</f>
        <v>unc</v>
      </c>
      <c r="T54" s="22" t="str">
        <f t="shared" si="63"/>
        <v>unc</v>
      </c>
      <c r="U54" s="22" t="str">
        <f t="shared" si="63"/>
        <v>unc</v>
      </c>
      <c r="V54" s="22" t="str">
        <f t="shared" si="63"/>
        <v>unc</v>
      </c>
      <c r="W54" s="22" t="str">
        <f t="shared" si="63"/>
        <v>unc</v>
      </c>
      <c r="X54" s="22" t="str">
        <f t="shared" si="63"/>
        <v>unc</v>
      </c>
      <c r="Y54" s="22" t="str">
        <f t="shared" si="63"/>
        <v>unc</v>
      </c>
      <c r="Z54" s="22" t="str">
        <f t="shared" si="63"/>
        <v>unc</v>
      </c>
      <c r="AA54" s="22" t="str">
        <f t="shared" si="63"/>
        <v>unc</v>
      </c>
      <c r="AB54" s="22" t="str">
        <f t="shared" si="63"/>
        <v>unc</v>
      </c>
      <c r="AC54" s="22" t="str">
        <f t="shared" si="63"/>
        <v>unc</v>
      </c>
      <c r="AD54" s="22" t="str">
        <f t="shared" si="63"/>
        <v>unc</v>
      </c>
      <c r="AE54" s="22" t="str">
        <f t="shared" si="63"/>
        <v>unc</v>
      </c>
      <c r="AF54" s="22" t="str">
        <f t="shared" si="63"/>
        <v>unc</v>
      </c>
      <c r="AG54" s="22" t="str">
        <f t="shared" si="63"/>
        <v>unc</v>
      </c>
      <c r="AH54" s="22" t="str">
        <f t="shared" si="63"/>
        <v>unc</v>
      </c>
      <c r="AI54" s="22" t="str">
        <f t="shared" si="63"/>
        <v>unc</v>
      </c>
      <c r="AJ54" s="22" t="str">
        <f t="shared" si="63"/>
        <v>unc</v>
      </c>
      <c r="AK54" s="22" t="str">
        <f t="shared" si="63"/>
        <v>unc</v>
      </c>
      <c r="AL54" s="22" t="str">
        <f t="shared" si="63"/>
        <v>unc</v>
      </c>
      <c r="AM54" s="22" t="str">
        <f t="shared" si="63"/>
        <v>unc</v>
      </c>
      <c r="AN54" s="22" t="str">
        <f t="shared" si="58"/>
        <v>unc</v>
      </c>
      <c r="AO54" s="22" t="str">
        <f t="shared" si="58"/>
        <v>unc</v>
      </c>
      <c r="AP54" s="22" t="str">
        <f t="shared" si="58"/>
        <v>unc</v>
      </c>
      <c r="AQ54" s="22" t="str">
        <f t="shared" si="58"/>
        <v>unc</v>
      </c>
      <c r="AR54" s="22" t="str">
        <f t="shared" si="58"/>
        <v>unc</v>
      </c>
      <c r="AS54" s="22" t="str">
        <f t="shared" si="58"/>
        <v>unc</v>
      </c>
      <c r="AT54" s="22" t="str">
        <f t="shared" si="58"/>
        <v>unc</v>
      </c>
      <c r="AU54" s="22" t="str">
        <f t="shared" si="58"/>
        <v>unc</v>
      </c>
    </row>
    <row r="55" spans="1:47" ht="15.5" x14ac:dyDescent="0.35">
      <c r="A55" s="173" t="str">
        <f t="shared" si="59"/>
        <v>MOST_CNST</v>
      </c>
      <c r="B55" s="29">
        <v>1</v>
      </c>
      <c r="C55" s="41" t="s">
        <v>85</v>
      </c>
      <c r="D55" s="29" t="s">
        <v>7</v>
      </c>
      <c r="E55" s="4" t="s">
        <v>17</v>
      </c>
      <c r="F55" s="4" t="s">
        <v>16</v>
      </c>
      <c r="G55" s="22"/>
      <c r="H55" s="22"/>
      <c r="I55" s="22"/>
      <c r="J55" s="22"/>
      <c r="K55" s="22"/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 t="s">
        <v>86</v>
      </c>
      <c r="R55" s="22" t="s">
        <v>86</v>
      </c>
      <c r="S55" s="22" t="str">
        <f t="shared" si="63"/>
        <v>unc</v>
      </c>
      <c r="T55" s="22" t="str">
        <f t="shared" si="63"/>
        <v>unc</v>
      </c>
      <c r="U55" s="22" t="str">
        <f t="shared" si="63"/>
        <v>unc</v>
      </c>
      <c r="V55" s="22" t="str">
        <f t="shared" si="63"/>
        <v>unc</v>
      </c>
      <c r="W55" s="22" t="str">
        <f t="shared" si="63"/>
        <v>unc</v>
      </c>
      <c r="X55" s="22" t="str">
        <f t="shared" si="63"/>
        <v>unc</v>
      </c>
      <c r="Y55" s="22" t="str">
        <f t="shared" si="63"/>
        <v>unc</v>
      </c>
      <c r="Z55" s="22" t="str">
        <f t="shared" si="63"/>
        <v>unc</v>
      </c>
      <c r="AA55" s="22" t="str">
        <f t="shared" si="63"/>
        <v>unc</v>
      </c>
      <c r="AB55" s="22" t="str">
        <f t="shared" si="63"/>
        <v>unc</v>
      </c>
      <c r="AC55" s="22" t="str">
        <f t="shared" si="63"/>
        <v>unc</v>
      </c>
      <c r="AD55" s="22" t="str">
        <f t="shared" si="63"/>
        <v>unc</v>
      </c>
      <c r="AE55" s="22" t="str">
        <f t="shared" si="63"/>
        <v>unc</v>
      </c>
      <c r="AF55" s="22" t="str">
        <f t="shared" si="63"/>
        <v>unc</v>
      </c>
      <c r="AG55" s="22" t="str">
        <f t="shared" si="63"/>
        <v>unc</v>
      </c>
      <c r="AH55" s="22" t="str">
        <f t="shared" si="63"/>
        <v>unc</v>
      </c>
      <c r="AI55" s="22" t="str">
        <f t="shared" si="63"/>
        <v>unc</v>
      </c>
      <c r="AJ55" s="22" t="str">
        <f t="shared" si="63"/>
        <v>unc</v>
      </c>
      <c r="AK55" s="22" t="str">
        <f t="shared" si="63"/>
        <v>unc</v>
      </c>
      <c r="AL55" s="22" t="str">
        <f t="shared" si="63"/>
        <v>unc</v>
      </c>
      <c r="AM55" s="22" t="str">
        <f t="shared" si="63"/>
        <v>unc</v>
      </c>
      <c r="AN55" s="22" t="str">
        <f t="shared" si="58"/>
        <v>unc</v>
      </c>
      <c r="AO55" s="22" t="str">
        <f t="shared" si="58"/>
        <v>unc</v>
      </c>
      <c r="AP55" s="22" t="str">
        <f t="shared" si="58"/>
        <v>unc</v>
      </c>
      <c r="AQ55" s="22" t="str">
        <f t="shared" si="58"/>
        <v>unc</v>
      </c>
      <c r="AR55" s="22" t="str">
        <f t="shared" si="58"/>
        <v>unc</v>
      </c>
      <c r="AS55" s="22" t="str">
        <f t="shared" si="58"/>
        <v>unc</v>
      </c>
      <c r="AT55" s="22" t="str">
        <f t="shared" si="58"/>
        <v>unc</v>
      </c>
      <c r="AU55" s="22" t="str">
        <f t="shared" si="58"/>
        <v>unc</v>
      </c>
    </row>
    <row r="56" spans="1:47" ht="15.5" x14ac:dyDescent="0.35">
      <c r="A56" s="173" t="str">
        <f t="shared" si="59"/>
        <v>MOST_CNST</v>
      </c>
      <c r="B56" s="28">
        <v>1</v>
      </c>
      <c r="C56" s="42" t="s">
        <v>85</v>
      </c>
      <c r="D56" s="28" t="s">
        <v>7</v>
      </c>
      <c r="E56" s="43" t="s">
        <v>18</v>
      </c>
      <c r="F56" s="6" t="s">
        <v>16</v>
      </c>
      <c r="G56" s="22"/>
      <c r="H56" s="22"/>
      <c r="I56" s="22"/>
      <c r="J56" s="22"/>
      <c r="K56" s="22"/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 t="s">
        <v>86</v>
      </c>
      <c r="R56" s="22">
        <v>0</v>
      </c>
      <c r="S56" s="22">
        <v>0</v>
      </c>
      <c r="T56" s="22">
        <v>0</v>
      </c>
      <c r="U56" s="22">
        <f>T56</f>
        <v>0</v>
      </c>
      <c r="V56" s="22">
        <f>U56</f>
        <v>0</v>
      </c>
      <c r="W56" s="22">
        <v>0</v>
      </c>
      <c r="X56" s="22">
        <f>W56</f>
        <v>0</v>
      </c>
      <c r="Y56" s="22">
        <f>X56</f>
        <v>0</v>
      </c>
      <c r="Z56" s="22">
        <f>Y56</f>
        <v>0</v>
      </c>
      <c r="AA56" s="22">
        <v>0</v>
      </c>
      <c r="AB56" s="22">
        <f t="shared" si="63"/>
        <v>0</v>
      </c>
      <c r="AC56" s="22">
        <f t="shared" si="63"/>
        <v>0</v>
      </c>
      <c r="AD56" s="22">
        <f t="shared" si="63"/>
        <v>0</v>
      </c>
      <c r="AE56" s="22">
        <f t="shared" si="63"/>
        <v>0</v>
      </c>
      <c r="AF56" s="22">
        <f t="shared" si="63"/>
        <v>0</v>
      </c>
      <c r="AG56" s="22">
        <f t="shared" si="63"/>
        <v>0</v>
      </c>
      <c r="AH56" s="22">
        <f t="shared" si="63"/>
        <v>0</v>
      </c>
      <c r="AI56" s="22">
        <f t="shared" si="63"/>
        <v>0</v>
      </c>
      <c r="AJ56" s="22">
        <f t="shared" si="63"/>
        <v>0</v>
      </c>
      <c r="AK56" s="22">
        <f t="shared" si="63"/>
        <v>0</v>
      </c>
      <c r="AL56" s="22">
        <f t="shared" si="63"/>
        <v>0</v>
      </c>
      <c r="AM56" s="22">
        <f t="shared" si="63"/>
        <v>0</v>
      </c>
      <c r="AN56" s="22">
        <f t="shared" si="58"/>
        <v>0</v>
      </c>
      <c r="AO56" s="22">
        <f t="shared" si="58"/>
        <v>0</v>
      </c>
      <c r="AP56" s="22">
        <f t="shared" si="58"/>
        <v>0</v>
      </c>
      <c r="AQ56" s="22">
        <f t="shared" si="58"/>
        <v>0</v>
      </c>
      <c r="AR56" s="22">
        <f t="shared" si="58"/>
        <v>0</v>
      </c>
      <c r="AS56" s="22">
        <f t="shared" si="58"/>
        <v>0</v>
      </c>
      <c r="AT56" s="22">
        <f t="shared" si="58"/>
        <v>0</v>
      </c>
      <c r="AU56" s="22">
        <f t="shared" si="58"/>
        <v>0</v>
      </c>
    </row>
    <row r="57" spans="1:47" ht="15.5" x14ac:dyDescent="0.35">
      <c r="A57" s="173" t="str">
        <f t="shared" si="59"/>
        <v>MOST_CNST</v>
      </c>
      <c r="B57" s="29">
        <v>1</v>
      </c>
      <c r="C57" s="41" t="s">
        <v>85</v>
      </c>
      <c r="D57" s="29" t="s">
        <v>7</v>
      </c>
      <c r="E57" s="44" t="s">
        <v>19</v>
      </c>
      <c r="F57" s="4" t="s">
        <v>16</v>
      </c>
      <c r="G57" s="22"/>
      <c r="H57" s="22"/>
      <c r="I57" s="22"/>
      <c r="J57" s="22"/>
      <c r="K57" s="22"/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 t="s">
        <v>86</v>
      </c>
      <c r="R57" s="22" t="s">
        <v>86</v>
      </c>
      <c r="S57" s="22" t="str">
        <f t="shared" ref="S57:X65" si="64">R57</f>
        <v>unc</v>
      </c>
      <c r="T57" s="22" t="str">
        <f t="shared" si="64"/>
        <v>unc</v>
      </c>
      <c r="U57" s="22" t="str">
        <f t="shared" si="64"/>
        <v>unc</v>
      </c>
      <c r="V57" s="22" t="s">
        <v>86</v>
      </c>
      <c r="W57" s="22">
        <v>0</v>
      </c>
      <c r="X57" s="22">
        <v>0</v>
      </c>
      <c r="Y57" s="22">
        <f t="shared" ref="Y57:AB65" si="65">X57</f>
        <v>0</v>
      </c>
      <c r="Z57" s="22">
        <f t="shared" si="65"/>
        <v>0</v>
      </c>
      <c r="AA57" s="22">
        <f t="shared" si="65"/>
        <v>0</v>
      </c>
      <c r="AB57" s="22">
        <v>0</v>
      </c>
      <c r="AC57" s="22">
        <f>AB57</f>
        <v>0</v>
      </c>
      <c r="AD57" s="22">
        <f>AC57</f>
        <v>0</v>
      </c>
      <c r="AE57" s="22">
        <f>AD57</f>
        <v>0</v>
      </c>
      <c r="AF57" s="22">
        <v>0</v>
      </c>
      <c r="AG57" s="22">
        <f>AF57</f>
        <v>0</v>
      </c>
      <c r="AH57" s="22">
        <f>AG57</f>
        <v>0</v>
      </c>
      <c r="AI57" s="22">
        <f>AH57</f>
        <v>0</v>
      </c>
      <c r="AJ57" s="22">
        <f>AI57</f>
        <v>0</v>
      </c>
      <c r="AK57" s="22">
        <f>AJ57</f>
        <v>0</v>
      </c>
      <c r="AL57" s="22">
        <f t="shared" si="63"/>
        <v>0</v>
      </c>
      <c r="AM57" s="22">
        <f t="shared" si="63"/>
        <v>0</v>
      </c>
      <c r="AN57" s="22">
        <f t="shared" si="58"/>
        <v>0</v>
      </c>
      <c r="AO57" s="22">
        <f t="shared" si="58"/>
        <v>0</v>
      </c>
      <c r="AP57" s="22">
        <f t="shared" si="58"/>
        <v>0</v>
      </c>
      <c r="AQ57" s="22">
        <f t="shared" si="58"/>
        <v>0</v>
      </c>
      <c r="AR57" s="22">
        <f t="shared" si="58"/>
        <v>0</v>
      </c>
      <c r="AS57" s="22">
        <f t="shared" si="58"/>
        <v>0</v>
      </c>
      <c r="AT57" s="22">
        <f t="shared" si="58"/>
        <v>0</v>
      </c>
      <c r="AU57" s="22">
        <f t="shared" si="58"/>
        <v>0</v>
      </c>
    </row>
    <row r="58" spans="1:47" ht="15.5" x14ac:dyDescent="0.35">
      <c r="A58" s="173" t="str">
        <f t="shared" si="59"/>
        <v>MOST_CNST</v>
      </c>
      <c r="B58" s="28">
        <v>1</v>
      </c>
      <c r="C58" s="42" t="s">
        <v>85</v>
      </c>
      <c r="D58" s="28" t="s">
        <v>7</v>
      </c>
      <c r="E58" s="43" t="s">
        <v>20</v>
      </c>
      <c r="F58" s="6" t="s">
        <v>16</v>
      </c>
      <c r="G58" s="22"/>
      <c r="H58" s="22"/>
      <c r="I58" s="22"/>
      <c r="J58" s="22"/>
      <c r="K58" s="22"/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 t="s">
        <v>86</v>
      </c>
      <c r="R58" s="22" t="s">
        <v>86</v>
      </c>
      <c r="S58" s="22" t="str">
        <f t="shared" si="64"/>
        <v>unc</v>
      </c>
      <c r="T58" s="22" t="str">
        <f t="shared" si="64"/>
        <v>unc</v>
      </c>
      <c r="U58" s="22" t="str">
        <f t="shared" si="64"/>
        <v>unc</v>
      </c>
      <c r="V58" s="22" t="str">
        <f t="shared" si="64"/>
        <v>unc</v>
      </c>
      <c r="W58" s="22" t="str">
        <f t="shared" si="64"/>
        <v>unc</v>
      </c>
      <c r="X58" s="22" t="str">
        <f t="shared" si="64"/>
        <v>unc</v>
      </c>
      <c r="Y58" s="22" t="str">
        <f t="shared" si="65"/>
        <v>unc</v>
      </c>
      <c r="Z58" s="22" t="str">
        <f t="shared" si="65"/>
        <v>unc</v>
      </c>
      <c r="AA58" s="22" t="str">
        <f t="shared" si="65"/>
        <v>unc</v>
      </c>
      <c r="AB58" s="22">
        <v>0</v>
      </c>
      <c r="AC58" s="22">
        <v>0</v>
      </c>
      <c r="AD58" s="22">
        <v>0</v>
      </c>
      <c r="AE58" s="22">
        <f t="shared" ref="AE58:AG65" si="66">AD58</f>
        <v>0</v>
      </c>
      <c r="AF58" s="22">
        <f t="shared" si="66"/>
        <v>0</v>
      </c>
      <c r="AG58" s="22">
        <v>0</v>
      </c>
      <c r="AH58" s="22">
        <f t="shared" ref="AH58:AL65" si="67">AG58</f>
        <v>0</v>
      </c>
      <c r="AI58" s="22">
        <f t="shared" si="67"/>
        <v>0</v>
      </c>
      <c r="AJ58" s="22">
        <f t="shared" si="67"/>
        <v>0</v>
      </c>
      <c r="AK58" s="22">
        <v>0</v>
      </c>
      <c r="AL58" s="22">
        <f t="shared" si="63"/>
        <v>0</v>
      </c>
      <c r="AM58" s="22">
        <f t="shared" si="63"/>
        <v>0</v>
      </c>
      <c r="AN58" s="22">
        <f t="shared" si="58"/>
        <v>0</v>
      </c>
      <c r="AO58" s="22">
        <f t="shared" si="58"/>
        <v>0</v>
      </c>
      <c r="AP58" s="22">
        <f t="shared" si="58"/>
        <v>0</v>
      </c>
      <c r="AQ58" s="22">
        <f t="shared" si="58"/>
        <v>0</v>
      </c>
      <c r="AR58" s="22">
        <f t="shared" si="58"/>
        <v>0</v>
      </c>
      <c r="AS58" s="22">
        <f t="shared" si="58"/>
        <v>0</v>
      </c>
      <c r="AT58" s="22">
        <f t="shared" si="58"/>
        <v>0</v>
      </c>
      <c r="AU58" s="22">
        <f t="shared" si="58"/>
        <v>0</v>
      </c>
    </row>
    <row r="59" spans="1:47" ht="15.5" x14ac:dyDescent="0.35">
      <c r="A59" s="173" t="str">
        <f t="shared" si="59"/>
        <v>MOST_CNST</v>
      </c>
      <c r="B59" s="29">
        <v>1</v>
      </c>
      <c r="C59" s="41" t="s">
        <v>85</v>
      </c>
      <c r="D59" s="29" t="s">
        <v>7</v>
      </c>
      <c r="E59" s="44" t="s">
        <v>21</v>
      </c>
      <c r="F59" s="4" t="s">
        <v>16</v>
      </c>
      <c r="G59" s="22"/>
      <c r="H59" s="22"/>
      <c r="I59" s="22"/>
      <c r="J59" s="22"/>
      <c r="K59" s="22"/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 t="s">
        <v>86</v>
      </c>
      <c r="R59" s="22" t="s">
        <v>86</v>
      </c>
      <c r="S59" s="22" t="str">
        <f t="shared" si="64"/>
        <v>unc</v>
      </c>
      <c r="T59" s="22" t="str">
        <f t="shared" si="64"/>
        <v>unc</v>
      </c>
      <c r="U59" s="22" t="str">
        <f t="shared" si="64"/>
        <v>unc</v>
      </c>
      <c r="V59" s="22" t="str">
        <f t="shared" si="64"/>
        <v>unc</v>
      </c>
      <c r="W59" s="22" t="str">
        <f t="shared" si="64"/>
        <v>unc</v>
      </c>
      <c r="X59" s="22" t="str">
        <f t="shared" si="64"/>
        <v>unc</v>
      </c>
      <c r="Y59" s="22" t="str">
        <f t="shared" si="65"/>
        <v>unc</v>
      </c>
      <c r="Z59" s="22" t="str">
        <f t="shared" si="65"/>
        <v>unc</v>
      </c>
      <c r="AA59" s="22" t="str">
        <f t="shared" si="65"/>
        <v>unc</v>
      </c>
      <c r="AB59" s="22" t="s">
        <v>86</v>
      </c>
      <c r="AC59" s="22" t="str">
        <f t="shared" ref="AC59:AD65" si="68">AB59</f>
        <v>unc</v>
      </c>
      <c r="AD59" s="22" t="str">
        <f t="shared" si="68"/>
        <v>unc</v>
      </c>
      <c r="AE59" s="22" t="str">
        <f t="shared" si="66"/>
        <v>unc</v>
      </c>
      <c r="AF59" s="22" t="str">
        <f t="shared" si="66"/>
        <v>unc</v>
      </c>
      <c r="AG59" s="22">
        <v>0</v>
      </c>
      <c r="AH59" s="22">
        <f t="shared" si="67"/>
        <v>0</v>
      </c>
      <c r="AI59" s="22">
        <f t="shared" si="67"/>
        <v>0</v>
      </c>
      <c r="AJ59" s="22">
        <f t="shared" si="67"/>
        <v>0</v>
      </c>
      <c r="AK59" s="22">
        <f t="shared" si="67"/>
        <v>0</v>
      </c>
      <c r="AL59" s="22">
        <v>0</v>
      </c>
      <c r="AM59" s="22">
        <f t="shared" si="63"/>
        <v>0</v>
      </c>
      <c r="AN59" s="22">
        <f t="shared" si="58"/>
        <v>0</v>
      </c>
      <c r="AO59" s="22">
        <f t="shared" si="58"/>
        <v>0</v>
      </c>
      <c r="AP59" s="22">
        <f t="shared" si="58"/>
        <v>0</v>
      </c>
      <c r="AQ59" s="22">
        <f t="shared" si="58"/>
        <v>0</v>
      </c>
      <c r="AR59" s="22">
        <f t="shared" si="58"/>
        <v>0</v>
      </c>
      <c r="AS59" s="22">
        <f t="shared" si="58"/>
        <v>0</v>
      </c>
      <c r="AT59" s="22">
        <f t="shared" si="58"/>
        <v>0</v>
      </c>
      <c r="AU59" s="22">
        <f t="shared" si="58"/>
        <v>0</v>
      </c>
    </row>
    <row r="60" spans="1:47" ht="15.5" x14ac:dyDescent="0.35">
      <c r="A60" s="173" t="str">
        <f t="shared" si="59"/>
        <v>MOST_CNST</v>
      </c>
      <c r="B60" s="28">
        <v>1</v>
      </c>
      <c r="C60" s="42" t="s">
        <v>85</v>
      </c>
      <c r="D60" s="28" t="s">
        <v>7</v>
      </c>
      <c r="E60" s="43" t="s">
        <v>22</v>
      </c>
      <c r="F60" s="6" t="s">
        <v>16</v>
      </c>
      <c r="G60" s="22"/>
      <c r="H60" s="22"/>
      <c r="I60" s="22"/>
      <c r="J60" s="22"/>
      <c r="K60" s="22"/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 t="s">
        <v>86</v>
      </c>
      <c r="R60" s="22" t="s">
        <v>86</v>
      </c>
      <c r="S60" s="22" t="str">
        <f t="shared" si="64"/>
        <v>unc</v>
      </c>
      <c r="T60" s="22" t="str">
        <f t="shared" si="64"/>
        <v>unc</v>
      </c>
      <c r="U60" s="22" t="str">
        <f t="shared" si="64"/>
        <v>unc</v>
      </c>
      <c r="V60" s="22" t="str">
        <f t="shared" si="64"/>
        <v>unc</v>
      </c>
      <c r="W60" s="22" t="str">
        <f t="shared" si="64"/>
        <v>unc</v>
      </c>
      <c r="X60" s="22" t="str">
        <f t="shared" si="64"/>
        <v>unc</v>
      </c>
      <c r="Y60" s="22" t="str">
        <f t="shared" si="65"/>
        <v>unc</v>
      </c>
      <c r="Z60" s="22" t="str">
        <f t="shared" si="65"/>
        <v>unc</v>
      </c>
      <c r="AA60" s="22" t="str">
        <f t="shared" si="65"/>
        <v>unc</v>
      </c>
      <c r="AB60" s="22" t="str">
        <f t="shared" si="65"/>
        <v>unc</v>
      </c>
      <c r="AC60" s="22" t="str">
        <f t="shared" si="68"/>
        <v>unc</v>
      </c>
      <c r="AD60" s="22" t="str">
        <f t="shared" si="68"/>
        <v>unc</v>
      </c>
      <c r="AE60" s="22" t="str">
        <f t="shared" si="66"/>
        <v>unc</v>
      </c>
      <c r="AF60" s="22" t="str">
        <f t="shared" si="66"/>
        <v>unc</v>
      </c>
      <c r="AG60" s="22" t="str">
        <f t="shared" si="66"/>
        <v>unc</v>
      </c>
      <c r="AH60" s="22" t="str">
        <f t="shared" si="67"/>
        <v>unc</v>
      </c>
      <c r="AI60" s="22" t="str">
        <f t="shared" si="67"/>
        <v>unc</v>
      </c>
      <c r="AJ60" s="22" t="str">
        <f t="shared" si="67"/>
        <v>unc</v>
      </c>
      <c r="AK60" s="22" t="str">
        <f t="shared" si="67"/>
        <v>unc</v>
      </c>
      <c r="AL60" s="22">
        <v>0</v>
      </c>
      <c r="AM60" s="22">
        <f t="shared" si="63"/>
        <v>0</v>
      </c>
      <c r="AN60" s="22">
        <f t="shared" si="58"/>
        <v>0</v>
      </c>
      <c r="AO60" s="22">
        <f t="shared" si="58"/>
        <v>0</v>
      </c>
      <c r="AP60" s="22">
        <f t="shared" si="58"/>
        <v>0</v>
      </c>
      <c r="AQ60" s="22">
        <v>0</v>
      </c>
      <c r="AR60" s="22">
        <f t="shared" si="58"/>
        <v>0</v>
      </c>
      <c r="AS60" s="22">
        <f t="shared" si="58"/>
        <v>0</v>
      </c>
      <c r="AT60" s="22">
        <f t="shared" si="58"/>
        <v>0</v>
      </c>
      <c r="AU60" s="22">
        <f t="shared" si="58"/>
        <v>0</v>
      </c>
    </row>
    <row r="61" spans="1:47" ht="15.5" x14ac:dyDescent="0.35">
      <c r="A61" s="173" t="str">
        <f>A55</f>
        <v>MOST_CNST</v>
      </c>
      <c r="B61" s="29">
        <v>1</v>
      </c>
      <c r="C61" s="41" t="s">
        <v>85</v>
      </c>
      <c r="D61" s="29" t="s">
        <v>7</v>
      </c>
      <c r="E61" s="4" t="s">
        <v>23</v>
      </c>
      <c r="F61" s="4" t="s">
        <v>16</v>
      </c>
      <c r="G61" s="22"/>
      <c r="H61" s="22"/>
      <c r="I61" s="22"/>
      <c r="J61" s="22"/>
      <c r="K61" s="22"/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 t="s">
        <v>86</v>
      </c>
      <c r="R61" s="22" t="s">
        <v>86</v>
      </c>
      <c r="S61" s="22" t="str">
        <f t="shared" ref="S61" si="69">R61</f>
        <v>unc</v>
      </c>
      <c r="T61" s="22" t="str">
        <f t="shared" ref="T61" si="70">S61</f>
        <v>unc</v>
      </c>
      <c r="U61" s="22" t="str">
        <f t="shared" ref="U61" si="71">T61</f>
        <v>unc</v>
      </c>
      <c r="V61" s="22" t="str">
        <f t="shared" ref="V61" si="72">U61</f>
        <v>unc</v>
      </c>
      <c r="W61" s="22" t="str">
        <f t="shared" ref="W61" si="73">V61</f>
        <v>unc</v>
      </c>
      <c r="X61" s="22" t="str">
        <f t="shared" ref="X61" si="74">W61</f>
        <v>unc</v>
      </c>
      <c r="Y61" s="22" t="str">
        <f t="shared" ref="Y61" si="75">X61</f>
        <v>unc</v>
      </c>
      <c r="Z61" s="22" t="str">
        <f t="shared" ref="Z61" si="76">Y61</f>
        <v>unc</v>
      </c>
      <c r="AA61" s="22" t="str">
        <f t="shared" ref="AA61" si="77">Z61</f>
        <v>unc</v>
      </c>
      <c r="AB61" s="22" t="str">
        <f t="shared" ref="AB61" si="78">AA61</f>
        <v>unc</v>
      </c>
      <c r="AC61" s="22" t="str">
        <f t="shared" ref="AC61" si="79">AB61</f>
        <v>unc</v>
      </c>
      <c r="AD61" s="22" t="str">
        <f t="shared" ref="AD61" si="80">AC61</f>
        <v>unc</v>
      </c>
      <c r="AE61" s="22" t="str">
        <f t="shared" ref="AE61" si="81">AD61</f>
        <v>unc</v>
      </c>
      <c r="AF61" s="22" t="str">
        <f t="shared" ref="AF61" si="82">AE61</f>
        <v>unc</v>
      </c>
      <c r="AG61" s="22" t="str">
        <f t="shared" ref="AG61" si="83">AF61</f>
        <v>unc</v>
      </c>
      <c r="AH61" s="22" t="str">
        <f t="shared" ref="AH61" si="84">AG61</f>
        <v>unc</v>
      </c>
      <c r="AI61" s="22" t="str">
        <f t="shared" ref="AI61" si="85">AH61</f>
        <v>unc</v>
      </c>
      <c r="AJ61" s="22" t="str">
        <f t="shared" ref="AJ61" si="86">AI61</f>
        <v>unc</v>
      </c>
      <c r="AK61" s="22" t="str">
        <f t="shared" ref="AK61" si="87">AJ61</f>
        <v>unc</v>
      </c>
      <c r="AL61" s="22" t="str">
        <f t="shared" ref="AL61" si="88">AK61</f>
        <v>unc</v>
      </c>
      <c r="AM61" s="22" t="str">
        <f t="shared" ref="AM61" si="89">AL61</f>
        <v>unc</v>
      </c>
      <c r="AN61" s="22" t="str">
        <f t="shared" ref="AN61" si="90">AM61</f>
        <v>unc</v>
      </c>
      <c r="AO61" s="22" t="str">
        <f t="shared" ref="AO61" si="91">AN61</f>
        <v>unc</v>
      </c>
      <c r="AP61" s="22" t="str">
        <f t="shared" ref="AP61" si="92">AO61</f>
        <v>unc</v>
      </c>
      <c r="AQ61" s="22" t="str">
        <f t="shared" ref="AQ61" si="93">AP61</f>
        <v>unc</v>
      </c>
      <c r="AR61" s="22" t="str">
        <f t="shared" ref="AR61" si="94">AQ61</f>
        <v>unc</v>
      </c>
      <c r="AS61" s="22" t="str">
        <f t="shared" ref="AS61" si="95">AR61</f>
        <v>unc</v>
      </c>
      <c r="AT61" s="22" t="str">
        <f t="shared" ref="AT61" si="96">AS61</f>
        <v>unc</v>
      </c>
      <c r="AU61" s="22" t="str">
        <f t="shared" ref="AU61" si="97">AT61</f>
        <v>unc</v>
      </c>
    </row>
    <row r="62" spans="1:47" ht="15.5" x14ac:dyDescent="0.35">
      <c r="A62" s="182" t="str">
        <f>A56</f>
        <v>MOST_CNST</v>
      </c>
      <c r="B62" s="33">
        <v>1</v>
      </c>
      <c r="C62" s="45" t="s">
        <v>85</v>
      </c>
      <c r="D62" s="33" t="s">
        <v>7</v>
      </c>
      <c r="E62" s="34" t="s">
        <v>117</v>
      </c>
      <c r="F62" s="34" t="s">
        <v>16</v>
      </c>
      <c r="G62" s="27"/>
      <c r="H62" s="27"/>
      <c r="I62" s="27"/>
      <c r="J62" s="27"/>
      <c r="K62" s="27"/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0</v>
      </c>
      <c r="AO62" s="27">
        <v>0</v>
      </c>
      <c r="AP62" s="27">
        <v>0</v>
      </c>
      <c r="AQ62" s="27">
        <v>0</v>
      </c>
      <c r="AR62" s="27">
        <v>0</v>
      </c>
      <c r="AS62" s="27">
        <v>0</v>
      </c>
      <c r="AT62" s="27">
        <v>0</v>
      </c>
      <c r="AU62" s="27">
        <v>0</v>
      </c>
    </row>
    <row r="63" spans="1:47" ht="15.5" x14ac:dyDescent="0.35">
      <c r="A63" s="173" t="str">
        <f>A58</f>
        <v>MOST_CNST</v>
      </c>
      <c r="B63" s="28">
        <v>1</v>
      </c>
      <c r="C63" s="42" t="s">
        <v>85</v>
      </c>
      <c r="D63" s="28" t="s">
        <v>7</v>
      </c>
      <c r="E63" s="46" t="s">
        <v>25</v>
      </c>
      <c r="F63" s="6" t="s">
        <v>16</v>
      </c>
      <c r="G63" s="22"/>
      <c r="H63" s="22"/>
      <c r="I63" s="22"/>
      <c r="J63" s="22"/>
      <c r="K63" s="22"/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f t="shared" ref="Q63:R64" si="98">P63</f>
        <v>0</v>
      </c>
      <c r="R63" s="22">
        <f t="shared" si="98"/>
        <v>0</v>
      </c>
      <c r="S63" s="22">
        <f t="shared" si="64"/>
        <v>0</v>
      </c>
      <c r="T63" s="22">
        <f t="shared" si="64"/>
        <v>0</v>
      </c>
      <c r="U63" s="22">
        <f>T63</f>
        <v>0</v>
      </c>
      <c r="V63" s="22" t="s">
        <v>86</v>
      </c>
      <c r="W63" s="22" t="str">
        <f t="shared" si="64"/>
        <v>unc</v>
      </c>
      <c r="X63" s="22" t="str">
        <f t="shared" si="64"/>
        <v>unc</v>
      </c>
      <c r="Y63" s="22" t="str">
        <f t="shared" si="65"/>
        <v>unc</v>
      </c>
      <c r="Z63" s="22" t="str">
        <f t="shared" si="65"/>
        <v>unc</v>
      </c>
      <c r="AA63" s="22" t="str">
        <f t="shared" si="65"/>
        <v>unc</v>
      </c>
      <c r="AB63" s="22" t="str">
        <f t="shared" si="65"/>
        <v>unc</v>
      </c>
      <c r="AC63" s="22" t="str">
        <f t="shared" si="68"/>
        <v>unc</v>
      </c>
      <c r="AD63" s="22" t="str">
        <f t="shared" si="68"/>
        <v>unc</v>
      </c>
      <c r="AE63" s="22" t="str">
        <f t="shared" si="66"/>
        <v>unc</v>
      </c>
      <c r="AF63" s="22" t="str">
        <f t="shared" si="66"/>
        <v>unc</v>
      </c>
      <c r="AG63" s="22" t="str">
        <f t="shared" si="66"/>
        <v>unc</v>
      </c>
      <c r="AH63" s="22" t="str">
        <f t="shared" si="67"/>
        <v>unc</v>
      </c>
      <c r="AI63" s="22" t="str">
        <f t="shared" si="67"/>
        <v>unc</v>
      </c>
      <c r="AJ63" s="22" t="str">
        <f t="shared" si="67"/>
        <v>unc</v>
      </c>
      <c r="AK63" s="22" t="str">
        <f t="shared" si="67"/>
        <v>unc</v>
      </c>
      <c r="AL63" s="22" t="str">
        <f t="shared" si="67"/>
        <v>unc</v>
      </c>
      <c r="AM63" s="22" t="str">
        <f t="shared" si="63"/>
        <v>unc</v>
      </c>
      <c r="AN63" s="22" t="str">
        <f t="shared" si="58"/>
        <v>unc</v>
      </c>
      <c r="AO63" s="22" t="str">
        <f t="shared" si="58"/>
        <v>unc</v>
      </c>
      <c r="AP63" s="22" t="str">
        <f t="shared" si="58"/>
        <v>unc</v>
      </c>
      <c r="AQ63" s="22" t="str">
        <f t="shared" si="58"/>
        <v>unc</v>
      </c>
      <c r="AR63" s="22" t="str">
        <f t="shared" si="58"/>
        <v>unc</v>
      </c>
      <c r="AS63" s="22" t="str">
        <f t="shared" si="58"/>
        <v>unc</v>
      </c>
      <c r="AT63" s="22" t="str">
        <f t="shared" si="58"/>
        <v>unc</v>
      </c>
      <c r="AU63" s="22" t="str">
        <f t="shared" si="58"/>
        <v>unc</v>
      </c>
    </row>
    <row r="64" spans="1:47" ht="15.5" x14ac:dyDescent="0.35">
      <c r="A64" s="173" t="str">
        <f>A63</f>
        <v>MOST_CNST</v>
      </c>
      <c r="B64" s="28">
        <v>1</v>
      </c>
      <c r="C64" s="42" t="s">
        <v>85</v>
      </c>
      <c r="D64" s="33" t="s">
        <v>7</v>
      </c>
      <c r="E64" s="47" t="s">
        <v>26</v>
      </c>
      <c r="F64" s="6" t="s">
        <v>16</v>
      </c>
      <c r="G64" s="22"/>
      <c r="H64" s="22"/>
      <c r="I64" s="22"/>
      <c r="J64" s="22"/>
      <c r="K64" s="22"/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f t="shared" si="98"/>
        <v>0</v>
      </c>
      <c r="R64" s="22">
        <f t="shared" si="98"/>
        <v>0</v>
      </c>
      <c r="S64" s="22">
        <f t="shared" si="64"/>
        <v>0</v>
      </c>
      <c r="T64" s="22">
        <f t="shared" si="64"/>
        <v>0</v>
      </c>
      <c r="U64" s="22">
        <f t="shared" si="64"/>
        <v>0</v>
      </c>
      <c r="V64" s="22" t="s">
        <v>86</v>
      </c>
      <c r="W64" s="22" t="str">
        <f t="shared" si="64"/>
        <v>unc</v>
      </c>
      <c r="X64" s="22" t="str">
        <f t="shared" si="64"/>
        <v>unc</v>
      </c>
      <c r="Y64" s="22" t="str">
        <f t="shared" si="65"/>
        <v>unc</v>
      </c>
      <c r="Z64" s="22" t="str">
        <f t="shared" si="65"/>
        <v>unc</v>
      </c>
      <c r="AA64" s="22" t="str">
        <f t="shared" si="65"/>
        <v>unc</v>
      </c>
      <c r="AB64" s="22" t="str">
        <f t="shared" si="65"/>
        <v>unc</v>
      </c>
      <c r="AC64" s="22" t="str">
        <f t="shared" si="68"/>
        <v>unc</v>
      </c>
      <c r="AD64" s="22" t="str">
        <f t="shared" si="68"/>
        <v>unc</v>
      </c>
      <c r="AE64" s="22" t="str">
        <f t="shared" si="66"/>
        <v>unc</v>
      </c>
      <c r="AF64" s="22" t="str">
        <f t="shared" si="66"/>
        <v>unc</v>
      </c>
      <c r="AG64" s="22" t="str">
        <f t="shared" si="66"/>
        <v>unc</v>
      </c>
      <c r="AH64" s="22" t="str">
        <f t="shared" si="67"/>
        <v>unc</v>
      </c>
      <c r="AI64" s="22" t="str">
        <f t="shared" si="67"/>
        <v>unc</v>
      </c>
      <c r="AJ64" s="22" t="str">
        <f t="shared" si="67"/>
        <v>unc</v>
      </c>
      <c r="AK64" s="22" t="str">
        <f t="shared" si="67"/>
        <v>unc</v>
      </c>
      <c r="AL64" s="22" t="str">
        <f t="shared" si="67"/>
        <v>unc</v>
      </c>
      <c r="AM64" s="22" t="str">
        <f t="shared" si="63"/>
        <v>unc</v>
      </c>
      <c r="AN64" s="22" t="str">
        <f t="shared" si="58"/>
        <v>unc</v>
      </c>
      <c r="AO64" s="22" t="str">
        <f t="shared" si="58"/>
        <v>unc</v>
      </c>
      <c r="AP64" s="22" t="str">
        <f t="shared" si="58"/>
        <v>unc</v>
      </c>
      <c r="AQ64" s="22" t="str">
        <f t="shared" si="58"/>
        <v>unc</v>
      </c>
      <c r="AR64" s="22" t="str">
        <f t="shared" si="58"/>
        <v>unc</v>
      </c>
      <c r="AS64" s="22" t="str">
        <f t="shared" si="58"/>
        <v>unc</v>
      </c>
      <c r="AT64" s="22" t="str">
        <f t="shared" si="58"/>
        <v>unc</v>
      </c>
      <c r="AU64" s="22" t="str">
        <f t="shared" si="58"/>
        <v>unc</v>
      </c>
    </row>
    <row r="65" spans="1:47" ht="15.5" x14ac:dyDescent="0.35">
      <c r="A65" s="173" t="str">
        <f>A64</f>
        <v>MOST_CNST</v>
      </c>
      <c r="B65" s="28">
        <v>1</v>
      </c>
      <c r="C65" s="42" t="s">
        <v>85</v>
      </c>
      <c r="D65" s="28" t="s">
        <v>27</v>
      </c>
      <c r="E65" s="46" t="s">
        <v>28</v>
      </c>
      <c r="F65" s="6" t="s">
        <v>29</v>
      </c>
      <c r="G65" s="22"/>
      <c r="H65" s="22"/>
      <c r="I65" s="22"/>
      <c r="J65" s="22"/>
      <c r="K65" s="22"/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f t="shared" ref="Q65" si="99">P65</f>
        <v>0</v>
      </c>
      <c r="R65" s="22">
        <f t="shared" ref="R65" si="100">Q65</f>
        <v>0</v>
      </c>
      <c r="S65" s="22">
        <f t="shared" ref="S65" si="101">R65</f>
        <v>0</v>
      </c>
      <c r="T65" s="22">
        <f t="shared" ref="T65" si="102">S65</f>
        <v>0</v>
      </c>
      <c r="U65" s="22">
        <f t="shared" ref="U65" si="103">T65</f>
        <v>0</v>
      </c>
      <c r="V65" s="22" t="s">
        <v>86</v>
      </c>
      <c r="W65" s="22" t="str">
        <f t="shared" si="64"/>
        <v>unc</v>
      </c>
      <c r="X65" s="22" t="str">
        <f t="shared" si="64"/>
        <v>unc</v>
      </c>
      <c r="Y65" s="22" t="str">
        <f t="shared" si="65"/>
        <v>unc</v>
      </c>
      <c r="Z65" s="22" t="str">
        <f t="shared" si="65"/>
        <v>unc</v>
      </c>
      <c r="AA65" s="22" t="str">
        <f t="shared" si="65"/>
        <v>unc</v>
      </c>
      <c r="AB65" s="22" t="str">
        <f t="shared" si="65"/>
        <v>unc</v>
      </c>
      <c r="AC65" s="22" t="str">
        <f t="shared" si="68"/>
        <v>unc</v>
      </c>
      <c r="AD65" s="22" t="str">
        <f t="shared" si="68"/>
        <v>unc</v>
      </c>
      <c r="AE65" s="22" t="str">
        <f t="shared" si="66"/>
        <v>unc</v>
      </c>
      <c r="AF65" s="22" t="str">
        <f t="shared" si="66"/>
        <v>unc</v>
      </c>
      <c r="AG65" s="22" t="str">
        <f t="shared" si="66"/>
        <v>unc</v>
      </c>
      <c r="AH65" s="22" t="str">
        <f t="shared" si="67"/>
        <v>unc</v>
      </c>
      <c r="AI65" s="22" t="str">
        <f t="shared" si="67"/>
        <v>unc</v>
      </c>
      <c r="AJ65" s="22" t="str">
        <f t="shared" si="67"/>
        <v>unc</v>
      </c>
      <c r="AK65" s="22" t="str">
        <f t="shared" si="67"/>
        <v>unc</v>
      </c>
      <c r="AL65" s="22" t="str">
        <f t="shared" si="67"/>
        <v>unc</v>
      </c>
      <c r="AM65" s="22" t="str">
        <f t="shared" si="63"/>
        <v>unc</v>
      </c>
      <c r="AN65" s="22" t="str">
        <f t="shared" si="58"/>
        <v>unc</v>
      </c>
      <c r="AO65" s="22" t="str">
        <f t="shared" si="58"/>
        <v>unc</v>
      </c>
      <c r="AP65" s="22" t="str">
        <f t="shared" si="58"/>
        <v>unc</v>
      </c>
      <c r="AQ65" s="22" t="str">
        <f t="shared" si="58"/>
        <v>unc</v>
      </c>
      <c r="AR65" s="22" t="str">
        <f t="shared" si="58"/>
        <v>unc</v>
      </c>
      <c r="AS65" s="22" t="str">
        <f t="shared" si="58"/>
        <v>unc</v>
      </c>
      <c r="AT65" s="22" t="str">
        <f t="shared" si="58"/>
        <v>unc</v>
      </c>
      <c r="AU65" s="22" t="str">
        <f t="shared" si="58"/>
        <v>unc</v>
      </c>
    </row>
    <row r="66" spans="1:47" ht="15.5" x14ac:dyDescent="0.35">
      <c r="A66" s="173" t="str">
        <f>A65</f>
        <v>MOST_CNST</v>
      </c>
      <c r="B66" s="28">
        <v>1</v>
      </c>
      <c r="C66" s="42" t="s">
        <v>85</v>
      </c>
      <c r="D66" s="28" t="s">
        <v>27</v>
      </c>
      <c r="E66" s="47" t="s">
        <v>30</v>
      </c>
      <c r="F66" s="6" t="s">
        <v>29</v>
      </c>
      <c r="G66" s="22"/>
      <c r="H66" s="22"/>
      <c r="I66" s="22"/>
      <c r="J66" s="22"/>
      <c r="K66" s="22"/>
      <c r="L66" s="22" t="s">
        <v>86</v>
      </c>
      <c r="M66" s="22" t="s">
        <v>86</v>
      </c>
      <c r="N66" s="22" t="s">
        <v>86</v>
      </c>
      <c r="O66" s="22" t="s">
        <v>86</v>
      </c>
      <c r="P66" s="22" t="s">
        <v>86</v>
      </c>
      <c r="Q66" s="22" t="s">
        <v>86</v>
      </c>
      <c r="R66" s="22" t="s">
        <v>86</v>
      </c>
      <c r="S66" s="22" t="s">
        <v>86</v>
      </c>
      <c r="T66" s="22" t="s">
        <v>86</v>
      </c>
      <c r="U66" s="22" t="s">
        <v>86</v>
      </c>
      <c r="V66" s="22" t="s">
        <v>86</v>
      </c>
      <c r="W66" s="22" t="s">
        <v>86</v>
      </c>
      <c r="X66" s="22" t="s">
        <v>86</v>
      </c>
      <c r="Y66" s="22" t="s">
        <v>86</v>
      </c>
      <c r="Z66" s="22" t="s">
        <v>86</v>
      </c>
      <c r="AA66" s="22" t="s">
        <v>86</v>
      </c>
      <c r="AB66" s="22" t="s">
        <v>86</v>
      </c>
      <c r="AC66" s="22" t="s">
        <v>86</v>
      </c>
      <c r="AD66" s="22" t="s">
        <v>86</v>
      </c>
      <c r="AE66" s="22" t="s">
        <v>86</v>
      </c>
      <c r="AF66" s="22" t="s">
        <v>86</v>
      </c>
      <c r="AG66" s="22" t="s">
        <v>86</v>
      </c>
      <c r="AH66" s="22" t="s">
        <v>86</v>
      </c>
      <c r="AI66" s="22" t="s">
        <v>86</v>
      </c>
      <c r="AJ66" s="22" t="s">
        <v>86</v>
      </c>
      <c r="AK66" s="22" t="s">
        <v>86</v>
      </c>
      <c r="AL66" s="22" t="s">
        <v>86</v>
      </c>
      <c r="AM66" s="22" t="s">
        <v>86</v>
      </c>
      <c r="AN66" s="22" t="s">
        <v>86</v>
      </c>
      <c r="AO66" s="22" t="s">
        <v>86</v>
      </c>
      <c r="AP66" s="22" t="s">
        <v>86</v>
      </c>
      <c r="AQ66" s="22" t="s">
        <v>86</v>
      </c>
      <c r="AR66" s="22" t="s">
        <v>86</v>
      </c>
      <c r="AS66" s="22" t="s">
        <v>86</v>
      </c>
      <c r="AT66" s="22" t="s">
        <v>86</v>
      </c>
      <c r="AU66" s="22" t="s">
        <v>86</v>
      </c>
    </row>
    <row r="67" spans="1:47" ht="15.5" x14ac:dyDescent="0.35">
      <c r="A67" s="173" t="str">
        <f>A66</f>
        <v>MOST_CNST</v>
      </c>
      <c r="B67" s="28">
        <v>1</v>
      </c>
      <c r="C67" s="42" t="s">
        <v>85</v>
      </c>
      <c r="D67" s="28" t="s">
        <v>27</v>
      </c>
      <c r="E67" s="46" t="s">
        <v>32</v>
      </c>
      <c r="F67" s="6" t="s">
        <v>29</v>
      </c>
      <c r="G67" s="22"/>
      <c r="H67" s="22"/>
      <c r="I67" s="22"/>
      <c r="J67" s="22"/>
      <c r="K67" s="22"/>
      <c r="L67" s="22" t="s">
        <v>86</v>
      </c>
      <c r="M67" s="22" t="s">
        <v>86</v>
      </c>
      <c r="N67" s="22" t="s">
        <v>86</v>
      </c>
      <c r="O67" s="22" t="s">
        <v>86</v>
      </c>
      <c r="P67" s="22" t="s">
        <v>86</v>
      </c>
      <c r="Q67" s="22" t="s">
        <v>86</v>
      </c>
      <c r="R67" s="22" t="s">
        <v>86</v>
      </c>
      <c r="S67" s="22" t="s">
        <v>86</v>
      </c>
      <c r="T67" s="22" t="s">
        <v>86</v>
      </c>
      <c r="U67" s="22" t="s">
        <v>86</v>
      </c>
      <c r="V67" s="22" t="s">
        <v>86</v>
      </c>
      <c r="W67" s="22" t="s">
        <v>86</v>
      </c>
      <c r="X67" s="22" t="s">
        <v>86</v>
      </c>
      <c r="Y67" s="22" t="s">
        <v>86</v>
      </c>
      <c r="Z67" s="22" t="s">
        <v>86</v>
      </c>
      <c r="AA67" s="22" t="s">
        <v>86</v>
      </c>
      <c r="AB67" s="22" t="s">
        <v>86</v>
      </c>
      <c r="AC67" s="22" t="s">
        <v>86</v>
      </c>
      <c r="AD67" s="22" t="s">
        <v>86</v>
      </c>
      <c r="AE67" s="22" t="s">
        <v>86</v>
      </c>
      <c r="AF67" s="22" t="s">
        <v>86</v>
      </c>
      <c r="AG67" s="22" t="s">
        <v>86</v>
      </c>
      <c r="AH67" s="22" t="s">
        <v>86</v>
      </c>
      <c r="AI67" s="22" t="s">
        <v>86</v>
      </c>
      <c r="AJ67" s="22" t="s">
        <v>86</v>
      </c>
      <c r="AK67" s="22" t="s">
        <v>86</v>
      </c>
      <c r="AL67" s="22" t="s">
        <v>86</v>
      </c>
      <c r="AM67" s="22" t="s">
        <v>86</v>
      </c>
      <c r="AN67" s="22" t="s">
        <v>86</v>
      </c>
      <c r="AO67" s="22" t="s">
        <v>86</v>
      </c>
      <c r="AP67" s="22" t="s">
        <v>86</v>
      </c>
      <c r="AQ67" s="22" t="s">
        <v>86</v>
      </c>
      <c r="AR67" s="22" t="s">
        <v>86</v>
      </c>
      <c r="AS67" s="22" t="s">
        <v>86</v>
      </c>
      <c r="AT67" s="22" t="s">
        <v>86</v>
      </c>
      <c r="AU67" s="22" t="s">
        <v>86</v>
      </c>
    </row>
    <row r="68" spans="1:47" ht="15.5" x14ac:dyDescent="0.35">
      <c r="A68" s="182" t="str">
        <f>A67</f>
        <v>MOST_CNST</v>
      </c>
      <c r="B68" s="49">
        <v>1</v>
      </c>
      <c r="C68" s="50" t="s">
        <v>85</v>
      </c>
      <c r="D68" s="49" t="s">
        <v>27</v>
      </c>
      <c r="E68" s="48" t="s">
        <v>33</v>
      </c>
      <c r="F68" s="16" t="s">
        <v>29</v>
      </c>
      <c r="G68" s="27"/>
      <c r="H68" s="27"/>
      <c r="I68" s="27"/>
      <c r="J68" s="27"/>
      <c r="K68" s="27"/>
      <c r="L68" s="27" t="s">
        <v>86</v>
      </c>
      <c r="M68" s="27" t="s">
        <v>86</v>
      </c>
      <c r="N68" s="27" t="s">
        <v>86</v>
      </c>
      <c r="O68" s="27" t="s">
        <v>86</v>
      </c>
      <c r="P68" s="27" t="s">
        <v>86</v>
      </c>
      <c r="Q68" s="27" t="s">
        <v>86</v>
      </c>
      <c r="R68" s="27" t="s">
        <v>86</v>
      </c>
      <c r="S68" s="27" t="s">
        <v>86</v>
      </c>
      <c r="T68" s="27" t="s">
        <v>86</v>
      </c>
      <c r="U68" s="27" t="s">
        <v>86</v>
      </c>
      <c r="V68" s="27" t="s">
        <v>86</v>
      </c>
      <c r="W68" s="27" t="s">
        <v>86</v>
      </c>
      <c r="X68" s="27" t="s">
        <v>86</v>
      </c>
      <c r="Y68" s="27" t="s">
        <v>86</v>
      </c>
      <c r="Z68" s="27" t="s">
        <v>86</v>
      </c>
      <c r="AA68" s="27" t="s">
        <v>86</v>
      </c>
      <c r="AB68" s="27" t="s">
        <v>86</v>
      </c>
      <c r="AC68" s="27" t="s">
        <v>86</v>
      </c>
      <c r="AD68" s="27" t="s">
        <v>86</v>
      </c>
      <c r="AE68" s="27" t="s">
        <v>86</v>
      </c>
      <c r="AF68" s="27" t="s">
        <v>86</v>
      </c>
      <c r="AG68" s="27" t="s">
        <v>86</v>
      </c>
      <c r="AH68" s="27" t="s">
        <v>86</v>
      </c>
      <c r="AI68" s="27" t="s">
        <v>86</v>
      </c>
      <c r="AJ68" s="27" t="s">
        <v>86</v>
      </c>
      <c r="AK68" s="27" t="s">
        <v>86</v>
      </c>
      <c r="AL68" s="27" t="s">
        <v>86</v>
      </c>
      <c r="AM68" s="27" t="s">
        <v>86</v>
      </c>
      <c r="AN68" s="27" t="s">
        <v>86</v>
      </c>
      <c r="AO68" s="27" t="s">
        <v>86</v>
      </c>
      <c r="AP68" s="27" t="s">
        <v>86</v>
      </c>
      <c r="AQ68" s="27" t="s">
        <v>86</v>
      </c>
      <c r="AR68" s="27" t="s">
        <v>86</v>
      </c>
      <c r="AS68" s="27" t="s">
        <v>86</v>
      </c>
      <c r="AT68" s="27" t="s">
        <v>86</v>
      </c>
      <c r="AU68" s="27" t="s">
        <v>86</v>
      </c>
    </row>
    <row r="69" spans="1:47" ht="15.5" x14ac:dyDescent="0.35">
      <c r="A69" s="56" t="s">
        <v>104</v>
      </c>
      <c r="B69" s="35">
        <v>1</v>
      </c>
      <c r="C69" s="35" t="s">
        <v>85</v>
      </c>
      <c r="D69" s="35" t="s">
        <v>7</v>
      </c>
      <c r="E69" s="7" t="s">
        <v>13</v>
      </c>
      <c r="F69" s="7" t="s">
        <v>9</v>
      </c>
      <c r="G69" s="22"/>
      <c r="H69" s="22"/>
      <c r="I69" s="22"/>
      <c r="J69" s="22"/>
      <c r="K69" s="22"/>
      <c r="L69" s="22">
        <v>0</v>
      </c>
      <c r="M69" s="98">
        <f t="shared" ref="M69:AU69" si="104">L69+M52</f>
        <v>1000</v>
      </c>
      <c r="N69" s="98">
        <f t="shared" si="104"/>
        <v>2000</v>
      </c>
      <c r="O69" s="98">
        <f t="shared" si="104"/>
        <v>3000</v>
      </c>
      <c r="P69" s="98">
        <f t="shared" si="104"/>
        <v>4000</v>
      </c>
      <c r="Q69" s="98">
        <f t="shared" si="104"/>
        <v>5000</v>
      </c>
      <c r="R69" s="98">
        <f t="shared" si="104"/>
        <v>6000</v>
      </c>
      <c r="S69" s="98">
        <f t="shared" si="104"/>
        <v>7000</v>
      </c>
      <c r="T69" s="98">
        <f t="shared" si="104"/>
        <v>8000</v>
      </c>
      <c r="U69" s="98">
        <f t="shared" si="104"/>
        <v>9000</v>
      </c>
      <c r="V69" s="98">
        <f t="shared" si="104"/>
        <v>10000</v>
      </c>
      <c r="W69" s="98">
        <f t="shared" si="104"/>
        <v>11100</v>
      </c>
      <c r="X69" s="98">
        <f t="shared" si="104"/>
        <v>12300</v>
      </c>
      <c r="Y69" s="98">
        <f t="shared" si="104"/>
        <v>13600</v>
      </c>
      <c r="Z69" s="98">
        <f t="shared" si="104"/>
        <v>15000</v>
      </c>
      <c r="AA69" s="98">
        <f t="shared" si="104"/>
        <v>16500</v>
      </c>
      <c r="AB69" s="98">
        <f t="shared" si="104"/>
        <v>18100</v>
      </c>
      <c r="AC69" s="98">
        <f t="shared" si="104"/>
        <v>19800</v>
      </c>
      <c r="AD69" s="98">
        <f t="shared" si="104"/>
        <v>21600</v>
      </c>
      <c r="AE69" s="98">
        <f t="shared" si="104"/>
        <v>23500</v>
      </c>
      <c r="AF69" s="98">
        <f t="shared" si="104"/>
        <v>25500</v>
      </c>
      <c r="AG69" s="98">
        <f t="shared" si="104"/>
        <v>27600</v>
      </c>
      <c r="AH69" s="98">
        <f t="shared" si="104"/>
        <v>29800</v>
      </c>
      <c r="AI69" s="98">
        <f t="shared" si="104"/>
        <v>32100</v>
      </c>
      <c r="AJ69" s="98">
        <f t="shared" si="104"/>
        <v>34500</v>
      </c>
      <c r="AK69" s="98">
        <f t="shared" si="104"/>
        <v>37000</v>
      </c>
      <c r="AL69" s="98">
        <f t="shared" si="104"/>
        <v>39600</v>
      </c>
      <c r="AM69" s="98">
        <f t="shared" si="104"/>
        <v>42300</v>
      </c>
      <c r="AN69" s="98">
        <f t="shared" si="104"/>
        <v>45100</v>
      </c>
      <c r="AO69" s="98">
        <f t="shared" si="104"/>
        <v>48000</v>
      </c>
      <c r="AP69" s="98">
        <f t="shared" si="104"/>
        <v>51000</v>
      </c>
      <c r="AQ69" s="98">
        <f t="shared" si="104"/>
        <v>54100</v>
      </c>
      <c r="AR69" s="98">
        <f t="shared" si="104"/>
        <v>57300</v>
      </c>
      <c r="AS69" s="98">
        <f t="shared" si="104"/>
        <v>60600</v>
      </c>
      <c r="AT69" s="98">
        <f t="shared" si="104"/>
        <v>64000</v>
      </c>
      <c r="AU69" s="98">
        <f t="shared" si="104"/>
        <v>67500</v>
      </c>
    </row>
    <row r="70" spans="1:47" ht="15.5" x14ac:dyDescent="0.35">
      <c r="A70" s="56" t="s">
        <v>105</v>
      </c>
      <c r="B70" s="35">
        <v>1</v>
      </c>
      <c r="C70" s="35" t="s">
        <v>85</v>
      </c>
      <c r="D70" s="35" t="s">
        <v>7</v>
      </c>
      <c r="E70" s="7" t="s">
        <v>13</v>
      </c>
      <c r="F70" s="7" t="s">
        <v>9</v>
      </c>
      <c r="G70" s="22"/>
      <c r="H70" s="22"/>
      <c r="I70" s="22"/>
      <c r="J70" s="22"/>
      <c r="K70" s="22"/>
      <c r="L70" s="22">
        <v>0</v>
      </c>
      <c r="M70" s="98">
        <f t="shared" ref="M70:AU70" si="105">L70+M53</f>
        <v>0</v>
      </c>
      <c r="N70" s="98">
        <f t="shared" si="105"/>
        <v>0</v>
      </c>
      <c r="O70" s="98">
        <f t="shared" si="105"/>
        <v>0</v>
      </c>
      <c r="P70" s="98">
        <f t="shared" si="105"/>
        <v>0</v>
      </c>
      <c r="Q70" s="98">
        <f t="shared" si="105"/>
        <v>500</v>
      </c>
      <c r="R70" s="98">
        <f t="shared" si="105"/>
        <v>1000</v>
      </c>
      <c r="S70" s="98">
        <f t="shared" si="105"/>
        <v>1500</v>
      </c>
      <c r="T70" s="98">
        <f t="shared" si="105"/>
        <v>2000</v>
      </c>
      <c r="U70" s="98">
        <f t="shared" si="105"/>
        <v>2500</v>
      </c>
      <c r="V70" s="98">
        <f t="shared" si="105"/>
        <v>3000</v>
      </c>
      <c r="W70" s="98">
        <f t="shared" si="105"/>
        <v>3500</v>
      </c>
      <c r="X70" s="98">
        <f t="shared" si="105"/>
        <v>4000</v>
      </c>
      <c r="Y70" s="98">
        <f t="shared" si="105"/>
        <v>4500</v>
      </c>
      <c r="Z70" s="98">
        <f t="shared" si="105"/>
        <v>5000</v>
      </c>
      <c r="AA70" s="98">
        <f t="shared" si="105"/>
        <v>5500</v>
      </c>
      <c r="AB70" s="98">
        <f t="shared" si="105"/>
        <v>6000</v>
      </c>
      <c r="AC70" s="98">
        <f t="shared" si="105"/>
        <v>6500</v>
      </c>
      <c r="AD70" s="98">
        <f t="shared" si="105"/>
        <v>7000</v>
      </c>
      <c r="AE70" s="98">
        <f t="shared" si="105"/>
        <v>7500</v>
      </c>
      <c r="AF70" s="98">
        <f t="shared" si="105"/>
        <v>8000</v>
      </c>
      <c r="AG70" s="98">
        <f t="shared" si="105"/>
        <v>8500</v>
      </c>
      <c r="AH70" s="98">
        <f t="shared" si="105"/>
        <v>9000</v>
      </c>
      <c r="AI70" s="98">
        <f t="shared" si="105"/>
        <v>9500</v>
      </c>
      <c r="AJ70" s="98">
        <f t="shared" si="105"/>
        <v>10000</v>
      </c>
      <c r="AK70" s="98">
        <f t="shared" si="105"/>
        <v>10500</v>
      </c>
      <c r="AL70" s="98">
        <f t="shared" si="105"/>
        <v>11000</v>
      </c>
      <c r="AM70" s="98">
        <f t="shared" si="105"/>
        <v>11500</v>
      </c>
      <c r="AN70" s="98">
        <f t="shared" si="105"/>
        <v>12000</v>
      </c>
      <c r="AO70" s="98">
        <f t="shared" si="105"/>
        <v>12500</v>
      </c>
      <c r="AP70" s="98">
        <f t="shared" si="105"/>
        <v>13000</v>
      </c>
      <c r="AQ70" s="98">
        <f t="shared" si="105"/>
        <v>13500</v>
      </c>
      <c r="AR70" s="98">
        <f t="shared" si="105"/>
        <v>14000</v>
      </c>
      <c r="AS70" s="98">
        <f t="shared" si="105"/>
        <v>14500</v>
      </c>
      <c r="AT70" s="98">
        <f t="shared" si="105"/>
        <v>15000</v>
      </c>
      <c r="AU70" s="98">
        <f t="shared" si="105"/>
        <v>15500</v>
      </c>
    </row>
    <row r="71" spans="1:47" ht="15.5" x14ac:dyDescent="0.35">
      <c r="A71" s="56" t="s">
        <v>106</v>
      </c>
      <c r="B71" s="35">
        <v>1</v>
      </c>
      <c r="C71" s="35" t="s">
        <v>85</v>
      </c>
      <c r="D71" s="35" t="s">
        <v>7</v>
      </c>
      <c r="E71" s="7" t="s">
        <v>13</v>
      </c>
      <c r="F71" s="7" t="s">
        <v>9</v>
      </c>
      <c r="G71" s="22"/>
      <c r="H71" s="22"/>
      <c r="I71" s="22"/>
      <c r="J71" s="22"/>
      <c r="K71" s="22"/>
      <c r="L71" s="22">
        <v>0</v>
      </c>
      <c r="M71" s="98">
        <f t="shared" ref="M71:AU71" si="106">M69+M70</f>
        <v>1000</v>
      </c>
      <c r="N71" s="98">
        <f t="shared" si="106"/>
        <v>2000</v>
      </c>
      <c r="O71" s="98">
        <f t="shared" si="106"/>
        <v>3000</v>
      </c>
      <c r="P71" s="98">
        <f t="shared" si="106"/>
        <v>4000</v>
      </c>
      <c r="Q71" s="98">
        <f t="shared" si="106"/>
        <v>5500</v>
      </c>
      <c r="R71" s="98">
        <f t="shared" si="106"/>
        <v>7000</v>
      </c>
      <c r="S71" s="98">
        <f t="shared" si="106"/>
        <v>8500</v>
      </c>
      <c r="T71" s="98">
        <f t="shared" si="106"/>
        <v>10000</v>
      </c>
      <c r="U71" s="98">
        <f t="shared" si="106"/>
        <v>11500</v>
      </c>
      <c r="V71" s="98">
        <f t="shared" si="106"/>
        <v>13000</v>
      </c>
      <c r="W71" s="98">
        <f t="shared" si="106"/>
        <v>14600</v>
      </c>
      <c r="X71" s="98">
        <f t="shared" si="106"/>
        <v>16300</v>
      </c>
      <c r="Y71" s="98">
        <f t="shared" si="106"/>
        <v>18100</v>
      </c>
      <c r="Z71" s="98">
        <f t="shared" si="106"/>
        <v>20000</v>
      </c>
      <c r="AA71" s="98">
        <f t="shared" si="106"/>
        <v>22000</v>
      </c>
      <c r="AB71" s="98">
        <f t="shared" si="106"/>
        <v>24100</v>
      </c>
      <c r="AC71" s="98">
        <f t="shared" si="106"/>
        <v>26300</v>
      </c>
      <c r="AD71" s="98">
        <f t="shared" si="106"/>
        <v>28600</v>
      </c>
      <c r="AE71" s="98">
        <f t="shared" si="106"/>
        <v>31000</v>
      </c>
      <c r="AF71" s="98">
        <f t="shared" si="106"/>
        <v>33500</v>
      </c>
      <c r="AG71" s="98">
        <f t="shared" si="106"/>
        <v>36100</v>
      </c>
      <c r="AH71" s="98">
        <f t="shared" si="106"/>
        <v>38800</v>
      </c>
      <c r="AI71" s="98">
        <f t="shared" si="106"/>
        <v>41600</v>
      </c>
      <c r="AJ71" s="98">
        <f t="shared" si="106"/>
        <v>44500</v>
      </c>
      <c r="AK71" s="98">
        <f t="shared" si="106"/>
        <v>47500</v>
      </c>
      <c r="AL71" s="98">
        <f t="shared" si="106"/>
        <v>50600</v>
      </c>
      <c r="AM71" s="98">
        <f t="shared" si="106"/>
        <v>53800</v>
      </c>
      <c r="AN71" s="98">
        <f t="shared" si="106"/>
        <v>57100</v>
      </c>
      <c r="AO71" s="98">
        <f t="shared" si="106"/>
        <v>60500</v>
      </c>
      <c r="AP71" s="98">
        <f t="shared" si="106"/>
        <v>64000</v>
      </c>
      <c r="AQ71" s="98">
        <f t="shared" si="106"/>
        <v>67600</v>
      </c>
      <c r="AR71" s="98">
        <f t="shared" si="106"/>
        <v>71300</v>
      </c>
      <c r="AS71" s="98">
        <f t="shared" si="106"/>
        <v>75100</v>
      </c>
      <c r="AT71" s="98">
        <f t="shared" si="106"/>
        <v>79000</v>
      </c>
      <c r="AU71" s="98">
        <f t="shared" si="106"/>
        <v>83000</v>
      </c>
    </row>
    <row r="73" spans="1:47" x14ac:dyDescent="0.35">
      <c r="AL73" s="8"/>
      <c r="AM73" s="8"/>
      <c r="AN73" s="8"/>
      <c r="AO73" s="8"/>
      <c r="AP73" s="8"/>
      <c r="AQ73" s="8"/>
      <c r="AR73" s="8"/>
      <c r="AS73" s="8"/>
      <c r="AT73" s="8"/>
      <c r="AU73" s="8"/>
    </row>
    <row r="74" spans="1:47" x14ac:dyDescent="0.35">
      <c r="AL74" s="8"/>
      <c r="AM74" s="8"/>
      <c r="AN74" s="8"/>
      <c r="AO74" s="8"/>
      <c r="AP74" s="8"/>
      <c r="AQ74" s="8"/>
      <c r="AR74" s="8"/>
      <c r="AS74" s="8"/>
      <c r="AT74" s="8"/>
      <c r="AU74" s="8"/>
    </row>
    <row r="75" spans="1:47" x14ac:dyDescent="0.35">
      <c r="AL75" s="8"/>
      <c r="AM75" s="8"/>
      <c r="AN75" s="8"/>
      <c r="AO75" s="8"/>
      <c r="AP75" s="8"/>
      <c r="AQ75" s="8"/>
      <c r="AR75" s="8"/>
      <c r="AS75" s="8"/>
      <c r="AT75" s="8"/>
      <c r="AU75" s="8"/>
    </row>
  </sheetData>
  <autoFilter ref="A1:F71" xr:uid="{00000000-0001-0000-0500-000000000000}"/>
  <conditionalFormatting sqref="G2:AU25">
    <cfRule type="cellIs" dxfId="14" priority="1" operator="equal">
      <formula>0</formula>
    </cfRule>
    <cfRule type="containsText" dxfId="13" priority="2" operator="containsText" text="unc">
      <formula>NOT(ISERROR(SEARCH("unc",G2)))</formula>
    </cfRule>
    <cfRule type="cellIs" dxfId="12" priority="3" operator="greaterThan">
      <formula>0</formula>
    </cfRule>
  </conditionalFormatting>
  <conditionalFormatting sqref="G26:AU71">
    <cfRule type="cellIs" dxfId="11" priority="142" operator="equal">
      <formula>0</formula>
    </cfRule>
    <cfRule type="containsText" dxfId="10" priority="143" operator="containsText" text="unc">
      <formula>NOT(ISERROR(SEARCH("unc",G26)))</formula>
    </cfRule>
    <cfRule type="cellIs" dxfId="9" priority="144" operator="greaterThan">
      <formula>0</formula>
    </cfRule>
  </conditionalFormatting>
  <conditionalFormatting sqref="O52:V52">
    <cfRule type="cellIs" dxfId="8" priority="88" operator="equal">
      <formula>0</formula>
    </cfRule>
    <cfRule type="containsText" dxfId="7" priority="89" operator="containsText" text="unc">
      <formula>NOT(ISERROR(SEARCH("unc",O52)))</formula>
    </cfRule>
    <cfRule type="cellIs" dxfId="6" priority="90" operator="greaterThan">
      <formula>0</formula>
    </cfRule>
  </conditionalFormatting>
  <conditionalFormatting sqref="Q15:AK15">
    <cfRule type="cellIs" dxfId="5" priority="100" operator="equal">
      <formula>0</formula>
    </cfRule>
    <cfRule type="containsText" dxfId="4" priority="101" operator="containsText" text="unc">
      <formula>NOT(ISERROR(SEARCH("unc",Q15)))</formula>
    </cfRule>
    <cfRule type="cellIs" dxfId="3" priority="102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8"/>
  <sheetViews>
    <sheetView zoomScaleNormal="100" workbookViewId="0">
      <selection activeCell="G15" sqref="G15"/>
    </sheetView>
  </sheetViews>
  <sheetFormatPr defaultColWidth="8.6328125" defaultRowHeight="14.5" x14ac:dyDescent="0.35"/>
  <cols>
    <col min="1" max="1" width="23.453125" customWidth="1"/>
    <col min="2" max="2" width="13.6328125" style="8" customWidth="1"/>
    <col min="3" max="3" width="8.453125" style="8" customWidth="1"/>
    <col min="4" max="4" width="11.453125" style="8" bestFit="1" customWidth="1"/>
    <col min="5" max="5" width="11.08984375" style="8" bestFit="1" customWidth="1"/>
    <col min="6" max="6" width="12.453125" style="8" bestFit="1" customWidth="1"/>
    <col min="7" max="37" width="5.453125" style="8" customWidth="1"/>
    <col min="38" max="47" width="5" customWidth="1"/>
  </cols>
  <sheetData>
    <row r="1" spans="1:47" x14ac:dyDescent="0.35">
      <c r="A1" s="2" t="s">
        <v>34</v>
      </c>
      <c r="B1" s="36" t="s">
        <v>83</v>
      </c>
      <c r="C1" s="36" t="s">
        <v>84</v>
      </c>
      <c r="D1" s="10" t="s">
        <v>0</v>
      </c>
      <c r="E1" s="51" t="s">
        <v>1</v>
      </c>
      <c r="F1" s="51" t="s">
        <v>2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3">
        <f t="shared" ref="AL1:AU1" si="0">AK1+1</f>
        <v>2051</v>
      </c>
      <c r="AM1" s="3">
        <f t="shared" si="0"/>
        <v>2052</v>
      </c>
      <c r="AN1" s="3">
        <f t="shared" si="0"/>
        <v>2053</v>
      </c>
      <c r="AO1" s="3">
        <f t="shared" si="0"/>
        <v>2054</v>
      </c>
      <c r="AP1" s="3">
        <f t="shared" si="0"/>
        <v>2055</v>
      </c>
      <c r="AQ1" s="3">
        <f t="shared" si="0"/>
        <v>2056</v>
      </c>
      <c r="AR1" s="3">
        <f t="shared" si="0"/>
        <v>2057</v>
      </c>
      <c r="AS1" s="3">
        <f t="shared" si="0"/>
        <v>2058</v>
      </c>
      <c r="AT1" s="3">
        <f t="shared" si="0"/>
        <v>2059</v>
      </c>
      <c r="AU1" s="3">
        <f t="shared" si="0"/>
        <v>2060</v>
      </c>
    </row>
    <row r="2" spans="1:47" ht="15.5" x14ac:dyDescent="0.35">
      <c r="A2" s="31" t="s">
        <v>90</v>
      </c>
      <c r="B2" s="37">
        <v>1</v>
      </c>
      <c r="C2" s="38" t="s">
        <v>85</v>
      </c>
      <c r="D2" s="52" t="s">
        <v>7</v>
      </c>
      <c r="E2" s="52" t="s">
        <v>10</v>
      </c>
      <c r="F2" s="52" t="s">
        <v>16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f>O2</f>
        <v>0</v>
      </c>
      <c r="Q2" s="32">
        <f>P2</f>
        <v>0</v>
      </c>
      <c r="R2" s="32">
        <v>0</v>
      </c>
      <c r="S2" s="32">
        <v>0</v>
      </c>
      <c r="T2" s="32">
        <v>0</v>
      </c>
      <c r="U2" s="32">
        <v>0</v>
      </c>
      <c r="V2" s="32">
        <v>0</v>
      </c>
      <c r="W2" s="32">
        <v>0</v>
      </c>
      <c r="X2" s="32">
        <v>0</v>
      </c>
      <c r="Y2" s="32">
        <v>0</v>
      </c>
      <c r="Z2" s="32">
        <v>0</v>
      </c>
      <c r="AA2" s="32">
        <f t="shared" ref="AA2:AU2" si="1">Z2</f>
        <v>0</v>
      </c>
      <c r="AB2" s="32">
        <f t="shared" si="1"/>
        <v>0</v>
      </c>
      <c r="AC2" s="32">
        <f t="shared" si="1"/>
        <v>0</v>
      </c>
      <c r="AD2" s="32">
        <f t="shared" si="1"/>
        <v>0</v>
      </c>
      <c r="AE2" s="32">
        <f t="shared" si="1"/>
        <v>0</v>
      </c>
      <c r="AF2" s="32">
        <f t="shared" si="1"/>
        <v>0</v>
      </c>
      <c r="AG2" s="32">
        <f t="shared" si="1"/>
        <v>0</v>
      </c>
      <c r="AH2" s="32">
        <f t="shared" si="1"/>
        <v>0</v>
      </c>
      <c r="AI2" s="32">
        <f t="shared" si="1"/>
        <v>0</v>
      </c>
      <c r="AJ2" s="32">
        <f t="shared" si="1"/>
        <v>0</v>
      </c>
      <c r="AK2" s="32">
        <f t="shared" si="1"/>
        <v>0</v>
      </c>
      <c r="AL2" s="32">
        <f t="shared" si="1"/>
        <v>0</v>
      </c>
      <c r="AM2" s="32">
        <f t="shared" si="1"/>
        <v>0</v>
      </c>
      <c r="AN2" s="32">
        <f t="shared" si="1"/>
        <v>0</v>
      </c>
      <c r="AO2" s="32">
        <f t="shared" si="1"/>
        <v>0</v>
      </c>
      <c r="AP2" s="32">
        <f t="shared" si="1"/>
        <v>0</v>
      </c>
      <c r="AQ2" s="32">
        <f t="shared" si="1"/>
        <v>0</v>
      </c>
      <c r="AR2" s="32">
        <f t="shared" si="1"/>
        <v>0</v>
      </c>
      <c r="AS2" s="32">
        <f t="shared" si="1"/>
        <v>0</v>
      </c>
      <c r="AT2" s="32">
        <f t="shared" si="1"/>
        <v>0</v>
      </c>
      <c r="AU2" s="32">
        <f t="shared" si="1"/>
        <v>0</v>
      </c>
    </row>
    <row r="3" spans="1:47" ht="15.5" x14ac:dyDescent="0.35">
      <c r="A3" s="174" t="s">
        <v>91</v>
      </c>
      <c r="B3" s="37">
        <v>1</v>
      </c>
      <c r="C3" s="38" t="s">
        <v>85</v>
      </c>
      <c r="D3" s="52" t="s">
        <v>7</v>
      </c>
      <c r="E3" s="52" t="s">
        <v>15</v>
      </c>
      <c r="F3" s="52" t="s">
        <v>16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900</v>
      </c>
      <c r="R3" s="32">
        <v>0</v>
      </c>
      <c r="S3" s="32">
        <v>0</v>
      </c>
      <c r="T3" s="32">
        <v>0</v>
      </c>
      <c r="U3" s="32">
        <v>0</v>
      </c>
      <c r="V3" s="32">
        <v>0</v>
      </c>
      <c r="W3" s="32">
        <v>0</v>
      </c>
      <c r="X3" s="32">
        <v>0</v>
      </c>
      <c r="Y3" s="32">
        <v>0</v>
      </c>
      <c r="Z3" s="32">
        <v>0</v>
      </c>
      <c r="AA3" s="32">
        <f t="shared" ref="AA3:AU3" si="2">Z3</f>
        <v>0</v>
      </c>
      <c r="AB3" s="32">
        <f t="shared" si="2"/>
        <v>0</v>
      </c>
      <c r="AC3" s="32">
        <f t="shared" si="2"/>
        <v>0</v>
      </c>
      <c r="AD3" s="32">
        <f t="shared" si="2"/>
        <v>0</v>
      </c>
      <c r="AE3" s="32">
        <f t="shared" si="2"/>
        <v>0</v>
      </c>
      <c r="AF3" s="32">
        <f t="shared" si="2"/>
        <v>0</v>
      </c>
      <c r="AG3" s="32">
        <f t="shared" si="2"/>
        <v>0</v>
      </c>
      <c r="AH3" s="32">
        <f t="shared" si="2"/>
        <v>0</v>
      </c>
      <c r="AI3" s="32">
        <f t="shared" si="2"/>
        <v>0</v>
      </c>
      <c r="AJ3" s="32">
        <f t="shared" si="2"/>
        <v>0</v>
      </c>
      <c r="AK3" s="32">
        <f t="shared" si="2"/>
        <v>0</v>
      </c>
      <c r="AL3" s="32">
        <f t="shared" si="2"/>
        <v>0</v>
      </c>
      <c r="AM3" s="32">
        <f t="shared" si="2"/>
        <v>0</v>
      </c>
      <c r="AN3" s="32">
        <f t="shared" si="2"/>
        <v>0</v>
      </c>
      <c r="AO3" s="32">
        <f t="shared" si="2"/>
        <v>0</v>
      </c>
      <c r="AP3" s="32">
        <f t="shared" si="2"/>
        <v>0</v>
      </c>
      <c r="AQ3" s="32">
        <f t="shared" si="2"/>
        <v>0</v>
      </c>
      <c r="AR3" s="32">
        <f t="shared" si="2"/>
        <v>0</v>
      </c>
      <c r="AS3" s="32">
        <f t="shared" si="2"/>
        <v>0</v>
      </c>
      <c r="AT3" s="32">
        <f t="shared" si="2"/>
        <v>0</v>
      </c>
      <c r="AU3" s="32">
        <f t="shared" si="2"/>
        <v>0</v>
      </c>
    </row>
    <row r="4" spans="1:47" ht="15.5" x14ac:dyDescent="0.35">
      <c r="A4" s="175" t="s">
        <v>91</v>
      </c>
      <c r="B4" s="37">
        <v>1</v>
      </c>
      <c r="C4" s="38" t="s">
        <v>85</v>
      </c>
      <c r="D4" s="52" t="s">
        <v>7</v>
      </c>
      <c r="E4" s="52" t="s">
        <v>17</v>
      </c>
      <c r="F4" s="52" t="s">
        <v>16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2100</v>
      </c>
      <c r="R4" s="32">
        <v>0</v>
      </c>
      <c r="S4" s="32">
        <v>0</v>
      </c>
      <c r="T4" s="32">
        <v>0</v>
      </c>
      <c r="U4" s="32">
        <v>0</v>
      </c>
      <c r="V4" s="32">
        <v>0</v>
      </c>
      <c r="W4" s="32">
        <v>0</v>
      </c>
      <c r="X4" s="32">
        <v>0</v>
      </c>
      <c r="Y4" s="32">
        <v>0</v>
      </c>
      <c r="Z4" s="32">
        <v>0</v>
      </c>
      <c r="AA4" s="32">
        <f t="shared" ref="AA4:AU4" si="3">Z4</f>
        <v>0</v>
      </c>
      <c r="AB4" s="32">
        <f t="shared" si="3"/>
        <v>0</v>
      </c>
      <c r="AC4" s="32">
        <f t="shared" si="3"/>
        <v>0</v>
      </c>
      <c r="AD4" s="32">
        <f t="shared" si="3"/>
        <v>0</v>
      </c>
      <c r="AE4" s="32">
        <f t="shared" si="3"/>
        <v>0</v>
      </c>
      <c r="AF4" s="32">
        <f t="shared" si="3"/>
        <v>0</v>
      </c>
      <c r="AG4" s="32">
        <f t="shared" si="3"/>
        <v>0</v>
      </c>
      <c r="AH4" s="32">
        <f t="shared" si="3"/>
        <v>0</v>
      </c>
      <c r="AI4" s="32">
        <f t="shared" si="3"/>
        <v>0</v>
      </c>
      <c r="AJ4" s="32">
        <f t="shared" si="3"/>
        <v>0</v>
      </c>
      <c r="AK4" s="32">
        <f t="shared" si="3"/>
        <v>0</v>
      </c>
      <c r="AL4" s="32">
        <f t="shared" si="3"/>
        <v>0</v>
      </c>
      <c r="AM4" s="32">
        <f t="shared" si="3"/>
        <v>0</v>
      </c>
      <c r="AN4" s="32">
        <f t="shared" si="3"/>
        <v>0</v>
      </c>
      <c r="AO4" s="32">
        <f t="shared" si="3"/>
        <v>0</v>
      </c>
      <c r="AP4" s="32">
        <f t="shared" si="3"/>
        <v>0</v>
      </c>
      <c r="AQ4" s="32">
        <f t="shared" si="3"/>
        <v>0</v>
      </c>
      <c r="AR4" s="32">
        <f t="shared" si="3"/>
        <v>0</v>
      </c>
      <c r="AS4" s="32">
        <f t="shared" si="3"/>
        <v>0</v>
      </c>
      <c r="AT4" s="32">
        <f t="shared" si="3"/>
        <v>0</v>
      </c>
      <c r="AU4" s="32">
        <f t="shared" si="3"/>
        <v>0</v>
      </c>
    </row>
    <row r="5" spans="1:47" ht="15.5" x14ac:dyDescent="0.35">
      <c r="A5" s="184" t="s">
        <v>92</v>
      </c>
      <c r="B5" s="53">
        <v>1</v>
      </c>
      <c r="C5" s="54" t="s">
        <v>85</v>
      </c>
      <c r="D5" s="55" t="s">
        <v>7</v>
      </c>
      <c r="E5" s="55" t="s">
        <v>15</v>
      </c>
      <c r="F5" s="55" t="s">
        <v>16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900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  <c r="Z5" s="32">
        <v>0</v>
      </c>
      <c r="AA5" s="32">
        <f t="shared" ref="AA5:AU5" si="4">Z5</f>
        <v>0</v>
      </c>
      <c r="AB5" s="32">
        <f t="shared" si="4"/>
        <v>0</v>
      </c>
      <c r="AC5" s="32">
        <f t="shared" si="4"/>
        <v>0</v>
      </c>
      <c r="AD5" s="32">
        <f t="shared" si="4"/>
        <v>0</v>
      </c>
      <c r="AE5" s="32">
        <f t="shared" si="4"/>
        <v>0</v>
      </c>
      <c r="AF5" s="32">
        <f t="shared" si="4"/>
        <v>0</v>
      </c>
      <c r="AG5" s="32">
        <f t="shared" si="4"/>
        <v>0</v>
      </c>
      <c r="AH5" s="32">
        <f t="shared" si="4"/>
        <v>0</v>
      </c>
      <c r="AI5" s="32">
        <f t="shared" si="4"/>
        <v>0</v>
      </c>
      <c r="AJ5" s="32">
        <f t="shared" si="4"/>
        <v>0</v>
      </c>
      <c r="AK5" s="32">
        <f t="shared" si="4"/>
        <v>0</v>
      </c>
      <c r="AL5" s="32">
        <f t="shared" si="4"/>
        <v>0</v>
      </c>
      <c r="AM5" s="32">
        <f t="shared" si="4"/>
        <v>0</v>
      </c>
      <c r="AN5" s="32">
        <f t="shared" si="4"/>
        <v>0</v>
      </c>
      <c r="AO5" s="32">
        <f t="shared" si="4"/>
        <v>0</v>
      </c>
      <c r="AP5" s="32">
        <f t="shared" si="4"/>
        <v>0</v>
      </c>
      <c r="AQ5" s="32">
        <f t="shared" si="4"/>
        <v>0</v>
      </c>
      <c r="AR5" s="32">
        <f t="shared" si="4"/>
        <v>0</v>
      </c>
      <c r="AS5" s="32">
        <f t="shared" si="4"/>
        <v>0</v>
      </c>
      <c r="AT5" s="32">
        <f t="shared" si="4"/>
        <v>0</v>
      </c>
      <c r="AU5" s="32">
        <f t="shared" si="4"/>
        <v>0</v>
      </c>
    </row>
    <row r="6" spans="1:47" ht="15.5" x14ac:dyDescent="0.35">
      <c r="A6" s="185" t="s">
        <v>92</v>
      </c>
      <c r="B6" s="37">
        <v>1</v>
      </c>
      <c r="C6" s="38" t="s">
        <v>85</v>
      </c>
      <c r="D6" s="52" t="s">
        <v>7</v>
      </c>
      <c r="E6" s="52" t="s">
        <v>17</v>
      </c>
      <c r="F6" s="52" t="s">
        <v>16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2100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f t="shared" ref="AA6:AU8" si="5">Z6</f>
        <v>0</v>
      </c>
      <c r="AB6" s="32">
        <f t="shared" si="5"/>
        <v>0</v>
      </c>
      <c r="AC6" s="32">
        <f t="shared" si="5"/>
        <v>0</v>
      </c>
      <c r="AD6" s="32">
        <f t="shared" si="5"/>
        <v>0</v>
      </c>
      <c r="AE6" s="32">
        <f t="shared" si="5"/>
        <v>0</v>
      </c>
      <c r="AF6" s="32">
        <f t="shared" si="5"/>
        <v>0</v>
      </c>
      <c r="AG6" s="32">
        <f t="shared" si="5"/>
        <v>0</v>
      </c>
      <c r="AH6" s="32">
        <f t="shared" si="5"/>
        <v>0</v>
      </c>
      <c r="AI6" s="32">
        <f t="shared" si="5"/>
        <v>0</v>
      </c>
      <c r="AJ6" s="32">
        <f t="shared" si="5"/>
        <v>0</v>
      </c>
      <c r="AK6" s="32">
        <f t="shared" si="5"/>
        <v>0</v>
      </c>
      <c r="AL6" s="32">
        <f t="shared" si="5"/>
        <v>0</v>
      </c>
      <c r="AM6" s="32">
        <f t="shared" si="5"/>
        <v>0</v>
      </c>
      <c r="AN6" s="32">
        <f t="shared" si="5"/>
        <v>0</v>
      </c>
      <c r="AO6" s="32">
        <f t="shared" si="5"/>
        <v>0</v>
      </c>
      <c r="AP6" s="32">
        <f t="shared" si="5"/>
        <v>0</v>
      </c>
      <c r="AQ6" s="32">
        <f t="shared" si="5"/>
        <v>0</v>
      </c>
      <c r="AR6" s="32">
        <f t="shared" si="5"/>
        <v>0</v>
      </c>
      <c r="AS6" s="32">
        <f t="shared" si="5"/>
        <v>0</v>
      </c>
      <c r="AT6" s="32">
        <f t="shared" si="5"/>
        <v>0</v>
      </c>
      <c r="AU6" s="32">
        <f t="shared" si="5"/>
        <v>0</v>
      </c>
    </row>
    <row r="7" spans="1:47" ht="15.5" x14ac:dyDescent="0.35">
      <c r="A7" s="183" t="s">
        <v>107</v>
      </c>
      <c r="B7" s="37">
        <v>1</v>
      </c>
      <c r="C7" s="38" t="s">
        <v>85</v>
      </c>
      <c r="D7" s="52" t="s">
        <v>7</v>
      </c>
      <c r="E7" s="52" t="s">
        <v>15</v>
      </c>
      <c r="F7" s="52" t="s">
        <v>16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22">
        <v>900</v>
      </c>
      <c r="W7" s="32">
        <v>0</v>
      </c>
      <c r="X7" s="32">
        <v>0</v>
      </c>
      <c r="Y7" s="32">
        <v>0</v>
      </c>
      <c r="Z7" s="32">
        <v>0</v>
      </c>
      <c r="AA7" s="32">
        <f t="shared" si="5"/>
        <v>0</v>
      </c>
      <c r="AB7" s="32">
        <f t="shared" si="5"/>
        <v>0</v>
      </c>
      <c r="AC7" s="32">
        <f t="shared" si="5"/>
        <v>0</v>
      </c>
      <c r="AD7" s="32">
        <f t="shared" si="5"/>
        <v>0</v>
      </c>
      <c r="AE7" s="32">
        <f t="shared" si="5"/>
        <v>0</v>
      </c>
      <c r="AF7" s="32">
        <f t="shared" si="5"/>
        <v>0</v>
      </c>
      <c r="AG7" s="32">
        <f t="shared" si="5"/>
        <v>0</v>
      </c>
      <c r="AH7" s="32">
        <f t="shared" si="5"/>
        <v>0</v>
      </c>
      <c r="AI7" s="32">
        <f t="shared" si="5"/>
        <v>0</v>
      </c>
      <c r="AJ7" s="32">
        <f t="shared" si="5"/>
        <v>0</v>
      </c>
      <c r="AK7" s="32">
        <f t="shared" si="5"/>
        <v>0</v>
      </c>
      <c r="AL7" s="32">
        <f t="shared" si="5"/>
        <v>0</v>
      </c>
      <c r="AM7" s="32">
        <f t="shared" si="5"/>
        <v>0</v>
      </c>
      <c r="AN7" s="32">
        <f t="shared" si="5"/>
        <v>0</v>
      </c>
      <c r="AO7" s="32">
        <f t="shared" si="5"/>
        <v>0</v>
      </c>
      <c r="AP7" s="32">
        <f t="shared" si="5"/>
        <v>0</v>
      </c>
      <c r="AQ7" s="32">
        <f t="shared" si="5"/>
        <v>0</v>
      </c>
      <c r="AR7" s="32">
        <f t="shared" si="5"/>
        <v>0</v>
      </c>
      <c r="AS7" s="32">
        <f t="shared" si="5"/>
        <v>0</v>
      </c>
      <c r="AT7" s="32">
        <f t="shared" si="5"/>
        <v>0</v>
      </c>
      <c r="AU7" s="32">
        <f t="shared" si="5"/>
        <v>0</v>
      </c>
    </row>
    <row r="8" spans="1:47" ht="15.5" x14ac:dyDescent="0.35">
      <c r="A8" s="183" t="s">
        <v>107</v>
      </c>
      <c r="B8" s="37">
        <v>1</v>
      </c>
      <c r="C8" s="38" t="s">
        <v>85</v>
      </c>
      <c r="D8" s="52" t="s">
        <v>7</v>
      </c>
      <c r="E8" s="52" t="s">
        <v>17</v>
      </c>
      <c r="F8" s="52" t="s">
        <v>16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32">
        <v>0</v>
      </c>
      <c r="S8" s="32">
        <v>0</v>
      </c>
      <c r="T8" s="32">
        <v>0</v>
      </c>
      <c r="U8" s="32">
        <v>0</v>
      </c>
      <c r="V8" s="27">
        <v>2100</v>
      </c>
      <c r="W8" s="32">
        <v>0</v>
      </c>
      <c r="X8" s="32">
        <v>0</v>
      </c>
      <c r="Y8" s="32">
        <v>0</v>
      </c>
      <c r="Z8" s="32">
        <v>0</v>
      </c>
      <c r="AA8" s="32">
        <f t="shared" si="5"/>
        <v>0</v>
      </c>
      <c r="AB8" s="32">
        <f t="shared" si="5"/>
        <v>0</v>
      </c>
      <c r="AC8" s="32">
        <f t="shared" si="5"/>
        <v>0</v>
      </c>
      <c r="AD8" s="32">
        <f t="shared" si="5"/>
        <v>0</v>
      </c>
      <c r="AE8" s="32">
        <f t="shared" si="5"/>
        <v>0</v>
      </c>
      <c r="AF8" s="32">
        <f t="shared" si="5"/>
        <v>0</v>
      </c>
      <c r="AG8" s="32">
        <f t="shared" si="5"/>
        <v>0</v>
      </c>
      <c r="AH8" s="32">
        <f t="shared" si="5"/>
        <v>0</v>
      </c>
      <c r="AI8" s="32">
        <f t="shared" si="5"/>
        <v>0</v>
      </c>
      <c r="AJ8" s="32">
        <f t="shared" si="5"/>
        <v>0</v>
      </c>
      <c r="AK8" s="32">
        <f t="shared" si="5"/>
        <v>0</v>
      </c>
      <c r="AL8" s="32">
        <f t="shared" si="5"/>
        <v>0</v>
      </c>
      <c r="AM8" s="32">
        <f t="shared" si="5"/>
        <v>0</v>
      </c>
      <c r="AN8" s="32">
        <f t="shared" si="5"/>
        <v>0</v>
      </c>
      <c r="AO8" s="32">
        <f t="shared" si="5"/>
        <v>0</v>
      </c>
      <c r="AP8" s="32">
        <f t="shared" si="5"/>
        <v>0</v>
      </c>
      <c r="AQ8" s="32">
        <f t="shared" si="5"/>
        <v>0</v>
      </c>
      <c r="AR8" s="32">
        <f t="shared" si="5"/>
        <v>0</v>
      </c>
      <c r="AS8" s="32">
        <f t="shared" si="5"/>
        <v>0</v>
      </c>
      <c r="AT8" s="32">
        <f t="shared" si="5"/>
        <v>0</v>
      </c>
      <c r="AU8" s="32">
        <f t="shared" si="5"/>
        <v>0</v>
      </c>
    </row>
  </sheetData>
  <conditionalFormatting sqref="G2:AU8">
    <cfRule type="cellIs" dxfId="2" priority="4" operator="equal">
      <formula>0</formula>
    </cfRule>
    <cfRule type="containsText" dxfId="1" priority="5" operator="containsText" text="unc">
      <formula>NOT(ISERROR(SEARCH("unc",G2)))</formula>
    </cfRule>
    <cfRule type="cellIs" dxfId="0" priority="6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active</vt:lpstr>
      <vt:lpstr>parameter_mapping</vt:lpstr>
      <vt:lpstr>parameters</vt:lpstr>
      <vt:lpstr>max_total_installed</vt:lpstr>
      <vt:lpstr>min_total_installed</vt:lpstr>
      <vt:lpstr>max_annual_installed</vt:lpstr>
      <vt:lpstr>min_annual_installed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Ndivhuwo Segakweng</cp:lastModifiedBy>
  <cp:revision>5</cp:revision>
  <dcterms:created xsi:type="dcterms:W3CDTF">2015-06-05T18:17:20Z</dcterms:created>
  <dcterms:modified xsi:type="dcterms:W3CDTF">2025-11-19T08:17:29Z</dcterms:modified>
  <dc:language>en-GB</dc:language>
</cp:coreProperties>
</file>