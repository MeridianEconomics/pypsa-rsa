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divh_alppvxj\Meridian Dropbox\ME Projects\01 PROJECTS &amp; PROPOSALS\PyPSA scenarios\Learning\NM_move_compass\sub_scenarios\"/>
    </mc:Choice>
  </mc:AlternateContent>
  <xr:revisionPtr revIDLastSave="0" documentId="13_ncr:1_{6CE452A7-5DF1-45DC-BF8D-DB663A4EB93C}" xr6:coauthVersionLast="47" xr6:coauthVersionMax="47" xr10:uidLastSave="{00000000-0000-0000-0000-000000000000}"/>
  <bookViews>
    <workbookView xWindow="19090" yWindow="-110" windowWidth="38620" windowHeight="21100" tabRatio="500" activeTab="4" xr2:uid="{00000000-000D-0000-FFFF-FFFF00000000}"/>
  </bookViews>
  <sheets>
    <sheet name="fixed_generators" sheetId="1" r:id="rId1"/>
    <sheet name="extendable_generators" sheetId="2" r:id="rId2"/>
    <sheet name="green_NH3" sheetId="3" r:id="rId3"/>
    <sheet name="fuel_and_co2tax" sheetId="4" r:id="rId4"/>
    <sheet name="carbon_tax" sheetId="5" r:id="rId5"/>
  </sheets>
  <definedNames>
    <definedName name="_xlnm._FilterDatabase" localSheetId="0" hidden="1">fixed_generators!$A$1:$C$1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88" i="2" l="1"/>
  <c r="AK88" i="2" s="1"/>
  <c r="AS81" i="2"/>
  <c r="AO80" i="2"/>
  <c r="AP80" i="2"/>
  <c r="AQ80" i="2"/>
  <c r="AR80" i="2"/>
  <c r="AS80" i="2"/>
  <c r="AN80" i="2"/>
  <c r="AJ79" i="2"/>
  <c r="AK79" i="2"/>
  <c r="AL79" i="2"/>
  <c r="AM79" i="2"/>
  <c r="AN79" i="2"/>
  <c r="AO79" i="2"/>
  <c r="AP79" i="2"/>
  <c r="AQ79" i="2"/>
  <c r="AR79" i="2"/>
  <c r="AS79" i="2"/>
  <c r="AI79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D78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Y77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J75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Y91" i="2"/>
  <c r="Z91" i="2"/>
  <c r="AA91" i="2"/>
  <c r="AB91" i="2"/>
  <c r="AC91" i="2"/>
  <c r="AD91" i="2"/>
  <c r="AE91" i="2"/>
  <c r="AF91" i="2"/>
  <c r="AG91" i="2"/>
  <c r="AH91" i="2"/>
  <c r="Y90" i="2"/>
  <c r="Z90" i="2"/>
  <c r="AA90" i="2"/>
  <c r="AB90" i="2"/>
  <c r="AC90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J93" i="2"/>
  <c r="J92" i="2"/>
  <c r="J91" i="2"/>
  <c r="J90" i="2"/>
  <c r="J89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Y67" i="2"/>
  <c r="Z67" i="2"/>
  <c r="AA67" i="2"/>
  <c r="AB67" i="2"/>
  <c r="AC67" i="2"/>
  <c r="AD67" i="2"/>
  <c r="AE67" i="2"/>
  <c r="AF67" i="2"/>
  <c r="AG67" i="2"/>
  <c r="AH67" i="2"/>
  <c r="Y66" i="2"/>
  <c r="Z66" i="2"/>
  <c r="AA66" i="2"/>
  <c r="AB66" i="2"/>
  <c r="AC66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J69" i="2"/>
  <c r="J68" i="2"/>
  <c r="J67" i="2"/>
  <c r="J66" i="2"/>
  <c r="J65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J76" i="2"/>
  <c r="AJ81" i="2" s="1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J78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J77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J79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J80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J81" i="2"/>
  <c r="A99" i="2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30" i="1"/>
  <c r="A31" i="1" s="1"/>
  <c r="A32" i="1" s="1"/>
  <c r="A33" i="1" s="1"/>
  <c r="A25" i="1"/>
  <c r="A26" i="1" s="1"/>
  <c r="A27" i="1" s="1"/>
  <c r="A28" i="1" s="1"/>
  <c r="A20" i="1"/>
  <c r="A21" i="1" s="1"/>
  <c r="A23" i="1" s="1"/>
  <c r="A22" i="1" s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J30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J25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J20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J15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J10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J5" i="1"/>
  <c r="A15" i="1"/>
  <c r="A16" i="1" s="1"/>
  <c r="A17" i="1" s="1"/>
  <c r="A18" i="1" s="1"/>
  <c r="A10" i="1"/>
  <c r="A11" i="1" s="1"/>
  <c r="A12" i="1" s="1"/>
  <c r="A13" i="1" s="1"/>
  <c r="O33" i="1"/>
  <c r="N33" i="1"/>
  <c r="M33" i="1"/>
  <c r="L33" i="1"/>
  <c r="K33" i="1"/>
  <c r="J33" i="1"/>
  <c r="O32" i="1"/>
  <c r="N32" i="1"/>
  <c r="M32" i="1"/>
  <c r="L32" i="1"/>
  <c r="K32" i="1"/>
  <c r="J32" i="1"/>
  <c r="O31" i="1"/>
  <c r="N31" i="1"/>
  <c r="M31" i="1"/>
  <c r="L31" i="1"/>
  <c r="K31" i="1"/>
  <c r="J31" i="1"/>
  <c r="P29" i="1"/>
  <c r="Q29" i="1" s="1"/>
  <c r="R29" i="1" s="1"/>
  <c r="O28" i="1"/>
  <c r="N28" i="1"/>
  <c r="M28" i="1"/>
  <c r="L28" i="1"/>
  <c r="K28" i="1"/>
  <c r="J28" i="1"/>
  <c r="O27" i="1"/>
  <c r="N27" i="1"/>
  <c r="M27" i="1"/>
  <c r="L27" i="1"/>
  <c r="K27" i="1"/>
  <c r="J27" i="1"/>
  <c r="O26" i="1"/>
  <c r="N26" i="1"/>
  <c r="M26" i="1"/>
  <c r="L26" i="1"/>
  <c r="K26" i="1"/>
  <c r="J26" i="1"/>
  <c r="P24" i="1"/>
  <c r="O23" i="1"/>
  <c r="N23" i="1"/>
  <c r="M23" i="1"/>
  <c r="L23" i="1"/>
  <c r="K23" i="1"/>
  <c r="J23" i="1"/>
  <c r="O22" i="1"/>
  <c r="N22" i="1"/>
  <c r="M22" i="1"/>
  <c r="L22" i="1"/>
  <c r="K22" i="1"/>
  <c r="J22" i="1"/>
  <c r="O21" i="1"/>
  <c r="N21" i="1"/>
  <c r="M21" i="1"/>
  <c r="L21" i="1"/>
  <c r="K21" i="1"/>
  <c r="J21" i="1"/>
  <c r="P19" i="1"/>
  <c r="AJ3" i="1"/>
  <c r="AK3" i="1" s="1"/>
  <c r="AL3" i="1" s="1"/>
  <c r="AM3" i="1" s="1"/>
  <c r="AN3" i="1" s="1"/>
  <c r="AO3" i="1" s="1"/>
  <c r="AP3" i="1" s="1"/>
  <c r="AQ3" i="1" s="1"/>
  <c r="AR3" i="1" s="1"/>
  <c r="AS3" i="1" s="1"/>
  <c r="A3" i="1"/>
  <c r="P2" i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87" i="2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75" i="2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63" i="2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27" i="2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15" i="2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K76" i="2" l="1"/>
  <c r="AJ80" i="2"/>
  <c r="AK92" i="2"/>
  <c r="AL88" i="2"/>
  <c r="AK93" i="2"/>
  <c r="AK81" i="2"/>
  <c r="AL93" i="2"/>
  <c r="P32" i="1"/>
  <c r="P31" i="1"/>
  <c r="P33" i="1"/>
  <c r="R32" i="1"/>
  <c r="R33" i="1"/>
  <c r="R31" i="1"/>
  <c r="S29" i="1"/>
  <c r="P22" i="1"/>
  <c r="P23" i="1"/>
  <c r="P21" i="1"/>
  <c r="Q19" i="1"/>
  <c r="P26" i="1"/>
  <c r="P28" i="1"/>
  <c r="P27" i="1"/>
  <c r="Q32" i="1"/>
  <c r="Q33" i="1"/>
  <c r="Q31" i="1"/>
  <c r="Q24" i="1"/>
  <c r="AL76" i="2" l="1"/>
  <c r="AK80" i="2"/>
  <c r="AM88" i="2"/>
  <c r="AL92" i="2"/>
  <c r="Q27" i="1"/>
  <c r="Q28" i="1"/>
  <c r="Q26" i="1"/>
  <c r="R24" i="1"/>
  <c r="S32" i="1"/>
  <c r="S33" i="1"/>
  <c r="S31" i="1"/>
  <c r="T29" i="1"/>
  <c r="Q22" i="1"/>
  <c r="Q21" i="1"/>
  <c r="Q23" i="1"/>
  <c r="R19" i="1"/>
  <c r="AM76" i="2" l="1"/>
  <c r="AL81" i="2"/>
  <c r="AL80" i="2"/>
  <c r="AN88" i="2"/>
  <c r="AM93" i="2"/>
  <c r="AM92" i="2"/>
  <c r="R22" i="1"/>
  <c r="R21" i="1"/>
  <c r="R23" i="1"/>
  <c r="S19" i="1"/>
  <c r="R28" i="1"/>
  <c r="R26" i="1"/>
  <c r="R27" i="1"/>
  <c r="S24" i="1"/>
  <c r="T33" i="1"/>
  <c r="T31" i="1"/>
  <c r="T32" i="1"/>
  <c r="U29" i="1"/>
  <c r="AM80" i="2" l="1"/>
  <c r="AN76" i="2"/>
  <c r="AM81" i="2"/>
  <c r="AO88" i="2"/>
  <c r="AN93" i="2"/>
  <c r="S28" i="1"/>
  <c r="S26" i="1"/>
  <c r="S27" i="1"/>
  <c r="T24" i="1"/>
  <c r="S23" i="1"/>
  <c r="T19" i="1"/>
  <c r="S21" i="1"/>
  <c r="S22" i="1"/>
  <c r="U32" i="1"/>
  <c r="U31" i="1"/>
  <c r="V29" i="1"/>
  <c r="U33" i="1"/>
  <c r="O18" i="1"/>
  <c r="N18" i="1"/>
  <c r="M18" i="1"/>
  <c r="L18" i="1"/>
  <c r="K18" i="1"/>
  <c r="J18" i="1"/>
  <c r="O17" i="1"/>
  <c r="N17" i="1"/>
  <c r="M17" i="1"/>
  <c r="L17" i="1"/>
  <c r="K17" i="1"/>
  <c r="J17" i="1"/>
  <c r="O16" i="1"/>
  <c r="N16" i="1"/>
  <c r="M16" i="1"/>
  <c r="L16" i="1"/>
  <c r="K16" i="1"/>
  <c r="J16" i="1"/>
  <c r="O13" i="1"/>
  <c r="N13" i="1"/>
  <c r="M13" i="1"/>
  <c r="L13" i="1"/>
  <c r="K13" i="1"/>
  <c r="J13" i="1"/>
  <c r="O12" i="1"/>
  <c r="N12" i="1"/>
  <c r="M12" i="1"/>
  <c r="L12" i="1"/>
  <c r="K12" i="1"/>
  <c r="J12" i="1"/>
  <c r="O11" i="1"/>
  <c r="N11" i="1"/>
  <c r="M11" i="1"/>
  <c r="L11" i="1"/>
  <c r="K11" i="1"/>
  <c r="J11" i="1"/>
  <c r="K6" i="1"/>
  <c r="L6" i="1"/>
  <c r="M6" i="1"/>
  <c r="N6" i="1"/>
  <c r="O6" i="1"/>
  <c r="K7" i="1"/>
  <c r="L7" i="1"/>
  <c r="M7" i="1"/>
  <c r="N7" i="1"/>
  <c r="O7" i="1"/>
  <c r="K8" i="1"/>
  <c r="L8" i="1"/>
  <c r="M8" i="1"/>
  <c r="N8" i="1"/>
  <c r="O8" i="1"/>
  <c r="J8" i="1"/>
  <c r="J7" i="1"/>
  <c r="J6" i="1"/>
  <c r="P14" i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S17" i="1" s="1"/>
  <c r="P9" i="1"/>
  <c r="P12" i="1" s="1"/>
  <c r="P4" i="1"/>
  <c r="P6" i="1" s="1"/>
  <c r="A5" i="1"/>
  <c r="A6" i="1" s="1"/>
  <c r="AN81" i="2" l="1"/>
  <c r="AO76" i="2"/>
  <c r="AO93" i="2"/>
  <c r="AP88" i="2"/>
  <c r="AH16" i="1"/>
  <c r="AD17" i="1"/>
  <c r="P7" i="1"/>
  <c r="P11" i="1"/>
  <c r="P8" i="1"/>
  <c r="P17" i="1"/>
  <c r="R18" i="1"/>
  <c r="AP16" i="1"/>
  <c r="V17" i="1"/>
  <c r="AL17" i="1"/>
  <c r="AH18" i="1"/>
  <c r="Z18" i="1"/>
  <c r="R16" i="1"/>
  <c r="AP18" i="1"/>
  <c r="P13" i="1"/>
  <c r="T16" i="1"/>
  <c r="Z16" i="1"/>
  <c r="W29" i="1"/>
  <c r="V31" i="1"/>
  <c r="V33" i="1"/>
  <c r="V32" i="1"/>
  <c r="U19" i="1"/>
  <c r="T21" i="1"/>
  <c r="T23" i="1"/>
  <c r="T22" i="1"/>
  <c r="U24" i="1"/>
  <c r="T27" i="1"/>
  <c r="T28" i="1"/>
  <c r="T26" i="1"/>
  <c r="S16" i="1"/>
  <c r="AA16" i="1"/>
  <c r="AI16" i="1"/>
  <c r="AQ16" i="1"/>
  <c r="W17" i="1"/>
  <c r="AE17" i="1"/>
  <c r="AM17" i="1"/>
  <c r="S18" i="1"/>
  <c r="AA18" i="1"/>
  <c r="AI18" i="1"/>
  <c r="AQ18" i="1"/>
  <c r="AB16" i="1"/>
  <c r="AJ16" i="1"/>
  <c r="AR16" i="1"/>
  <c r="X17" i="1"/>
  <c r="AF17" i="1"/>
  <c r="AN17" i="1"/>
  <c r="T18" i="1"/>
  <c r="AB18" i="1"/>
  <c r="AJ18" i="1"/>
  <c r="AR18" i="1"/>
  <c r="U16" i="1"/>
  <c r="AC16" i="1"/>
  <c r="AK16" i="1"/>
  <c r="AS16" i="1"/>
  <c r="Q17" i="1"/>
  <c r="Y17" i="1"/>
  <c r="AG17" i="1"/>
  <c r="AO17" i="1"/>
  <c r="U18" i="1"/>
  <c r="AC18" i="1"/>
  <c r="AK18" i="1"/>
  <c r="AS18" i="1"/>
  <c r="V16" i="1"/>
  <c r="AD16" i="1"/>
  <c r="AL16" i="1"/>
  <c r="R17" i="1"/>
  <c r="Z17" i="1"/>
  <c r="AH17" i="1"/>
  <c r="AP17" i="1"/>
  <c r="V18" i="1"/>
  <c r="AD18" i="1"/>
  <c r="AL18" i="1"/>
  <c r="W16" i="1"/>
  <c r="AE16" i="1"/>
  <c r="AM16" i="1"/>
  <c r="S17" i="1"/>
  <c r="AA17" i="1"/>
  <c r="AI17" i="1"/>
  <c r="AQ17" i="1"/>
  <c r="W18" i="1"/>
  <c r="AE18" i="1"/>
  <c r="AM18" i="1"/>
  <c r="P16" i="1"/>
  <c r="X16" i="1"/>
  <c r="AF16" i="1"/>
  <c r="AN16" i="1"/>
  <c r="T17" i="1"/>
  <c r="AB17" i="1"/>
  <c r="AJ17" i="1"/>
  <c r="AR17" i="1"/>
  <c r="P18" i="1"/>
  <c r="X18" i="1"/>
  <c r="AF18" i="1"/>
  <c r="AN18" i="1"/>
  <c r="Q16" i="1"/>
  <c r="Y16" i="1"/>
  <c r="AG16" i="1"/>
  <c r="AO16" i="1"/>
  <c r="U17" i="1"/>
  <c r="AC17" i="1"/>
  <c r="AK17" i="1"/>
  <c r="Q18" i="1"/>
  <c r="Y18" i="1"/>
  <c r="AG18" i="1"/>
  <c r="AO18" i="1"/>
  <c r="Q9" i="1"/>
  <c r="A8" i="1"/>
  <c r="A7" i="1" s="1"/>
  <c r="Q4" i="1"/>
  <c r="AO81" i="2" l="1"/>
  <c r="AP76" i="2"/>
  <c r="AQ88" i="2"/>
  <c r="AP93" i="2"/>
  <c r="U21" i="1"/>
  <c r="V19" i="1"/>
  <c r="U23" i="1"/>
  <c r="U22" i="1"/>
  <c r="U28" i="1"/>
  <c r="U26" i="1"/>
  <c r="V24" i="1"/>
  <c r="U27" i="1"/>
  <c r="W33" i="1"/>
  <c r="W31" i="1"/>
  <c r="X29" i="1"/>
  <c r="W32" i="1"/>
  <c r="Q8" i="1"/>
  <c r="Q6" i="1"/>
  <c r="Q7" i="1"/>
  <c r="R9" i="1"/>
  <c r="Q12" i="1"/>
  <c r="Q13" i="1"/>
  <c r="Q11" i="1"/>
  <c r="R4" i="1"/>
  <c r="AQ76" i="2" l="1"/>
  <c r="AP81" i="2"/>
  <c r="AR88" i="2"/>
  <c r="AQ93" i="2"/>
  <c r="Y29" i="1"/>
  <c r="X31" i="1"/>
  <c r="X33" i="1"/>
  <c r="X32" i="1"/>
  <c r="W24" i="1"/>
  <c r="V28" i="1"/>
  <c r="V27" i="1"/>
  <c r="V26" i="1"/>
  <c r="W19" i="1"/>
  <c r="V23" i="1"/>
  <c r="V21" i="1"/>
  <c r="V22" i="1"/>
  <c r="S9" i="1"/>
  <c r="R13" i="1"/>
  <c r="R11" i="1"/>
  <c r="R12" i="1"/>
  <c r="R8" i="1"/>
  <c r="R6" i="1"/>
  <c r="R7" i="1"/>
  <c r="S4" i="1"/>
  <c r="AQ81" i="2" l="1"/>
  <c r="AR76" i="2"/>
  <c r="AS88" i="2"/>
  <c r="AR93" i="2"/>
  <c r="X19" i="1"/>
  <c r="W22" i="1"/>
  <c r="W23" i="1"/>
  <c r="W21" i="1"/>
  <c r="W27" i="1"/>
  <c r="W28" i="1"/>
  <c r="W26" i="1"/>
  <c r="X24" i="1"/>
  <c r="Z29" i="1"/>
  <c r="Y33" i="1"/>
  <c r="Y32" i="1"/>
  <c r="Y31" i="1"/>
  <c r="S8" i="1"/>
  <c r="S7" i="1"/>
  <c r="S6" i="1"/>
  <c r="T9" i="1"/>
  <c r="S13" i="1"/>
  <c r="S11" i="1"/>
  <c r="S12" i="1"/>
  <c r="T4" i="1"/>
  <c r="AS76" i="2" l="1"/>
  <c r="AR81" i="2"/>
  <c r="X27" i="1"/>
  <c r="X26" i="1"/>
  <c r="Y24" i="1"/>
  <c r="X28" i="1"/>
  <c r="Z33" i="1"/>
  <c r="Z32" i="1"/>
  <c r="AA29" i="1"/>
  <c r="Z31" i="1"/>
  <c r="X22" i="1"/>
  <c r="X23" i="1"/>
  <c r="X21" i="1"/>
  <c r="Y19" i="1"/>
  <c r="U9" i="1"/>
  <c r="T13" i="1"/>
  <c r="T11" i="1"/>
  <c r="T12" i="1"/>
  <c r="T7" i="1"/>
  <c r="T8" i="1"/>
  <c r="T6" i="1"/>
  <c r="U4" i="1"/>
  <c r="AA32" i="1" l="1"/>
  <c r="AA33" i="1"/>
  <c r="AA31" i="1"/>
  <c r="AB29" i="1"/>
  <c r="Y27" i="1"/>
  <c r="Y28" i="1"/>
  <c r="Y26" i="1"/>
  <c r="Z24" i="1"/>
  <c r="Y23" i="1"/>
  <c r="Y21" i="1"/>
  <c r="Y22" i="1"/>
  <c r="Z19" i="1"/>
  <c r="U7" i="1"/>
  <c r="U8" i="1"/>
  <c r="U6" i="1"/>
  <c r="V9" i="1"/>
  <c r="U13" i="1"/>
  <c r="U11" i="1"/>
  <c r="U12" i="1"/>
  <c r="V4" i="1"/>
  <c r="Z22" i="1" l="1"/>
  <c r="Z21" i="1"/>
  <c r="Z23" i="1"/>
  <c r="AA19" i="1"/>
  <c r="AB31" i="1"/>
  <c r="AB33" i="1"/>
  <c r="AB32" i="1"/>
  <c r="AC29" i="1"/>
  <c r="Z26" i="1"/>
  <c r="Z28" i="1"/>
  <c r="Z27" i="1"/>
  <c r="AA24" i="1"/>
  <c r="W9" i="1"/>
  <c r="V11" i="1"/>
  <c r="V12" i="1"/>
  <c r="V13" i="1"/>
  <c r="V7" i="1"/>
  <c r="V8" i="1"/>
  <c r="V6" i="1"/>
  <c r="W4" i="1"/>
  <c r="AA27" i="1" l="1"/>
  <c r="AA28" i="1"/>
  <c r="AA26" i="1"/>
  <c r="AB24" i="1"/>
  <c r="AC33" i="1"/>
  <c r="AC32" i="1"/>
  <c r="AC31" i="1"/>
  <c r="AD29" i="1"/>
  <c r="AA23" i="1"/>
  <c r="AA22" i="1"/>
  <c r="AA21" i="1"/>
  <c r="AB19" i="1"/>
  <c r="X9" i="1"/>
  <c r="W12" i="1"/>
  <c r="W13" i="1"/>
  <c r="W11" i="1"/>
  <c r="W6" i="1"/>
  <c r="W7" i="1"/>
  <c r="W8" i="1"/>
  <c r="X4" i="1"/>
  <c r="AC19" i="1" l="1"/>
  <c r="AB23" i="1"/>
  <c r="AB22" i="1"/>
  <c r="AB21" i="1"/>
  <c r="AE29" i="1"/>
  <c r="AD32" i="1"/>
  <c r="AD31" i="1"/>
  <c r="AD33" i="1"/>
  <c r="AC24" i="1"/>
  <c r="AB28" i="1"/>
  <c r="AB26" i="1"/>
  <c r="AB27" i="1"/>
  <c r="X6" i="1"/>
  <c r="X7" i="1"/>
  <c r="X8" i="1"/>
  <c r="Y9" i="1"/>
  <c r="X12" i="1"/>
  <c r="X13" i="1"/>
  <c r="X11" i="1"/>
  <c r="Y4" i="1"/>
  <c r="AC28" i="1" l="1"/>
  <c r="AC26" i="1"/>
  <c r="AC27" i="1"/>
  <c r="AD24" i="1"/>
  <c r="AE33" i="1"/>
  <c r="AE31" i="1"/>
  <c r="AF29" i="1"/>
  <c r="AE32" i="1"/>
  <c r="AC21" i="1"/>
  <c r="AD19" i="1"/>
  <c r="AC22" i="1"/>
  <c r="AC23" i="1"/>
  <c r="Z9" i="1"/>
  <c r="Y12" i="1"/>
  <c r="Y13" i="1"/>
  <c r="Y11" i="1"/>
  <c r="Y8" i="1"/>
  <c r="Y6" i="1"/>
  <c r="Y7" i="1"/>
  <c r="Z4" i="1"/>
  <c r="AE24" i="1" l="1"/>
  <c r="AD28" i="1"/>
  <c r="AD26" i="1"/>
  <c r="AD27" i="1"/>
  <c r="AE19" i="1"/>
  <c r="AD22" i="1"/>
  <c r="AD21" i="1"/>
  <c r="AD23" i="1"/>
  <c r="AG29" i="1"/>
  <c r="AF33" i="1"/>
  <c r="AF32" i="1"/>
  <c r="AF31" i="1"/>
  <c r="AA9" i="1"/>
  <c r="Z12" i="1"/>
  <c r="Z13" i="1"/>
  <c r="Z11" i="1"/>
  <c r="Z8" i="1"/>
  <c r="Z6" i="1"/>
  <c r="Z7" i="1"/>
  <c r="AA4" i="1"/>
  <c r="AF19" i="1" l="1"/>
  <c r="AE23" i="1"/>
  <c r="AE22" i="1"/>
  <c r="AE21" i="1"/>
  <c r="AH29" i="1"/>
  <c r="AG33" i="1"/>
  <c r="AG32" i="1"/>
  <c r="AG31" i="1"/>
  <c r="AF24" i="1"/>
  <c r="AE26" i="1"/>
  <c r="AE28" i="1"/>
  <c r="AE27" i="1"/>
  <c r="AA8" i="1"/>
  <c r="AA6" i="1"/>
  <c r="AA7" i="1"/>
  <c r="AB9" i="1"/>
  <c r="AA13" i="1"/>
  <c r="AA11" i="1"/>
  <c r="AA12" i="1"/>
  <c r="AB4" i="1"/>
  <c r="AI29" i="1" l="1"/>
  <c r="AH33" i="1"/>
  <c r="AH32" i="1"/>
  <c r="AH31" i="1"/>
  <c r="AG24" i="1"/>
  <c r="AF26" i="1"/>
  <c r="AF28" i="1"/>
  <c r="AF27" i="1"/>
  <c r="AF22" i="1"/>
  <c r="AG19" i="1"/>
  <c r="AF23" i="1"/>
  <c r="AF21" i="1"/>
  <c r="AC9" i="1"/>
  <c r="AB13" i="1"/>
  <c r="AB11" i="1"/>
  <c r="AB12" i="1"/>
  <c r="AB7" i="1"/>
  <c r="AB8" i="1"/>
  <c r="AB6" i="1"/>
  <c r="AC4" i="1"/>
  <c r="AG23" i="1" l="1"/>
  <c r="AG22" i="1"/>
  <c r="AG21" i="1"/>
  <c r="AH19" i="1"/>
  <c r="AG27" i="1"/>
  <c r="AG26" i="1"/>
  <c r="AG28" i="1"/>
  <c r="AH24" i="1"/>
  <c r="AI32" i="1"/>
  <c r="AI33" i="1"/>
  <c r="AI31" i="1"/>
  <c r="AJ29" i="1"/>
  <c r="AC7" i="1"/>
  <c r="AC8" i="1"/>
  <c r="AC6" i="1"/>
  <c r="AD9" i="1"/>
  <c r="AC13" i="1"/>
  <c r="AC11" i="1"/>
  <c r="AC12" i="1"/>
  <c r="AD4" i="1"/>
  <c r="AJ33" i="1" l="1"/>
  <c r="AJ32" i="1"/>
  <c r="AJ31" i="1"/>
  <c r="AK29" i="1"/>
  <c r="AH26" i="1"/>
  <c r="AH28" i="1"/>
  <c r="AH27" i="1"/>
  <c r="AI24" i="1"/>
  <c r="AH23" i="1"/>
  <c r="AH22" i="1"/>
  <c r="AH21" i="1"/>
  <c r="AI19" i="1"/>
  <c r="AE9" i="1"/>
  <c r="AD13" i="1"/>
  <c r="AD12" i="1"/>
  <c r="AD11" i="1"/>
  <c r="AD7" i="1"/>
  <c r="AD8" i="1"/>
  <c r="AD6" i="1"/>
  <c r="AE4" i="1"/>
  <c r="AI28" i="1" l="1"/>
  <c r="AI27" i="1"/>
  <c r="AI26" i="1"/>
  <c r="AJ24" i="1"/>
  <c r="AI23" i="1"/>
  <c r="AI22" i="1"/>
  <c r="AI21" i="1"/>
  <c r="AJ19" i="1"/>
  <c r="AK33" i="1"/>
  <c r="AK32" i="1"/>
  <c r="AK31" i="1"/>
  <c r="AL29" i="1"/>
  <c r="AE6" i="1"/>
  <c r="AE7" i="1"/>
  <c r="AE8" i="1"/>
  <c r="AF9" i="1"/>
  <c r="AE12" i="1"/>
  <c r="AE13" i="1"/>
  <c r="AE11" i="1"/>
  <c r="AF4" i="1"/>
  <c r="AJ22" i="1" l="1"/>
  <c r="AJ21" i="1"/>
  <c r="AK19" i="1"/>
  <c r="AJ23" i="1"/>
  <c r="AM29" i="1"/>
  <c r="AL33" i="1"/>
  <c r="AL32" i="1"/>
  <c r="AL31" i="1"/>
  <c r="AK24" i="1"/>
  <c r="AJ28" i="1"/>
  <c r="AJ26" i="1"/>
  <c r="AJ27" i="1"/>
  <c r="AG9" i="1"/>
  <c r="AF12" i="1"/>
  <c r="AF13" i="1"/>
  <c r="AF11" i="1"/>
  <c r="AF6" i="1"/>
  <c r="AF8" i="1"/>
  <c r="AF7" i="1"/>
  <c r="AG4" i="1"/>
  <c r="AM33" i="1" l="1"/>
  <c r="AM31" i="1"/>
  <c r="AM32" i="1"/>
  <c r="AN29" i="1"/>
  <c r="AK21" i="1"/>
  <c r="AL19" i="1"/>
  <c r="AK23" i="1"/>
  <c r="AK22" i="1"/>
  <c r="AK28" i="1"/>
  <c r="AK26" i="1"/>
  <c r="AK27" i="1"/>
  <c r="AL24" i="1"/>
  <c r="AG8" i="1"/>
  <c r="AG6" i="1"/>
  <c r="AG7" i="1"/>
  <c r="AH9" i="1"/>
  <c r="AG12" i="1"/>
  <c r="AG13" i="1"/>
  <c r="AG11" i="1"/>
  <c r="AH4" i="1"/>
  <c r="AL28" i="1" l="1"/>
  <c r="AL27" i="1"/>
  <c r="AL26" i="1"/>
  <c r="AM24" i="1"/>
  <c r="AN31" i="1"/>
  <c r="AO29" i="1"/>
  <c r="AN33" i="1"/>
  <c r="AN32" i="1"/>
  <c r="AM19" i="1"/>
  <c r="AL21" i="1"/>
  <c r="AL23" i="1"/>
  <c r="AL22" i="1"/>
  <c r="AI9" i="1"/>
  <c r="AH12" i="1"/>
  <c r="AH13" i="1"/>
  <c r="AH11" i="1"/>
  <c r="AH8" i="1"/>
  <c r="AH6" i="1"/>
  <c r="AH7" i="1"/>
  <c r="AI4" i="1"/>
  <c r="AP29" i="1" l="1"/>
  <c r="AO31" i="1"/>
  <c r="AO33" i="1"/>
  <c r="AO32" i="1"/>
  <c r="AN19" i="1"/>
  <c r="AM21" i="1"/>
  <c r="AM23" i="1"/>
  <c r="AM22" i="1"/>
  <c r="AN24" i="1"/>
  <c r="AM28" i="1"/>
  <c r="AM27" i="1"/>
  <c r="AM26" i="1"/>
  <c r="AI8" i="1"/>
  <c r="AI6" i="1"/>
  <c r="AI7" i="1"/>
  <c r="AJ9" i="1"/>
  <c r="AI13" i="1"/>
  <c r="AI11" i="1"/>
  <c r="AI12" i="1"/>
  <c r="AJ4" i="1"/>
  <c r="AN22" i="1" l="1"/>
  <c r="AO19" i="1"/>
  <c r="AN23" i="1"/>
  <c r="AN21" i="1"/>
  <c r="AO24" i="1"/>
  <c r="AN28" i="1"/>
  <c r="AN27" i="1"/>
  <c r="AN26" i="1"/>
  <c r="AQ29" i="1"/>
  <c r="AP31" i="1"/>
  <c r="AP33" i="1"/>
  <c r="AP32" i="1"/>
  <c r="AJ7" i="1"/>
  <c r="AJ8" i="1"/>
  <c r="AJ6" i="1"/>
  <c r="AK9" i="1"/>
  <c r="AJ13" i="1"/>
  <c r="AJ11" i="1"/>
  <c r="AJ12" i="1"/>
  <c r="AK4" i="1"/>
  <c r="AQ32" i="1" l="1"/>
  <c r="AR29" i="1"/>
  <c r="AQ33" i="1"/>
  <c r="AQ31" i="1"/>
  <c r="AO27" i="1"/>
  <c r="AO28" i="1"/>
  <c r="AO26" i="1"/>
  <c r="AP24" i="1"/>
  <c r="AP19" i="1"/>
  <c r="AO23" i="1"/>
  <c r="AO21" i="1"/>
  <c r="AO22" i="1"/>
  <c r="AK7" i="1"/>
  <c r="AK8" i="1"/>
  <c r="AK6" i="1"/>
  <c r="AL9" i="1"/>
  <c r="AK13" i="1"/>
  <c r="AK11" i="1"/>
  <c r="AK12" i="1"/>
  <c r="AL4" i="1"/>
  <c r="AP23" i="1" l="1"/>
  <c r="AP21" i="1"/>
  <c r="AP22" i="1"/>
  <c r="AQ19" i="1"/>
  <c r="AP27" i="1"/>
  <c r="AP26" i="1"/>
  <c r="AQ24" i="1"/>
  <c r="AP28" i="1"/>
  <c r="AR33" i="1"/>
  <c r="AR32" i="1"/>
  <c r="AS29" i="1"/>
  <c r="AR31" i="1"/>
  <c r="AL6" i="1"/>
  <c r="AL7" i="1"/>
  <c r="AL8" i="1"/>
  <c r="AM9" i="1"/>
  <c r="AL11" i="1"/>
  <c r="AL12" i="1"/>
  <c r="AL13" i="1"/>
  <c r="AM4" i="1"/>
  <c r="AS33" i="1" l="1"/>
  <c r="AS32" i="1"/>
  <c r="AS31" i="1"/>
  <c r="AQ26" i="1"/>
  <c r="AQ28" i="1"/>
  <c r="AQ27" i="1"/>
  <c r="AR24" i="1"/>
  <c r="AQ23" i="1"/>
  <c r="AQ21" i="1"/>
  <c r="AQ22" i="1"/>
  <c r="AR19" i="1"/>
  <c r="AM6" i="1"/>
  <c r="AM7" i="1"/>
  <c r="AM8" i="1"/>
  <c r="AN9" i="1"/>
  <c r="AM12" i="1"/>
  <c r="AM13" i="1"/>
  <c r="AM11" i="1"/>
  <c r="AN4" i="1"/>
  <c r="K23" i="3"/>
  <c r="L23" i="3" s="1"/>
  <c r="AR23" i="1" l="1"/>
  <c r="AR22" i="1"/>
  <c r="AR21" i="1"/>
  <c r="AS19" i="1"/>
  <c r="AS24" i="1"/>
  <c r="AR28" i="1"/>
  <c r="AR26" i="1"/>
  <c r="AR27" i="1"/>
  <c r="AN6" i="1"/>
  <c r="AN7" i="1"/>
  <c r="AN8" i="1"/>
  <c r="AO9" i="1"/>
  <c r="AN12" i="1"/>
  <c r="AN13" i="1"/>
  <c r="AN11" i="1"/>
  <c r="AO4" i="1"/>
  <c r="AS45" i="2"/>
  <c r="AR45" i="2"/>
  <c r="AQ45" i="2"/>
  <c r="AP45" i="2"/>
  <c r="AO45" i="2"/>
  <c r="AN45" i="2"/>
  <c r="AM45" i="2"/>
  <c r="AL45" i="2"/>
  <c r="AK45" i="2"/>
  <c r="AJ45" i="2"/>
  <c r="AI45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S21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J21" i="2"/>
  <c r="J20" i="2"/>
  <c r="J19" i="2"/>
  <c r="J18" i="2"/>
  <c r="J17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J9" i="2"/>
  <c r="J8" i="2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J35" i="4"/>
  <c r="AS28" i="1" l="1"/>
  <c r="AS26" i="1"/>
  <c r="AS27" i="1"/>
  <c r="AS21" i="1"/>
  <c r="AS22" i="1"/>
  <c r="AS23" i="1"/>
  <c r="AP9" i="1"/>
  <c r="AO12" i="1"/>
  <c r="AO13" i="1"/>
  <c r="AO11" i="1"/>
  <c r="AO8" i="1"/>
  <c r="AO6" i="1"/>
  <c r="AO7" i="1"/>
  <c r="AP4" i="1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J4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J2" i="4"/>
  <c r="AC3" i="5"/>
  <c r="S3" i="5"/>
  <c r="D2" i="5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E1" i="5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P8" i="1" l="1"/>
  <c r="AP6" i="1"/>
  <c r="AP7" i="1"/>
  <c r="AQ9" i="1"/>
  <c r="AP13" i="1"/>
  <c r="AP11" i="1"/>
  <c r="AP12" i="1"/>
  <c r="AQ4" i="1"/>
  <c r="J3" i="5"/>
  <c r="K3" i="5" s="1"/>
  <c r="L3" i="5" s="1"/>
  <c r="M3" i="5" s="1"/>
  <c r="N3" i="5" s="1"/>
  <c r="O3" i="5" s="1"/>
  <c r="P3" i="5" s="1"/>
  <c r="Q3" i="5" s="1"/>
  <c r="R3" i="5" s="1"/>
  <c r="T3" i="5"/>
  <c r="U3" i="5" s="1"/>
  <c r="V3" i="5"/>
  <c r="W3" i="5" s="1"/>
  <c r="X3" i="5" s="1"/>
  <c r="Y3" i="5" s="1"/>
  <c r="Z3" i="5" s="1"/>
  <c r="AA3" i="5" s="1"/>
  <c r="AB3" i="5" s="1"/>
  <c r="AD3" i="5"/>
  <c r="AE3" i="5" s="1"/>
  <c r="AF3" i="5" s="1"/>
  <c r="AG3" i="5" s="1"/>
  <c r="AH3" i="5" s="1"/>
  <c r="AI3" i="5" s="1"/>
  <c r="AJ3" i="5" s="1"/>
  <c r="AK3" i="5" s="1"/>
  <c r="AL3" i="5" s="1"/>
  <c r="AM3" i="5" s="1"/>
  <c r="AR9" i="1" l="1"/>
  <c r="AQ13" i="1"/>
  <c r="AQ11" i="1"/>
  <c r="AQ12" i="1"/>
  <c r="AQ8" i="1"/>
  <c r="AQ7" i="1"/>
  <c r="AQ6" i="1"/>
  <c r="AR4" i="1"/>
  <c r="F1" i="4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N1" i="4" s="1"/>
  <c r="AO1" i="4" s="1"/>
  <c r="AP1" i="4" s="1"/>
  <c r="AQ1" i="4" s="1"/>
  <c r="AR1" i="4" s="1"/>
  <c r="AS1" i="4" s="1"/>
  <c r="A66" i="4"/>
  <c r="A67" i="4" s="1"/>
  <c r="A68" i="4" s="1"/>
  <c r="A69" i="4" s="1"/>
  <c r="A70" i="4" s="1"/>
  <c r="A52" i="4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R7" i="1" l="1"/>
  <c r="AR8" i="1"/>
  <c r="AR6" i="1"/>
  <c r="AS9" i="1"/>
  <c r="AR13" i="1"/>
  <c r="AR11" i="1"/>
  <c r="AR12" i="1"/>
  <c r="AS4" i="1"/>
  <c r="A71" i="4"/>
  <c r="A72" i="4" s="1"/>
  <c r="A73" i="4"/>
  <c r="A74" i="4" s="1"/>
  <c r="A75" i="4" s="1"/>
  <c r="A76" i="4" s="1"/>
  <c r="A77" i="4" s="1"/>
  <c r="A78" i="4" s="1"/>
  <c r="A79" i="4" s="1"/>
  <c r="A80" i="4" s="1"/>
  <c r="AS7" i="1" l="1"/>
  <c r="AS8" i="1"/>
  <c r="AS6" i="1"/>
  <c r="AS13" i="1"/>
  <c r="AS11" i="1"/>
  <c r="AS12" i="1"/>
  <c r="AJ28" i="2"/>
  <c r="AK28" i="2" s="1"/>
  <c r="AL28" i="2" s="1"/>
  <c r="AM28" i="2" s="1"/>
  <c r="AN28" i="2" s="1"/>
  <c r="AO28" i="2" s="1"/>
  <c r="AP28" i="2" s="1"/>
  <c r="AQ28" i="2" s="1"/>
  <c r="AR28" i="2" s="1"/>
  <c r="AS28" i="2" s="1"/>
  <c r="AJ16" i="2"/>
  <c r="AJ4" i="2"/>
  <c r="C6" i="3"/>
  <c r="F6" i="3" s="1"/>
  <c r="C7" i="3"/>
  <c r="C9" i="3"/>
  <c r="F9" i="3" s="1"/>
  <c r="B7" i="3"/>
  <c r="B9" i="3"/>
  <c r="E9" i="3" s="1"/>
  <c r="H9" i="3" s="1"/>
  <c r="I9" i="3" s="1"/>
  <c r="B6" i="3"/>
  <c r="E6" i="3" s="1"/>
  <c r="H6" i="3" s="1"/>
  <c r="I6" i="3" s="1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J59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J58" i="2"/>
  <c r="K52" i="2"/>
  <c r="K53" i="2" s="1"/>
  <c r="L52" i="2"/>
  <c r="L53" i="2" s="1"/>
  <c r="M52" i="2"/>
  <c r="M55" i="2" s="1"/>
  <c r="N52" i="2"/>
  <c r="N54" i="2" s="1"/>
  <c r="O52" i="2"/>
  <c r="O55" i="2" s="1"/>
  <c r="P52" i="2"/>
  <c r="P55" i="2" s="1"/>
  <c r="Q52" i="2"/>
  <c r="Q55" i="2" s="1"/>
  <c r="R52" i="2"/>
  <c r="R54" i="2" s="1"/>
  <c r="R57" i="2" s="1"/>
  <c r="S52" i="2"/>
  <c r="S53" i="2" s="1"/>
  <c r="T52" i="2"/>
  <c r="T55" i="2" s="1"/>
  <c r="U52" i="2"/>
  <c r="U53" i="2" s="1"/>
  <c r="V52" i="2"/>
  <c r="V55" i="2" s="1"/>
  <c r="W52" i="2"/>
  <c r="W55" i="2" s="1"/>
  <c r="X52" i="2"/>
  <c r="X54" i="2" s="1"/>
  <c r="X57" i="2" s="1"/>
  <c r="Y52" i="2"/>
  <c r="Y54" i="2" s="1"/>
  <c r="Y57" i="2" s="1"/>
  <c r="Z52" i="2"/>
  <c r="Z54" i="2" s="1"/>
  <c r="Z57" i="2" s="1"/>
  <c r="AA52" i="2"/>
  <c r="AA54" i="2" s="1"/>
  <c r="AB52" i="2"/>
  <c r="AB55" i="2" s="1"/>
  <c r="AC52" i="2"/>
  <c r="AC57" i="2" s="1"/>
  <c r="AD52" i="2"/>
  <c r="AD57" i="2" s="1"/>
  <c r="AE52" i="2"/>
  <c r="AE57" i="2" s="1"/>
  <c r="AF52" i="2"/>
  <c r="AF57" i="2" s="1"/>
  <c r="AG52" i="2"/>
  <c r="AG57" i="2" s="1"/>
  <c r="AH52" i="2"/>
  <c r="AH55" i="2" s="1"/>
  <c r="AI52" i="2"/>
  <c r="AI56" i="2" s="1"/>
  <c r="AJ52" i="2"/>
  <c r="AJ56" i="2" s="1"/>
  <c r="AK52" i="2"/>
  <c r="AK57" i="2" s="1"/>
  <c r="AL52" i="2"/>
  <c r="AL57" i="2" s="1"/>
  <c r="AM52" i="2"/>
  <c r="AM57" i="2" s="1"/>
  <c r="AN52" i="2"/>
  <c r="AN57" i="2" s="1"/>
  <c r="AO52" i="2"/>
  <c r="AO57" i="2" s="1"/>
  <c r="AP52" i="2"/>
  <c r="AP57" i="2" s="1"/>
  <c r="AQ52" i="2"/>
  <c r="AQ57" i="2" s="1"/>
  <c r="AR52" i="2"/>
  <c r="AR57" i="2" s="1"/>
  <c r="AS52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Y53" i="2" s="1"/>
  <c r="Z50" i="2"/>
  <c r="Z53" i="2" s="1"/>
  <c r="AA50" i="2"/>
  <c r="AA53" i="2" s="1"/>
  <c r="AB50" i="2"/>
  <c r="AB53" i="2" s="1"/>
  <c r="AC50" i="2"/>
  <c r="AC53" i="2" s="1"/>
  <c r="AD50" i="2"/>
  <c r="AD54" i="2" s="1"/>
  <c r="AE50" i="2"/>
  <c r="AE53" i="2" s="1"/>
  <c r="AF50" i="2"/>
  <c r="AF54" i="2" s="1"/>
  <c r="AG50" i="2"/>
  <c r="AG54" i="2" s="1"/>
  <c r="AH50" i="2"/>
  <c r="AH53" i="2" s="1"/>
  <c r="AI50" i="2"/>
  <c r="AI55" i="2" s="1"/>
  <c r="AJ50" i="2"/>
  <c r="AJ54" i="2" s="1"/>
  <c r="AK50" i="2"/>
  <c r="AK54" i="2" s="1"/>
  <c r="AL50" i="2"/>
  <c r="AL54" i="2" s="1"/>
  <c r="AM50" i="2"/>
  <c r="AM54" i="2" s="1"/>
  <c r="AN50" i="2"/>
  <c r="AN54" i="2" s="1"/>
  <c r="AN56" i="2" s="1"/>
  <c r="AO50" i="2"/>
  <c r="AO54" i="2" s="1"/>
  <c r="AO56" i="2" s="1"/>
  <c r="AP50" i="2"/>
  <c r="AP55" i="2" s="1"/>
  <c r="AQ50" i="2"/>
  <c r="AQ55" i="2" s="1"/>
  <c r="AR50" i="2"/>
  <c r="AR53" i="2" s="1"/>
  <c r="AS50" i="2"/>
  <c r="AS55" i="2" s="1"/>
  <c r="J50" i="2"/>
  <c r="J52" i="2"/>
  <c r="J53" i="2" s="1"/>
  <c r="AJ61" i="2"/>
  <c r="AK61" i="2" s="1"/>
  <c r="AL61" i="2" s="1"/>
  <c r="AM61" i="2" s="1"/>
  <c r="AN61" i="2" s="1"/>
  <c r="AO61" i="2" s="1"/>
  <c r="AP61" i="2" s="1"/>
  <c r="AQ61" i="2" s="1"/>
  <c r="AR61" i="2" s="1"/>
  <c r="AS61" i="2" s="1"/>
  <c r="AJ60" i="2"/>
  <c r="AK60" i="2" s="1"/>
  <c r="AL60" i="2" s="1"/>
  <c r="AM60" i="2" s="1"/>
  <c r="AN60" i="2" s="1"/>
  <c r="AO60" i="2" s="1"/>
  <c r="AP60" i="2" s="1"/>
  <c r="AQ60" i="2" s="1"/>
  <c r="AR60" i="2" s="1"/>
  <c r="AS60" i="2" s="1"/>
  <c r="K54" i="2"/>
  <c r="K57" i="2" s="1"/>
  <c r="A51" i="2"/>
  <c r="A52" i="2" s="1"/>
  <c r="A53" i="2" s="1"/>
  <c r="A54" i="2" s="1"/>
  <c r="A55" i="2" s="1"/>
  <c r="E7" i="3" l="1"/>
  <c r="H7" i="3" s="1"/>
  <c r="I7" i="3" s="1"/>
  <c r="B8" i="3"/>
  <c r="E8" i="3" s="1"/>
  <c r="H8" i="3" s="1"/>
  <c r="I8" i="3" s="1"/>
  <c r="F7" i="3"/>
  <c r="C8" i="3"/>
  <c r="F8" i="3" s="1"/>
  <c r="V53" i="2"/>
  <c r="O53" i="2"/>
  <c r="AK16" i="2"/>
  <c r="AJ21" i="2"/>
  <c r="AJ20" i="2"/>
  <c r="X53" i="2"/>
  <c r="AF53" i="2"/>
  <c r="AM53" i="2"/>
  <c r="AM55" i="2"/>
  <c r="AN55" i="2"/>
  <c r="AS53" i="2"/>
  <c r="T54" i="2"/>
  <c r="T56" i="2" s="1"/>
  <c r="T53" i="2"/>
  <c r="AS54" i="2"/>
  <c r="AS56" i="2" s="1"/>
  <c r="AR54" i="2"/>
  <c r="AR56" i="2" s="1"/>
  <c r="K55" i="2"/>
  <c r="AJ9" i="2"/>
  <c r="AJ8" i="2"/>
  <c r="AK4" i="2"/>
  <c r="AJ4" i="4"/>
  <c r="W53" i="2"/>
  <c r="L54" i="2"/>
  <c r="L56" i="2" s="1"/>
  <c r="L55" i="2"/>
  <c r="AK56" i="2"/>
  <c r="U54" i="2"/>
  <c r="U56" i="2" s="1"/>
  <c r="U55" i="2"/>
  <c r="AG53" i="2"/>
  <c r="AB54" i="2"/>
  <c r="AB56" i="2" s="1"/>
  <c r="AK53" i="2"/>
  <c r="AK55" i="2"/>
  <c r="N57" i="2"/>
  <c r="N56" i="2"/>
  <c r="AL56" i="2"/>
  <c r="J54" i="2"/>
  <c r="J57" i="2" s="1"/>
  <c r="V54" i="2"/>
  <c r="V56" i="2" s="1"/>
  <c r="J55" i="2"/>
  <c r="AA55" i="2"/>
  <c r="AM56" i="2"/>
  <c r="A56" i="2"/>
  <c r="A57" i="2" s="1"/>
  <c r="A58" i="2" s="1"/>
  <c r="A59" i="2" s="1"/>
  <c r="A60" i="2" s="1"/>
  <c r="A61" i="2" s="1"/>
  <c r="N53" i="2"/>
  <c r="AC54" i="2"/>
  <c r="AC55" i="2"/>
  <c r="M54" i="2"/>
  <c r="M56" i="2" s="1"/>
  <c r="AE54" i="2"/>
  <c r="N55" i="2"/>
  <c r="AD55" i="2"/>
  <c r="AC56" i="2"/>
  <c r="M53" i="2"/>
  <c r="AJ53" i="2"/>
  <c r="S55" i="2"/>
  <c r="AJ55" i="2"/>
  <c r="AD56" i="2"/>
  <c r="AI57" i="2"/>
  <c r="S54" i="2"/>
  <c r="AE56" i="2"/>
  <c r="AJ57" i="2"/>
  <c r="AA56" i="2"/>
  <c r="AA57" i="2"/>
  <c r="X56" i="2"/>
  <c r="T57" i="2"/>
  <c r="Y56" i="2"/>
  <c r="AG56" i="2"/>
  <c r="AS57" i="2"/>
  <c r="Q53" i="2"/>
  <c r="AN53" i="2"/>
  <c r="W54" i="2"/>
  <c r="AE55" i="2"/>
  <c r="AR55" i="2"/>
  <c r="R56" i="2"/>
  <c r="Z56" i="2"/>
  <c r="AH56" i="2"/>
  <c r="AO55" i="2"/>
  <c r="AO53" i="2"/>
  <c r="O54" i="2"/>
  <c r="AF55" i="2"/>
  <c r="K56" i="2"/>
  <c r="AF56" i="2"/>
  <c r="P53" i="2"/>
  <c r="P54" i="2"/>
  <c r="X55" i="2"/>
  <c r="AG55" i="2"/>
  <c r="Q54" i="2"/>
  <c r="Y55" i="2"/>
  <c r="AH57" i="2"/>
  <c r="R53" i="2"/>
  <c r="R55" i="2"/>
  <c r="Z55" i="2"/>
  <c r="AD53" i="2"/>
  <c r="AL53" i="2"/>
  <c r="AH54" i="2"/>
  <c r="AP54" i="2"/>
  <c r="AP56" i="2" s="1"/>
  <c r="AL55" i="2"/>
  <c r="AI54" i="2"/>
  <c r="AQ54" i="2"/>
  <c r="AQ56" i="2" s="1"/>
  <c r="AP53" i="2"/>
  <c r="AI53" i="2"/>
  <c r="AQ53" i="2"/>
  <c r="AJ49" i="2"/>
  <c r="AK49" i="2" s="1"/>
  <c r="AL49" i="2" s="1"/>
  <c r="AM49" i="2" s="1"/>
  <c r="AN49" i="2" s="1"/>
  <c r="AO49" i="2" s="1"/>
  <c r="AP49" i="2" s="1"/>
  <c r="AQ49" i="2" s="1"/>
  <c r="AR49" i="2" s="1"/>
  <c r="AS49" i="2" s="1"/>
  <c r="AJ48" i="2"/>
  <c r="AK48" i="2" s="1"/>
  <c r="AL48" i="2" s="1"/>
  <c r="AM48" i="2" s="1"/>
  <c r="AN48" i="2" s="1"/>
  <c r="AO48" i="2" s="1"/>
  <c r="AP48" i="2" s="1"/>
  <c r="AQ48" i="2" s="1"/>
  <c r="AR48" i="2" s="1"/>
  <c r="AS48" i="2" s="1"/>
  <c r="AJ47" i="2"/>
  <c r="AK47" i="2" s="1"/>
  <c r="AL47" i="2" s="1"/>
  <c r="AM47" i="2" s="1"/>
  <c r="AN47" i="2" s="1"/>
  <c r="AO47" i="2" s="1"/>
  <c r="AP47" i="2" s="1"/>
  <c r="AQ47" i="2" s="1"/>
  <c r="AR47" i="2" s="1"/>
  <c r="AS47" i="2" s="1"/>
  <c r="AJ46" i="2"/>
  <c r="AK46" i="2" s="1"/>
  <c r="AL46" i="2" s="1"/>
  <c r="AM46" i="2" s="1"/>
  <c r="AN46" i="2" s="1"/>
  <c r="AO46" i="2" s="1"/>
  <c r="AP46" i="2" s="1"/>
  <c r="AQ46" i="2" s="1"/>
  <c r="AR46" i="2" s="1"/>
  <c r="AS46" i="2" s="1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H45" i="2" s="1"/>
  <c r="AG42" i="2"/>
  <c r="AG45" i="2" s="1"/>
  <c r="AF42" i="2"/>
  <c r="AF45" i="2" s="1"/>
  <c r="AE42" i="2"/>
  <c r="AE45" i="2" s="1"/>
  <c r="AD42" i="2"/>
  <c r="AD45" i="2" s="1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A39" i="2"/>
  <c r="A40" i="2" s="1"/>
  <c r="A41" i="2" s="1"/>
  <c r="A42" i="2" s="1"/>
  <c r="A43" i="2" s="1"/>
  <c r="A44" i="2" s="1"/>
  <c r="A45" i="2" s="1"/>
  <c r="AJ37" i="2"/>
  <c r="AK37" i="2" s="1"/>
  <c r="AL37" i="2" s="1"/>
  <c r="AM37" i="2" s="1"/>
  <c r="AN37" i="2" s="1"/>
  <c r="AO37" i="2" s="1"/>
  <c r="AP37" i="2" s="1"/>
  <c r="AQ37" i="2" s="1"/>
  <c r="AR37" i="2" s="1"/>
  <c r="AS37" i="2" s="1"/>
  <c r="AJ36" i="2"/>
  <c r="AK36" i="2" s="1"/>
  <c r="AL36" i="2" s="1"/>
  <c r="AM36" i="2" s="1"/>
  <c r="AN36" i="2" s="1"/>
  <c r="AO36" i="2" s="1"/>
  <c r="AP36" i="2" s="1"/>
  <c r="AQ36" i="2" s="1"/>
  <c r="AR36" i="2" s="1"/>
  <c r="AS36" i="2" s="1"/>
  <c r="AJ35" i="2"/>
  <c r="AK35" i="2" s="1"/>
  <c r="AL35" i="2" s="1"/>
  <c r="AM35" i="2" s="1"/>
  <c r="AN35" i="2" s="1"/>
  <c r="AO35" i="2" s="1"/>
  <c r="AP35" i="2" s="1"/>
  <c r="AQ35" i="2" s="1"/>
  <c r="AR35" i="2" s="1"/>
  <c r="AS35" i="2" s="1"/>
  <c r="AJ34" i="2"/>
  <c r="AK34" i="2" s="1"/>
  <c r="AL34" i="2" s="1"/>
  <c r="AM34" i="2" s="1"/>
  <c r="AN34" i="2" s="1"/>
  <c r="AO34" i="2" s="1"/>
  <c r="AP34" i="2" s="1"/>
  <c r="AQ34" i="2" s="1"/>
  <c r="AR34" i="2" s="1"/>
  <c r="AS34" i="2" s="1"/>
  <c r="AI33" i="2"/>
  <c r="AH33" i="2"/>
  <c r="AG33" i="2"/>
  <c r="AF33" i="2"/>
  <c r="AE33" i="2"/>
  <c r="AD33" i="2"/>
  <c r="AC33" i="2"/>
  <c r="AI32" i="2"/>
  <c r="AH32" i="2"/>
  <c r="AG32" i="2"/>
  <c r="AF32" i="2"/>
  <c r="AE32" i="2"/>
  <c r="AD32" i="2"/>
  <c r="AC32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AI30" i="2"/>
  <c r="AH30" i="2"/>
  <c r="AG30" i="2"/>
  <c r="AF30" i="2"/>
  <c r="AE30" i="2"/>
  <c r="AD30" i="2"/>
  <c r="AC30" i="2"/>
  <c r="AB30" i="2"/>
  <c r="AB32" i="2" s="1"/>
  <c r="AA30" i="2"/>
  <c r="Z30" i="2"/>
  <c r="Z32" i="2" s="1"/>
  <c r="Y30" i="2"/>
  <c r="Y32" i="2" s="1"/>
  <c r="X30" i="2"/>
  <c r="X32" i="2" s="1"/>
  <c r="W30" i="2"/>
  <c r="W32" i="2" s="1"/>
  <c r="V30" i="2"/>
  <c r="V32" i="2" s="1"/>
  <c r="U30" i="2"/>
  <c r="U33" i="2" s="1"/>
  <c r="T30" i="2"/>
  <c r="T32" i="2" s="1"/>
  <c r="S30" i="2"/>
  <c r="R30" i="2"/>
  <c r="R32" i="2" s="1"/>
  <c r="Q30" i="2"/>
  <c r="Q32" i="2" s="1"/>
  <c r="P30" i="2"/>
  <c r="P32" i="2" s="1"/>
  <c r="O30" i="2"/>
  <c r="O32" i="2" s="1"/>
  <c r="N30" i="2"/>
  <c r="N32" i="2" s="1"/>
  <c r="M30" i="2"/>
  <c r="M33" i="2" s="1"/>
  <c r="L30" i="2"/>
  <c r="L32" i="2" s="1"/>
  <c r="K30" i="2"/>
  <c r="J30" i="2"/>
  <c r="J32" i="2" s="1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AJ25" i="2"/>
  <c r="AJ24" i="2"/>
  <c r="AJ23" i="2"/>
  <c r="AK23" i="2" s="1"/>
  <c r="AL23" i="2" s="1"/>
  <c r="AM23" i="2" s="1"/>
  <c r="AN23" i="2" s="1"/>
  <c r="AO23" i="2" s="1"/>
  <c r="AP23" i="2" s="1"/>
  <c r="AQ23" i="2" s="1"/>
  <c r="AR23" i="2" s="1"/>
  <c r="AS23" i="2" s="1"/>
  <c r="AJ22" i="2"/>
  <c r="AK22" i="2" s="1"/>
  <c r="AL22" i="2" s="1"/>
  <c r="AM22" i="2" s="1"/>
  <c r="AN22" i="2" s="1"/>
  <c r="AO22" i="2" s="1"/>
  <c r="AP22" i="2" s="1"/>
  <c r="AQ22" i="2" s="1"/>
  <c r="AR22" i="2" s="1"/>
  <c r="AS22" i="2" s="1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AK18" i="2"/>
  <c r="AJ19" i="2"/>
  <c r="AJ13" i="2"/>
  <c r="AJ12" i="2"/>
  <c r="AJ11" i="2"/>
  <c r="AK11" i="2" s="1"/>
  <c r="AL11" i="2" s="1"/>
  <c r="AM11" i="2" s="1"/>
  <c r="AN11" i="2" s="1"/>
  <c r="AO11" i="2" s="1"/>
  <c r="AP11" i="2" s="1"/>
  <c r="AQ11" i="2" s="1"/>
  <c r="AR11" i="2" s="1"/>
  <c r="AS11" i="2" s="1"/>
  <c r="AJ10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AJ6" i="2"/>
  <c r="F1" i="2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F1" i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K44" i="2" l="1"/>
  <c r="K45" i="2"/>
  <c r="S44" i="2"/>
  <c r="S45" i="2"/>
  <c r="AA44" i="2"/>
  <c r="AA45" i="2"/>
  <c r="L45" i="2"/>
  <c r="L44" i="2"/>
  <c r="M45" i="2"/>
  <c r="M44" i="2"/>
  <c r="U45" i="2"/>
  <c r="U44" i="2"/>
  <c r="AC45" i="2"/>
  <c r="AC44" i="2"/>
  <c r="T45" i="2"/>
  <c r="T44" i="2"/>
  <c r="N44" i="2"/>
  <c r="N45" i="2"/>
  <c r="V44" i="2"/>
  <c r="V45" i="2"/>
  <c r="O44" i="2"/>
  <c r="O45" i="2"/>
  <c r="W45" i="2"/>
  <c r="W44" i="2"/>
  <c r="P44" i="2"/>
  <c r="P45" i="2"/>
  <c r="X44" i="2"/>
  <c r="X45" i="2"/>
  <c r="AB45" i="2"/>
  <c r="AB44" i="2"/>
  <c r="Q44" i="2"/>
  <c r="Q45" i="2"/>
  <c r="Y44" i="2"/>
  <c r="Y45" i="2"/>
  <c r="J45" i="2"/>
  <c r="J44" i="2"/>
  <c r="R45" i="2"/>
  <c r="R44" i="2"/>
  <c r="Z45" i="2"/>
  <c r="Z44" i="2"/>
  <c r="AL16" i="2"/>
  <c r="AK20" i="2"/>
  <c r="AK21" i="2"/>
  <c r="A46" i="2"/>
  <c r="A47" i="2" s="1"/>
  <c r="A48" i="2" s="1"/>
  <c r="A49" i="2" s="1"/>
  <c r="AB57" i="2"/>
  <c r="AK8" i="2"/>
  <c r="AK9" i="2"/>
  <c r="V57" i="2"/>
  <c r="AL4" i="2"/>
  <c r="AK4" i="4"/>
  <c r="L57" i="2"/>
  <c r="U57" i="2"/>
  <c r="J56" i="2"/>
  <c r="M57" i="2"/>
  <c r="S56" i="2"/>
  <c r="S57" i="2"/>
  <c r="L33" i="2"/>
  <c r="Q57" i="2"/>
  <c r="Q56" i="2"/>
  <c r="N33" i="2"/>
  <c r="AJ7" i="2"/>
  <c r="AJ18" i="2"/>
  <c r="T33" i="2"/>
  <c r="P57" i="2"/>
  <c r="P56" i="2"/>
  <c r="W56" i="2"/>
  <c r="W57" i="2"/>
  <c r="O57" i="2"/>
  <c r="O56" i="2"/>
  <c r="V33" i="2"/>
  <c r="AL18" i="2"/>
  <c r="W33" i="2"/>
  <c r="O33" i="2"/>
  <c r="AJ5" i="2"/>
  <c r="AB33" i="2"/>
  <c r="AJ33" i="2"/>
  <c r="AK33" i="2"/>
  <c r="AK32" i="2"/>
  <c r="K33" i="2"/>
  <c r="K32" i="2"/>
  <c r="S33" i="2"/>
  <c r="S32" i="2"/>
  <c r="AA33" i="2"/>
  <c r="AA32" i="2"/>
  <c r="AK31" i="2"/>
  <c r="AK29" i="2"/>
  <c r="AK30" i="2"/>
  <c r="AJ17" i="2"/>
  <c r="AJ30" i="2"/>
  <c r="AJ32" i="2"/>
  <c r="P33" i="2"/>
  <c r="X33" i="2"/>
  <c r="AK17" i="2"/>
  <c r="AK19" i="2"/>
  <c r="M32" i="2"/>
  <c r="U32" i="2"/>
  <c r="Q33" i="2"/>
  <c r="Y33" i="2"/>
  <c r="AL17" i="2"/>
  <c r="AL19" i="2"/>
  <c r="J33" i="2"/>
  <c r="R33" i="2"/>
  <c r="Z33" i="2"/>
  <c r="AJ29" i="2"/>
  <c r="AJ31" i="2"/>
  <c r="AM16" i="2" l="1"/>
  <c r="AL20" i="2"/>
  <c r="AL21" i="2"/>
  <c r="AL8" i="2"/>
  <c r="AL9" i="2"/>
  <c r="AM4" i="2"/>
  <c r="AL4" i="4"/>
  <c r="AK6" i="2"/>
  <c r="AK7" i="2"/>
  <c r="AK5" i="2"/>
  <c r="AL33" i="2"/>
  <c r="AL32" i="2"/>
  <c r="AM19" i="2"/>
  <c r="AM17" i="2"/>
  <c r="AM18" i="2"/>
  <c r="AL31" i="2"/>
  <c r="AL29" i="2"/>
  <c r="AL30" i="2"/>
  <c r="AN16" i="2" l="1"/>
  <c r="AM20" i="2"/>
  <c r="AM21" i="2"/>
  <c r="AM8" i="2"/>
  <c r="AM9" i="2"/>
  <c r="AN4" i="2"/>
  <c r="AN9" i="2" s="1"/>
  <c r="AM4" i="4"/>
  <c r="AN19" i="2"/>
  <c r="AN20" i="2" s="1"/>
  <c r="AN17" i="2"/>
  <c r="AN18" i="2"/>
  <c r="AM30" i="2"/>
  <c r="AM29" i="2"/>
  <c r="AM31" i="2"/>
  <c r="AM32" i="2"/>
  <c r="AM33" i="2"/>
  <c r="AL6" i="2"/>
  <c r="AL7" i="2"/>
  <c r="AL5" i="2"/>
  <c r="AO16" i="2" l="1"/>
  <c r="AN21" i="2"/>
  <c r="AO4" i="2"/>
  <c r="AO9" i="2" s="1"/>
  <c r="AN4" i="4"/>
  <c r="AO19" i="2"/>
  <c r="AO20" i="2" s="1"/>
  <c r="AO17" i="2"/>
  <c r="AO18" i="2"/>
  <c r="AN30" i="2"/>
  <c r="AN32" i="2" s="1"/>
  <c r="AN31" i="2"/>
  <c r="AN29" i="2"/>
  <c r="AM6" i="2"/>
  <c r="AM7" i="2"/>
  <c r="AM5" i="2"/>
  <c r="AN33" i="2"/>
  <c r="AP16" i="2" l="1"/>
  <c r="AO21" i="2"/>
  <c r="AP4" i="2"/>
  <c r="AP9" i="2" s="1"/>
  <c r="AO4" i="4"/>
  <c r="AO30" i="2"/>
  <c r="AO32" i="2" s="1"/>
  <c r="AO31" i="2"/>
  <c r="AO29" i="2"/>
  <c r="AO33" i="2"/>
  <c r="AP19" i="2"/>
  <c r="AP20" i="2" s="1"/>
  <c r="AP17" i="2"/>
  <c r="AP18" i="2"/>
  <c r="AN7" i="2"/>
  <c r="AN8" i="2" s="1"/>
  <c r="AN5" i="2"/>
  <c r="AN6" i="2"/>
  <c r="AQ16" i="2" l="1"/>
  <c r="AP21" i="2"/>
  <c r="AQ4" i="2"/>
  <c r="AQ9" i="2" s="1"/>
  <c r="AP4" i="4"/>
  <c r="AQ18" i="2"/>
  <c r="AQ19" i="2"/>
  <c r="AQ20" i="2" s="1"/>
  <c r="AQ17" i="2"/>
  <c r="AP30" i="2"/>
  <c r="AP32" i="2" s="1"/>
  <c r="AP31" i="2"/>
  <c r="AP29" i="2"/>
  <c r="AP33" i="2"/>
  <c r="AO7" i="2"/>
  <c r="AO8" i="2" s="1"/>
  <c r="AO5" i="2"/>
  <c r="AO6" i="2"/>
  <c r="AR16" i="2" l="1"/>
  <c r="AQ21" i="2"/>
  <c r="AR4" i="2"/>
  <c r="AR9" i="2" s="1"/>
  <c r="AQ4" i="4"/>
  <c r="AQ31" i="2"/>
  <c r="AQ29" i="2"/>
  <c r="AQ30" i="2"/>
  <c r="AQ32" i="2" s="1"/>
  <c r="AP7" i="2"/>
  <c r="AP8" i="2" s="1"/>
  <c r="AP5" i="2"/>
  <c r="AP6" i="2"/>
  <c r="AQ33" i="2"/>
  <c r="AR18" i="2"/>
  <c r="AR19" i="2"/>
  <c r="AR20" i="2" s="1"/>
  <c r="AR17" i="2"/>
  <c r="AS16" i="2" l="1"/>
  <c r="AR21" i="2"/>
  <c r="AS4" i="2"/>
  <c r="AS4" i="4" s="1"/>
  <c r="AR4" i="4"/>
  <c r="AS18" i="2"/>
  <c r="AS19" i="2"/>
  <c r="AS20" i="2" s="1"/>
  <c r="AS17" i="2"/>
  <c r="AR33" i="2"/>
  <c r="AQ7" i="2"/>
  <c r="AQ8" i="2" s="1"/>
  <c r="AQ5" i="2"/>
  <c r="AQ6" i="2"/>
  <c r="AR31" i="2"/>
  <c r="AR29" i="2"/>
  <c r="AR30" i="2"/>
  <c r="AR32" i="2" s="1"/>
  <c r="AS33" i="2" l="1"/>
  <c r="AS31" i="2"/>
  <c r="AS29" i="2"/>
  <c r="AS30" i="2"/>
  <c r="AS32" i="2" s="1"/>
  <c r="AR6" i="2"/>
  <c r="AR5" i="2"/>
  <c r="AR7" i="2"/>
  <c r="AR8" i="2" s="1"/>
  <c r="AS6" i="2" l="1"/>
  <c r="AS7" i="2"/>
  <c r="AS5" i="2"/>
  <c r="AS8" i="2" l="1"/>
  <c r="AS9" i="2"/>
</calcChain>
</file>

<file path=xl/sharedStrings.xml><?xml version="1.0" encoding="utf-8"?>
<sst xmlns="http://schemas.openxmlformats.org/spreadsheetml/2006/main" count="591" uniqueCount="72">
  <si>
    <t>scenario</t>
  </si>
  <si>
    <t>station_name</t>
  </si>
  <si>
    <t>parameter</t>
  </si>
  <si>
    <t>HIGH_FUEL</t>
  </si>
  <si>
    <t>fuel_price (R/GJ)</t>
  </si>
  <si>
    <t>MED_FUEL</t>
  </si>
  <si>
    <t>LOW_FUEL</t>
  </si>
  <si>
    <t>IRP23</t>
  </si>
  <si>
    <t>ocgt_diesel</t>
  </si>
  <si>
    <t>R/GJ</t>
  </si>
  <si>
    <t>ocgt_diesel_emg</t>
  </si>
  <si>
    <t>ocgt_gas</t>
  </si>
  <si>
    <t>ocgt_gas_h2_40</t>
  </si>
  <si>
    <t>ocgt_gas_h2_45</t>
  </si>
  <si>
    <t>ocgt_gas_h2_50</t>
  </si>
  <si>
    <t>ocgt_gas_h2_55</t>
  </si>
  <si>
    <t>ocgt_gas_h2_60</t>
  </si>
  <si>
    <t>ccgt_steam</t>
  </si>
  <si>
    <t>biomass_forestry</t>
  </si>
  <si>
    <t>biomass_landfill_gas</t>
  </si>
  <si>
    <t>biomass_biogas</t>
  </si>
  <si>
    <t>biomass_MSW</t>
  </si>
  <si>
    <t>coal</t>
  </si>
  <si>
    <t>nuclear</t>
  </si>
  <si>
    <t>solar_csp</t>
  </si>
  <si>
    <t>ME_IRP23</t>
  </si>
  <si>
    <t>CV</t>
  </si>
  <si>
    <t>GJ/kg</t>
  </si>
  <si>
    <t>ZAR:USD</t>
  </si>
  <si>
    <t>units</t>
  </si>
  <si>
    <t>none</t>
  </si>
  <si>
    <t>R/tCO2e</t>
  </si>
  <si>
    <t>LOW</t>
  </si>
  <si>
    <t>BASE</t>
  </si>
  <si>
    <t>HIGH</t>
  </si>
  <si>
    <t>emissions</t>
  </si>
  <si>
    <t>https://ora.ox.ac.uk/objects/uuid:475ce7d3-b6b8-42f6-8cb1-b33f56026689/files/r2801pg46c</t>
  </si>
  <si>
    <t>https://www.sciencedirect.com/science/article/abs/pii/S0306261920314549?via%3Dihub</t>
  </si>
  <si>
    <t>https://pubs.acs.org/doi/pdf/10.1021/acsenergylett.2c01615</t>
  </si>
  <si>
    <t>https://pubs.rsc.org/zh-tw/content/articlepdf/2024/ee/d3ee02951d</t>
  </si>
  <si>
    <t>variable_coal</t>
  </si>
  <si>
    <t>variable_diesel</t>
  </si>
  <si>
    <t>https://www.irena.org/-/media/Files/IRENA/Agency/Publication/2022/May/IRENA_Innovation_Outlook_Ammonia_2022.pdf</t>
  </si>
  <si>
    <t>$/t</t>
  </si>
  <si>
    <t>$/kg</t>
  </si>
  <si>
    <t>Komati</t>
  </si>
  <si>
    <t>Arnot</t>
  </si>
  <si>
    <t>Camden</t>
  </si>
  <si>
    <t>Duvha</t>
  </si>
  <si>
    <t>Grootvlei</t>
  </si>
  <si>
    <t>Hendrina</t>
  </si>
  <si>
    <t>Kendal</t>
  </si>
  <si>
    <t>Kriel</t>
  </si>
  <si>
    <t>Kusile</t>
  </si>
  <si>
    <t>Lethabo</t>
  </si>
  <si>
    <t>Majuba</t>
  </si>
  <si>
    <t>Matimba</t>
  </si>
  <si>
    <t>Matla</t>
  </si>
  <si>
    <t>Medupi</t>
  </si>
  <si>
    <t>Tutuka</t>
  </si>
  <si>
    <t>ratio_vs_avg</t>
  </si>
  <si>
    <t>CALC</t>
  </si>
  <si>
    <t>low_group</t>
  </si>
  <si>
    <t>med_group</t>
  </si>
  <si>
    <t>high_group</t>
  </si>
  <si>
    <t>HIGH_PMR1</t>
  </si>
  <si>
    <t>BASE_PMR1</t>
  </si>
  <si>
    <t>LOW_PMR1</t>
  </si>
  <si>
    <t>HIGH_PMR1b</t>
  </si>
  <si>
    <t>BASE_PMR1b</t>
  </si>
  <si>
    <t>LOW_PMR1b</t>
  </si>
  <si>
    <t>BASE_PMR1b_archive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</si>
</sst>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Aptos Narrow"/>
      <family val="2"/>
      <charset val="1"/>
    </font>
    <font>
      <b/>
      <sz val="11"/>
      <color rgb="FF3F3F3F"/>
      <name val="Calibri"/>
      <family val="2"/>
      <charset val="1"/>
    </font>
    <font>
      <b/>
      <sz val="11"/>
      <color rgb="FF3F3F3F"/>
      <name val="Aptos Narrow"/>
      <family val="2"/>
      <charset val="1"/>
    </font>
    <font>
      <sz val="11"/>
      <name val="Calibri"/>
      <family val="2"/>
      <charset val="1"/>
    </font>
    <font>
      <sz val="11"/>
      <color rgb="FF3F3F76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8"/>
      <name val="Aptos Narrow"/>
      <family val="2"/>
      <charset val="1"/>
    </font>
    <font>
      <sz val="11"/>
      <color theme="0"/>
      <name val="Aptos Narrow"/>
      <family val="2"/>
      <charset val="1"/>
    </font>
  </fonts>
  <fills count="3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CC99"/>
        <bgColor rgb="FFFBE3D6"/>
      </patternFill>
    </fill>
    <fill>
      <patternFill patternType="solid">
        <fgColor theme="9" tint="0.79989013336588644"/>
        <bgColor rgb="FFCAEEFB"/>
      </patternFill>
    </fill>
    <fill>
      <patternFill patternType="solid">
        <fgColor theme="0"/>
        <bgColor rgb="FFF2F2F2"/>
      </patternFill>
    </fill>
    <fill>
      <patternFill patternType="solid">
        <fgColor theme="7" tint="0.79989013336588644"/>
        <bgColor rgb="FFCCFFFF"/>
      </patternFill>
    </fill>
    <fill>
      <patternFill patternType="solid">
        <fgColor theme="5" tint="0.79989013336588644"/>
        <bgColor rgb="FFF2F2F2"/>
      </patternFill>
    </fill>
    <fill>
      <patternFill patternType="solid">
        <fgColor theme="8" tint="0.79989013336588644"/>
        <bgColor rgb="FFFBE3D6"/>
      </patternFill>
    </fill>
    <fill>
      <patternFill patternType="solid">
        <fgColor theme="7" tint="0.79998168889431442"/>
        <bgColor rgb="FFFBE3D6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7" tint="0.79998168889431442"/>
        <bgColor rgb="FFF2F2F2"/>
      </patternFill>
    </fill>
    <fill>
      <patternFill patternType="solid">
        <fgColor theme="7" tint="0.79998168889431442"/>
        <bgColor rgb="FFFFFFFF"/>
      </patternFill>
    </fill>
    <fill>
      <patternFill patternType="solid">
        <fgColor rgb="FFF2F2F2"/>
        <bgColor rgb="FFE2F0D9"/>
      </patternFill>
    </fill>
    <fill>
      <patternFill patternType="solid">
        <fgColor theme="4" tint="0.79989013336588644"/>
        <bgColor rgb="FFE2F0D9"/>
      </patternFill>
    </fill>
    <fill>
      <patternFill patternType="solid">
        <fgColor theme="5" tint="0.59987182226020086"/>
        <bgColor rgb="FFFFCC99"/>
      </patternFill>
    </fill>
    <fill>
      <patternFill patternType="solid">
        <fgColor theme="7" tint="0.79989013336588644"/>
        <bgColor rgb="FFF2F2F2"/>
      </patternFill>
    </fill>
    <fill>
      <patternFill patternType="solid">
        <fgColor theme="9" tint="0.79989013336588644"/>
        <bgColor rgb="FFDEEBF7"/>
      </patternFill>
    </fill>
    <fill>
      <patternFill patternType="solid">
        <fgColor theme="8" tint="0.79998168889431442"/>
        <bgColor rgb="FFCAEEFB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3" tint="0.89999084444715716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rgb="FFCAEEFB"/>
      </patternFill>
    </fill>
    <fill>
      <patternFill patternType="solid">
        <fgColor rgb="FF0070C0"/>
        <bgColor rgb="FFCCFFFF"/>
      </patternFill>
    </fill>
    <fill>
      <patternFill patternType="solid">
        <fgColor theme="0" tint="-0.499984740745262"/>
        <bgColor rgb="FFF2F2F2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/>
      <bottom/>
      <diagonal/>
    </border>
  </borders>
  <cellStyleXfs count="3">
    <xf numFmtId="0" fontId="0" fillId="0" borderId="0"/>
    <xf numFmtId="0" fontId="2" fillId="2" borderId="1" applyProtection="0"/>
    <xf numFmtId="0" fontId="4" fillId="3" borderId="2" applyProtection="0"/>
  </cellStyleXfs>
  <cellXfs count="84">
    <xf numFmtId="0" fontId="0" fillId="0" borderId="0" xfId="0"/>
    <xf numFmtId="0" fontId="1" fillId="2" borderId="3" xfId="1" applyFont="1" applyBorder="1" applyAlignment="1" applyProtection="1">
      <alignment horizontal="left" vertical="center" wrapText="1"/>
    </xf>
    <xf numFmtId="0" fontId="1" fillId="2" borderId="3" xfId="1" applyFont="1" applyBorder="1" applyAlignment="1" applyProtection="1">
      <alignment horizontal="right" vertical="center" wrapText="1"/>
    </xf>
    <xf numFmtId="0" fontId="3" fillId="5" borderId="0" xfId="2" applyFont="1" applyFill="1" applyBorder="1" applyAlignment="1" applyProtection="1">
      <alignment horizontal="left"/>
    </xf>
    <xf numFmtId="0" fontId="3" fillId="5" borderId="0" xfId="2" applyFont="1" applyFill="1" applyBorder="1" applyAlignment="1" applyProtection="1">
      <alignment horizontal="right"/>
    </xf>
    <xf numFmtId="0" fontId="0" fillId="5" borderId="0" xfId="0" applyFill="1"/>
    <xf numFmtId="1" fontId="5" fillId="5" borderId="0" xfId="0" applyNumberFormat="1" applyFont="1" applyFill="1"/>
    <xf numFmtId="0" fontId="3" fillId="2" borderId="0" xfId="2" applyFont="1" applyFill="1" applyBorder="1" applyAlignment="1" applyProtection="1">
      <alignment horizontal="left"/>
    </xf>
    <xf numFmtId="0" fontId="3" fillId="5" borderId="0" xfId="2" applyFont="1" applyFill="1" applyBorder="1" applyProtection="1"/>
    <xf numFmtId="0" fontId="0" fillId="5" borderId="0" xfId="0" applyFill="1" applyAlignment="1">
      <alignment horizontal="right"/>
    </xf>
    <xf numFmtId="0" fontId="0" fillId="8" borderId="0" xfId="0" applyFill="1"/>
    <xf numFmtId="1" fontId="5" fillId="0" borderId="0" xfId="0" applyNumberFormat="1" applyFont="1"/>
    <xf numFmtId="1" fontId="1" fillId="2" borderId="3" xfId="1" applyNumberFormat="1" applyFont="1" applyBorder="1" applyAlignment="1" applyProtection="1">
      <alignment horizontal="right" vertical="center" wrapText="1"/>
    </xf>
    <xf numFmtId="1" fontId="6" fillId="0" borderId="3" xfId="0" applyNumberFormat="1" applyFont="1" applyBorder="1"/>
    <xf numFmtId="0" fontId="0" fillId="4" borderId="4" xfId="0" applyFill="1" applyBorder="1"/>
    <xf numFmtId="1" fontId="3" fillId="2" borderId="0" xfId="2" applyNumberFormat="1" applyFont="1" applyFill="1" applyBorder="1" applyAlignment="1" applyProtection="1">
      <alignment horizontal="right"/>
    </xf>
    <xf numFmtId="1" fontId="3" fillId="5" borderId="0" xfId="2" applyNumberFormat="1" applyFont="1" applyFill="1" applyBorder="1" applyAlignment="1" applyProtection="1">
      <alignment horizontal="right"/>
    </xf>
    <xf numFmtId="0" fontId="0" fillId="4" borderId="5" xfId="0" applyFill="1" applyBorder="1"/>
    <xf numFmtId="0" fontId="3" fillId="2" borderId="3" xfId="2" applyFont="1" applyFill="1" applyBorder="1" applyAlignment="1" applyProtection="1">
      <alignment horizontal="left"/>
    </xf>
    <xf numFmtId="0" fontId="0" fillId="6" borderId="4" xfId="0" applyFill="1" applyBorder="1"/>
    <xf numFmtId="0" fontId="0" fillId="6" borderId="5" xfId="0" applyFill="1" applyBorder="1"/>
    <xf numFmtId="0" fontId="0" fillId="7" borderId="4" xfId="0" applyFill="1" applyBorder="1"/>
    <xf numFmtId="0" fontId="0" fillId="7" borderId="5" xfId="0" applyFill="1" applyBorder="1"/>
    <xf numFmtId="0" fontId="0" fillId="8" borderId="3" xfId="0" applyFill="1" applyBorder="1"/>
    <xf numFmtId="0" fontId="0" fillId="9" borderId="0" xfId="0" applyFill="1"/>
    <xf numFmtId="0" fontId="0" fillId="9" borderId="3" xfId="0" applyFill="1" applyBorder="1"/>
    <xf numFmtId="1" fontId="0" fillId="10" borderId="0" xfId="0" applyNumberFormat="1" applyFill="1" applyAlignment="1">
      <alignment horizontal="right"/>
    </xf>
    <xf numFmtId="1" fontId="5" fillId="11" borderId="0" xfId="0" applyNumberFormat="1" applyFont="1" applyFill="1"/>
    <xf numFmtId="1" fontId="5" fillId="14" borderId="0" xfId="0" applyNumberFormat="1" applyFont="1" applyFill="1"/>
    <xf numFmtId="1" fontId="5" fillId="15" borderId="0" xfId="0" applyNumberFormat="1" applyFont="1" applyFill="1"/>
    <xf numFmtId="1" fontId="3" fillId="11" borderId="0" xfId="2" applyNumberFormat="1" applyFont="1" applyFill="1" applyBorder="1" applyAlignment="1" applyProtection="1">
      <alignment horizontal="right"/>
    </xf>
    <xf numFmtId="1" fontId="3" fillId="12" borderId="0" xfId="2" applyNumberFormat="1" applyFont="1" applyFill="1" applyBorder="1" applyAlignment="1" applyProtection="1">
      <alignment horizontal="right"/>
    </xf>
    <xf numFmtId="1" fontId="3" fillId="15" borderId="0" xfId="2" applyNumberFormat="1" applyFont="1" applyFill="1" applyBorder="1" applyAlignment="1" applyProtection="1">
      <alignment horizontal="right"/>
    </xf>
    <xf numFmtId="1" fontId="3" fillId="16" borderId="0" xfId="2" applyNumberFormat="1" applyFont="1" applyFill="1" applyBorder="1" applyAlignment="1" applyProtection="1">
      <alignment horizontal="right"/>
    </xf>
    <xf numFmtId="1" fontId="3" fillId="13" borderId="0" xfId="2" applyNumberFormat="1" applyFont="1" applyFill="1" applyBorder="1" applyAlignment="1" applyProtection="1">
      <alignment horizontal="right"/>
    </xf>
    <xf numFmtId="1" fontId="3" fillId="14" borderId="0" xfId="2" applyNumberFormat="1" applyFont="1" applyFill="1" applyBorder="1" applyAlignment="1" applyProtection="1">
      <alignment horizontal="right"/>
    </xf>
    <xf numFmtId="0" fontId="2" fillId="2" borderId="1" xfId="1" applyAlignment="1" applyProtection="1">
      <alignment horizontal="left" vertical="center" wrapText="1"/>
    </xf>
    <xf numFmtId="0" fontId="2" fillId="2" borderId="1" xfId="1" applyAlignment="1" applyProtection="1">
      <alignment horizontal="right" vertical="center" wrapText="1"/>
    </xf>
    <xf numFmtId="0" fontId="2" fillId="2" borderId="6" xfId="1" applyBorder="1" applyAlignment="1" applyProtection="1">
      <alignment horizontal="right" vertical="center" wrapText="1"/>
    </xf>
    <xf numFmtId="1" fontId="0" fillId="5" borderId="0" xfId="0" applyNumberFormat="1" applyFill="1"/>
    <xf numFmtId="1" fontId="0" fillId="0" borderId="0" xfId="0" applyNumberFormat="1"/>
    <xf numFmtId="0" fontId="0" fillId="18" borderId="0" xfId="0" applyFill="1"/>
    <xf numFmtId="0" fontId="0" fillId="17" borderId="0" xfId="0" applyFill="1" applyAlignment="1">
      <alignment horizontal="right"/>
    </xf>
    <xf numFmtId="0" fontId="0" fillId="17" borderId="0" xfId="0" applyFill="1"/>
    <xf numFmtId="1" fontId="0" fillId="17" borderId="0" xfId="0" applyNumberFormat="1" applyFill="1"/>
    <xf numFmtId="0" fontId="0" fillId="19" borderId="0" xfId="0" applyFill="1"/>
    <xf numFmtId="0" fontId="0" fillId="0" borderId="0" xfId="0" applyAlignment="1">
      <alignment horizontal="right"/>
    </xf>
    <xf numFmtId="0" fontId="0" fillId="20" borderId="0" xfId="0" applyFill="1"/>
    <xf numFmtId="0" fontId="0" fillId="21" borderId="0" xfId="0" applyFill="1"/>
    <xf numFmtId="0" fontId="0" fillId="22" borderId="0" xfId="0" applyFill="1"/>
    <xf numFmtId="0" fontId="3" fillId="23" borderId="0" xfId="2" applyFont="1" applyFill="1" applyBorder="1" applyAlignment="1" applyProtection="1">
      <alignment horizontal="left"/>
    </xf>
    <xf numFmtId="0" fontId="3" fillId="24" borderId="0" xfId="2" applyFont="1" applyFill="1" applyBorder="1" applyAlignment="1" applyProtection="1">
      <alignment horizontal="left"/>
    </xf>
    <xf numFmtId="0" fontId="3" fillId="23" borderId="3" xfId="2" applyFont="1" applyFill="1" applyBorder="1" applyAlignment="1" applyProtection="1">
      <alignment horizontal="left"/>
    </xf>
    <xf numFmtId="1" fontId="3" fillId="24" borderId="0" xfId="2" applyNumberFormat="1" applyFont="1" applyFill="1" applyBorder="1" applyAlignment="1" applyProtection="1">
      <alignment horizontal="right"/>
    </xf>
    <xf numFmtId="1" fontId="3" fillId="23" borderId="0" xfId="2" applyNumberFormat="1" applyFont="1" applyFill="1" applyBorder="1" applyAlignment="1" applyProtection="1">
      <alignment horizontal="right"/>
    </xf>
    <xf numFmtId="1" fontId="3" fillId="25" borderId="0" xfId="2" applyNumberFormat="1" applyFont="1" applyFill="1" applyBorder="1" applyAlignment="1" applyProtection="1">
      <alignment horizontal="right"/>
    </xf>
    <xf numFmtId="1" fontId="3" fillId="26" borderId="0" xfId="2" applyNumberFormat="1" applyFont="1" applyFill="1" applyBorder="1" applyAlignment="1" applyProtection="1">
      <alignment horizontal="right"/>
    </xf>
    <xf numFmtId="1" fontId="3" fillId="26" borderId="3" xfId="2" applyNumberFormat="1" applyFont="1" applyFill="1" applyBorder="1" applyAlignment="1" applyProtection="1">
      <alignment horizontal="right"/>
    </xf>
    <xf numFmtId="1" fontId="3" fillId="27" borderId="0" xfId="2" applyNumberFormat="1" applyFont="1" applyFill="1" applyBorder="1" applyAlignment="1" applyProtection="1">
      <alignment horizontal="right"/>
    </xf>
    <xf numFmtId="1" fontId="3" fillId="28" borderId="0" xfId="2" applyNumberFormat="1" applyFont="1" applyFill="1" applyBorder="1" applyAlignment="1" applyProtection="1">
      <alignment horizontal="right"/>
    </xf>
    <xf numFmtId="0" fontId="0" fillId="22" borderId="3" xfId="0" applyFill="1" applyBorder="1"/>
    <xf numFmtId="0" fontId="3" fillId="5" borderId="3" xfId="2" applyFont="1" applyFill="1" applyBorder="1" applyProtection="1"/>
    <xf numFmtId="0" fontId="3" fillId="5" borderId="3" xfId="2" applyFont="1" applyFill="1" applyBorder="1" applyAlignment="1" applyProtection="1">
      <alignment horizontal="right"/>
    </xf>
    <xf numFmtId="0" fontId="0" fillId="5" borderId="3" xfId="0" applyFill="1" applyBorder="1" applyAlignment="1">
      <alignment horizontal="right"/>
    </xf>
    <xf numFmtId="1" fontId="5" fillId="15" borderId="3" xfId="0" applyNumberFormat="1" applyFont="1" applyFill="1" applyBorder="1"/>
    <xf numFmtId="0" fontId="0" fillId="0" borderId="3" xfId="0" applyBorder="1"/>
    <xf numFmtId="2" fontId="0" fillId="0" borderId="0" xfId="0" applyNumberFormat="1"/>
    <xf numFmtId="1" fontId="0" fillId="0" borderId="3" xfId="0" applyNumberFormat="1" applyBorder="1"/>
    <xf numFmtId="164" fontId="0" fillId="0" borderId="0" xfId="0" applyNumberFormat="1"/>
    <xf numFmtId="0" fontId="0" fillId="30" borderId="0" xfId="0" applyFill="1" applyAlignment="1">
      <alignment horizontal="right"/>
    </xf>
    <xf numFmtId="0" fontId="0" fillId="31" borderId="0" xfId="0" applyFill="1"/>
    <xf numFmtId="0" fontId="0" fillId="32" borderId="0" xfId="0" applyFill="1"/>
    <xf numFmtId="0" fontId="0" fillId="33" borderId="0" xfId="0" applyFill="1"/>
    <xf numFmtId="0" fontId="3" fillId="29" borderId="0" xfId="2" applyFont="1" applyFill="1" applyBorder="1" applyAlignment="1" applyProtection="1">
      <alignment horizontal="right"/>
    </xf>
    <xf numFmtId="0" fontId="3" fillId="13" borderId="0" xfId="2" applyFont="1" applyFill="1" applyBorder="1" applyAlignment="1" applyProtection="1">
      <alignment horizontal="right"/>
    </xf>
    <xf numFmtId="0" fontId="3" fillId="12" borderId="3" xfId="2" applyFont="1" applyFill="1" applyBorder="1" applyAlignment="1" applyProtection="1">
      <alignment horizontal="right"/>
    </xf>
    <xf numFmtId="0" fontId="8" fillId="34" borderId="4" xfId="0" applyFont="1" applyFill="1" applyBorder="1"/>
    <xf numFmtId="0" fontId="8" fillId="35" borderId="4" xfId="0" applyFont="1" applyFill="1" applyBorder="1"/>
    <xf numFmtId="0" fontId="8" fillId="36" borderId="4" xfId="0" applyFont="1" applyFill="1" applyBorder="1"/>
    <xf numFmtId="0" fontId="8" fillId="34" borderId="0" xfId="0" applyFont="1" applyFill="1"/>
    <xf numFmtId="0" fontId="8" fillId="34" borderId="3" xfId="0" applyFont="1" applyFill="1" applyBorder="1"/>
    <xf numFmtId="0" fontId="8" fillId="35" borderId="0" xfId="0" applyFont="1" applyFill="1"/>
    <xf numFmtId="0" fontId="8" fillId="36" borderId="0" xfId="0" applyFont="1" applyFill="1"/>
    <xf numFmtId="165" fontId="5" fillId="0" borderId="0" xfId="0" applyNumberFormat="1" applyFont="1"/>
  </cellXfs>
  <cellStyles count="3">
    <cellStyle name="Excel Built-in Input" xfId="2" xr:uid="{00000000-0005-0000-0000-000007000000}"/>
    <cellStyle name="Excel Built-in Output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AEEFB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BE3D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Liquid</a:t>
            </a:r>
            <a:r>
              <a:rPr lang="en-ZA" baseline="0"/>
              <a:t> fuel price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1"/>
          <c:tx>
            <c:v>High Published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extendable_generators!$J$2:$AS$2</c:f>
              <c:numCache>
                <c:formatCode>0</c:formatCode>
                <c:ptCount val="36"/>
                <c:pt idx="0">
                  <c:v>429.64</c:v>
                </c:pt>
                <c:pt idx="1">
                  <c:v>471.39</c:v>
                </c:pt>
                <c:pt idx="2">
                  <c:v>513.07000000000005</c:v>
                </c:pt>
                <c:pt idx="3">
                  <c:v>558.9</c:v>
                </c:pt>
                <c:pt idx="4">
                  <c:v>606.11</c:v>
                </c:pt>
                <c:pt idx="5">
                  <c:v>611.09</c:v>
                </c:pt>
                <c:pt idx="6">
                  <c:v>616.36</c:v>
                </c:pt>
                <c:pt idx="7">
                  <c:v>615.87</c:v>
                </c:pt>
                <c:pt idx="8">
                  <c:v>619.91</c:v>
                </c:pt>
                <c:pt idx="9">
                  <c:v>627.52</c:v>
                </c:pt>
                <c:pt idx="10">
                  <c:v>629.52</c:v>
                </c:pt>
                <c:pt idx="11">
                  <c:v>629.79999999999995</c:v>
                </c:pt>
                <c:pt idx="12">
                  <c:v>636.17999999999995</c:v>
                </c:pt>
                <c:pt idx="13">
                  <c:v>629.96</c:v>
                </c:pt>
                <c:pt idx="14">
                  <c:v>631.33000000000004</c:v>
                </c:pt>
                <c:pt idx="15">
                  <c:v>632.86</c:v>
                </c:pt>
                <c:pt idx="16">
                  <c:v>637.49</c:v>
                </c:pt>
                <c:pt idx="17">
                  <c:v>640.96</c:v>
                </c:pt>
                <c:pt idx="18">
                  <c:v>641.74</c:v>
                </c:pt>
                <c:pt idx="19">
                  <c:v>644.66999999999996</c:v>
                </c:pt>
                <c:pt idx="20">
                  <c:v>643.6</c:v>
                </c:pt>
                <c:pt idx="21">
                  <c:v>644.79</c:v>
                </c:pt>
                <c:pt idx="22">
                  <c:v>647.71</c:v>
                </c:pt>
                <c:pt idx="23">
                  <c:v>653.19000000000005</c:v>
                </c:pt>
                <c:pt idx="24">
                  <c:v>654.28</c:v>
                </c:pt>
                <c:pt idx="25">
                  <c:v>655.8</c:v>
                </c:pt>
                <c:pt idx="26">
                  <c:v>655.8</c:v>
                </c:pt>
                <c:pt idx="27">
                  <c:v>655.8</c:v>
                </c:pt>
                <c:pt idx="28">
                  <c:v>655.8</c:v>
                </c:pt>
                <c:pt idx="29">
                  <c:v>655.8</c:v>
                </c:pt>
                <c:pt idx="30">
                  <c:v>655.8</c:v>
                </c:pt>
                <c:pt idx="31">
                  <c:v>655.8</c:v>
                </c:pt>
                <c:pt idx="32">
                  <c:v>655.8</c:v>
                </c:pt>
                <c:pt idx="33">
                  <c:v>655.8</c:v>
                </c:pt>
                <c:pt idx="34">
                  <c:v>655.8</c:v>
                </c:pt>
                <c:pt idx="35">
                  <c:v>655.8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84-4745-932A-6DA2B18BC4B4}"/>
            </c:ext>
          </c:extLst>
        </c:ser>
        <c:ser>
          <c:idx val="3"/>
          <c:order val="2"/>
          <c:tx>
            <c:v>Best Est. Published</c:v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extendable_generators!$J$14:$AS$14</c:f>
              <c:numCache>
                <c:formatCode>0</c:formatCode>
                <c:ptCount val="36"/>
                <c:pt idx="0">
                  <c:v>396.72</c:v>
                </c:pt>
                <c:pt idx="1">
                  <c:v>405.87</c:v>
                </c:pt>
                <c:pt idx="2">
                  <c:v>415.35</c:v>
                </c:pt>
                <c:pt idx="3">
                  <c:v>425.96</c:v>
                </c:pt>
                <c:pt idx="4">
                  <c:v>437.53</c:v>
                </c:pt>
                <c:pt idx="5">
                  <c:v>440.21</c:v>
                </c:pt>
                <c:pt idx="6">
                  <c:v>442.39</c:v>
                </c:pt>
                <c:pt idx="7">
                  <c:v>445.58</c:v>
                </c:pt>
                <c:pt idx="8">
                  <c:v>447.37</c:v>
                </c:pt>
                <c:pt idx="9">
                  <c:v>450.04</c:v>
                </c:pt>
                <c:pt idx="10">
                  <c:v>453.37</c:v>
                </c:pt>
                <c:pt idx="11">
                  <c:v>455.66</c:v>
                </c:pt>
                <c:pt idx="12">
                  <c:v>458.2</c:v>
                </c:pt>
                <c:pt idx="13">
                  <c:v>460.28</c:v>
                </c:pt>
                <c:pt idx="14">
                  <c:v>462.36</c:v>
                </c:pt>
                <c:pt idx="15">
                  <c:v>464.39</c:v>
                </c:pt>
                <c:pt idx="16">
                  <c:v>466.51</c:v>
                </c:pt>
                <c:pt idx="17">
                  <c:v>468.23</c:v>
                </c:pt>
                <c:pt idx="18">
                  <c:v>469.7</c:v>
                </c:pt>
                <c:pt idx="19">
                  <c:v>471.57</c:v>
                </c:pt>
                <c:pt idx="20">
                  <c:v>472.95</c:v>
                </c:pt>
                <c:pt idx="21">
                  <c:v>475.98</c:v>
                </c:pt>
                <c:pt idx="22">
                  <c:v>477.6</c:v>
                </c:pt>
                <c:pt idx="23">
                  <c:v>479.89</c:v>
                </c:pt>
                <c:pt idx="24">
                  <c:v>482.55</c:v>
                </c:pt>
                <c:pt idx="25">
                  <c:v>483.6</c:v>
                </c:pt>
                <c:pt idx="26">
                  <c:v>483.6</c:v>
                </c:pt>
                <c:pt idx="27">
                  <c:v>483.6</c:v>
                </c:pt>
                <c:pt idx="28">
                  <c:v>483.6</c:v>
                </c:pt>
                <c:pt idx="29">
                  <c:v>483.6</c:v>
                </c:pt>
                <c:pt idx="30">
                  <c:v>483.6</c:v>
                </c:pt>
                <c:pt idx="31">
                  <c:v>483.6</c:v>
                </c:pt>
                <c:pt idx="32">
                  <c:v>483.6</c:v>
                </c:pt>
                <c:pt idx="33">
                  <c:v>483.6</c:v>
                </c:pt>
                <c:pt idx="34">
                  <c:v>483.6</c:v>
                </c:pt>
                <c:pt idx="35">
                  <c:v>483.6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4D-472A-8F64-14EAE376CB4B}"/>
            </c:ext>
          </c:extLst>
        </c:ser>
        <c:ser>
          <c:idx val="1"/>
          <c:order val="3"/>
          <c:tx>
            <c:v>Low Published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extendable_generators!$J$26:$AS$26</c:f>
              <c:numCache>
                <c:formatCode>0</c:formatCode>
                <c:ptCount val="36"/>
                <c:pt idx="0">
                  <c:v>380.19</c:v>
                </c:pt>
                <c:pt idx="1">
                  <c:v>372.37</c:v>
                </c:pt>
                <c:pt idx="2">
                  <c:v>364.35</c:v>
                </c:pt>
                <c:pt idx="3">
                  <c:v>358.54</c:v>
                </c:pt>
                <c:pt idx="4">
                  <c:v>352.2</c:v>
                </c:pt>
                <c:pt idx="5">
                  <c:v>354.57</c:v>
                </c:pt>
                <c:pt idx="6">
                  <c:v>356.83</c:v>
                </c:pt>
                <c:pt idx="7">
                  <c:v>359.66</c:v>
                </c:pt>
                <c:pt idx="8">
                  <c:v>361.8</c:v>
                </c:pt>
                <c:pt idx="9">
                  <c:v>363.06</c:v>
                </c:pt>
                <c:pt idx="10">
                  <c:v>365.73</c:v>
                </c:pt>
                <c:pt idx="11">
                  <c:v>368.19</c:v>
                </c:pt>
                <c:pt idx="12">
                  <c:v>370.21</c:v>
                </c:pt>
                <c:pt idx="13">
                  <c:v>371.39</c:v>
                </c:pt>
                <c:pt idx="14">
                  <c:v>373.3</c:v>
                </c:pt>
                <c:pt idx="15">
                  <c:v>372.78</c:v>
                </c:pt>
                <c:pt idx="16">
                  <c:v>373.9</c:v>
                </c:pt>
                <c:pt idx="17">
                  <c:v>374.81</c:v>
                </c:pt>
                <c:pt idx="18">
                  <c:v>375.57</c:v>
                </c:pt>
                <c:pt idx="19">
                  <c:v>377.42</c:v>
                </c:pt>
                <c:pt idx="20">
                  <c:v>378.15</c:v>
                </c:pt>
                <c:pt idx="21">
                  <c:v>381.35</c:v>
                </c:pt>
                <c:pt idx="22">
                  <c:v>381</c:v>
                </c:pt>
                <c:pt idx="23">
                  <c:v>383.49</c:v>
                </c:pt>
                <c:pt idx="24">
                  <c:v>384.2</c:v>
                </c:pt>
                <c:pt idx="25">
                  <c:v>386.45</c:v>
                </c:pt>
                <c:pt idx="26">
                  <c:v>386.45</c:v>
                </c:pt>
                <c:pt idx="27">
                  <c:v>386.45</c:v>
                </c:pt>
                <c:pt idx="28">
                  <c:v>386.45</c:v>
                </c:pt>
                <c:pt idx="29">
                  <c:v>386.45</c:v>
                </c:pt>
                <c:pt idx="30">
                  <c:v>386.45</c:v>
                </c:pt>
                <c:pt idx="31">
                  <c:v>386.45</c:v>
                </c:pt>
                <c:pt idx="32">
                  <c:v>386.45</c:v>
                </c:pt>
                <c:pt idx="33">
                  <c:v>386.45</c:v>
                </c:pt>
                <c:pt idx="34">
                  <c:v>386.45</c:v>
                </c:pt>
                <c:pt idx="35">
                  <c:v>386.45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84-4745-932A-6DA2B18BC4B4}"/>
            </c:ext>
          </c:extLst>
        </c:ser>
        <c:ser>
          <c:idx val="4"/>
          <c:order val="4"/>
          <c:tx>
            <c:v>High Update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extendable_generators!$J$62:$AS$62</c:f>
              <c:numCache>
                <c:formatCode>0</c:formatCode>
                <c:ptCount val="36"/>
                <c:pt idx="0">
                  <c:v>388.87</c:v>
                </c:pt>
                <c:pt idx="1">
                  <c:v>404.1</c:v>
                </c:pt>
                <c:pt idx="2">
                  <c:v>418.4</c:v>
                </c:pt>
                <c:pt idx="3">
                  <c:v>432.19</c:v>
                </c:pt>
                <c:pt idx="4">
                  <c:v>446.49</c:v>
                </c:pt>
                <c:pt idx="5">
                  <c:v>462.62</c:v>
                </c:pt>
                <c:pt idx="6">
                  <c:v>468.14</c:v>
                </c:pt>
                <c:pt idx="7">
                  <c:v>468.5</c:v>
                </c:pt>
                <c:pt idx="8">
                  <c:v>473.81</c:v>
                </c:pt>
                <c:pt idx="9">
                  <c:v>479.77</c:v>
                </c:pt>
                <c:pt idx="10">
                  <c:v>483.6</c:v>
                </c:pt>
                <c:pt idx="11">
                  <c:v>487.23</c:v>
                </c:pt>
                <c:pt idx="12">
                  <c:v>492.08</c:v>
                </c:pt>
                <c:pt idx="13">
                  <c:v>497.73</c:v>
                </c:pt>
                <c:pt idx="14">
                  <c:v>504.74</c:v>
                </c:pt>
                <c:pt idx="15">
                  <c:v>509.26</c:v>
                </c:pt>
                <c:pt idx="16">
                  <c:v>505.89</c:v>
                </c:pt>
                <c:pt idx="17">
                  <c:v>514.87</c:v>
                </c:pt>
                <c:pt idx="18">
                  <c:v>519.71</c:v>
                </c:pt>
                <c:pt idx="19">
                  <c:v>523.98</c:v>
                </c:pt>
                <c:pt idx="20">
                  <c:v>526.21</c:v>
                </c:pt>
                <c:pt idx="21">
                  <c:v>525.22</c:v>
                </c:pt>
                <c:pt idx="22">
                  <c:v>532.99</c:v>
                </c:pt>
                <c:pt idx="23">
                  <c:v>536.15</c:v>
                </c:pt>
                <c:pt idx="24">
                  <c:v>540.24</c:v>
                </c:pt>
                <c:pt idx="25">
                  <c:v>543.9</c:v>
                </c:pt>
                <c:pt idx="26">
                  <c:v>544</c:v>
                </c:pt>
                <c:pt idx="27">
                  <c:v>544</c:v>
                </c:pt>
                <c:pt idx="28">
                  <c:v>544</c:v>
                </c:pt>
                <c:pt idx="29">
                  <c:v>544</c:v>
                </c:pt>
                <c:pt idx="30">
                  <c:v>544</c:v>
                </c:pt>
                <c:pt idx="31">
                  <c:v>544</c:v>
                </c:pt>
                <c:pt idx="32">
                  <c:v>544</c:v>
                </c:pt>
                <c:pt idx="33">
                  <c:v>544</c:v>
                </c:pt>
                <c:pt idx="34">
                  <c:v>544</c:v>
                </c:pt>
                <c:pt idx="35">
                  <c:v>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EB-47A5-8BC5-7DE45D6FA4CA}"/>
            </c:ext>
          </c:extLst>
        </c:ser>
        <c:ser>
          <c:idx val="5"/>
          <c:order val="5"/>
          <c:tx>
            <c:v>Best Est. Update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extendable_generators!$J$74:$AS$74</c:f>
              <c:numCache>
                <c:formatCode>0</c:formatCode>
                <c:ptCount val="36"/>
                <c:pt idx="0">
                  <c:v>388.87</c:v>
                </c:pt>
                <c:pt idx="1">
                  <c:v>388.6</c:v>
                </c:pt>
                <c:pt idx="2">
                  <c:v>386.77</c:v>
                </c:pt>
                <c:pt idx="3">
                  <c:v>384.37</c:v>
                </c:pt>
                <c:pt idx="4">
                  <c:v>382.13</c:v>
                </c:pt>
                <c:pt idx="5">
                  <c:v>381.53</c:v>
                </c:pt>
                <c:pt idx="6">
                  <c:v>383.6</c:v>
                </c:pt>
                <c:pt idx="7">
                  <c:v>381.66</c:v>
                </c:pt>
                <c:pt idx="8">
                  <c:v>386.9</c:v>
                </c:pt>
                <c:pt idx="9">
                  <c:v>389.56</c:v>
                </c:pt>
                <c:pt idx="10">
                  <c:v>390.76</c:v>
                </c:pt>
                <c:pt idx="11">
                  <c:v>391.8</c:v>
                </c:pt>
                <c:pt idx="12">
                  <c:v>394.01</c:v>
                </c:pt>
                <c:pt idx="13">
                  <c:v>395.09</c:v>
                </c:pt>
                <c:pt idx="14">
                  <c:v>397.38</c:v>
                </c:pt>
                <c:pt idx="15">
                  <c:v>399.25</c:v>
                </c:pt>
                <c:pt idx="16">
                  <c:v>400.63</c:v>
                </c:pt>
                <c:pt idx="17">
                  <c:v>400.03</c:v>
                </c:pt>
                <c:pt idx="18">
                  <c:v>404.73</c:v>
                </c:pt>
                <c:pt idx="19">
                  <c:v>404.67</c:v>
                </c:pt>
                <c:pt idx="20">
                  <c:v>406.38</c:v>
                </c:pt>
                <c:pt idx="21">
                  <c:v>408.01</c:v>
                </c:pt>
                <c:pt idx="22">
                  <c:v>417.44</c:v>
                </c:pt>
                <c:pt idx="23">
                  <c:v>419.63</c:v>
                </c:pt>
                <c:pt idx="24">
                  <c:v>422.8</c:v>
                </c:pt>
                <c:pt idx="25">
                  <c:v>424.07</c:v>
                </c:pt>
                <c:pt idx="26">
                  <c:v>424</c:v>
                </c:pt>
                <c:pt idx="27">
                  <c:v>424</c:v>
                </c:pt>
                <c:pt idx="28">
                  <c:v>424</c:v>
                </c:pt>
                <c:pt idx="29">
                  <c:v>424</c:v>
                </c:pt>
                <c:pt idx="30">
                  <c:v>424</c:v>
                </c:pt>
                <c:pt idx="31">
                  <c:v>424</c:v>
                </c:pt>
                <c:pt idx="32">
                  <c:v>424</c:v>
                </c:pt>
                <c:pt idx="33">
                  <c:v>424</c:v>
                </c:pt>
                <c:pt idx="34">
                  <c:v>424</c:v>
                </c:pt>
                <c:pt idx="35">
                  <c:v>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EB-47A5-8BC5-7DE45D6FA4CA}"/>
            </c:ext>
          </c:extLst>
        </c:ser>
        <c:ser>
          <c:idx val="6"/>
          <c:order val="6"/>
          <c:tx>
            <c:v>Low Update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extendable_generators!$J$86:$AS$86</c:f>
              <c:numCache>
                <c:formatCode>0</c:formatCode>
                <c:ptCount val="36"/>
                <c:pt idx="0">
                  <c:v>388.87</c:v>
                </c:pt>
                <c:pt idx="1">
                  <c:v>372.94</c:v>
                </c:pt>
                <c:pt idx="2">
                  <c:v>356.79</c:v>
                </c:pt>
                <c:pt idx="3">
                  <c:v>341.89</c:v>
                </c:pt>
                <c:pt idx="4">
                  <c:v>326.08</c:v>
                </c:pt>
                <c:pt idx="5">
                  <c:v>311.33</c:v>
                </c:pt>
                <c:pt idx="6">
                  <c:v>313.23</c:v>
                </c:pt>
                <c:pt idx="7">
                  <c:v>312.72000000000003</c:v>
                </c:pt>
                <c:pt idx="8">
                  <c:v>316.02999999999997</c:v>
                </c:pt>
                <c:pt idx="9">
                  <c:v>317.45999999999998</c:v>
                </c:pt>
                <c:pt idx="10">
                  <c:v>318.45</c:v>
                </c:pt>
                <c:pt idx="11">
                  <c:v>320.16000000000003</c:v>
                </c:pt>
                <c:pt idx="12">
                  <c:v>321.70999999999998</c:v>
                </c:pt>
                <c:pt idx="13">
                  <c:v>323.02999999999997</c:v>
                </c:pt>
                <c:pt idx="14">
                  <c:v>325.39</c:v>
                </c:pt>
                <c:pt idx="15">
                  <c:v>326.70999999999998</c:v>
                </c:pt>
                <c:pt idx="16">
                  <c:v>327.79</c:v>
                </c:pt>
                <c:pt idx="17">
                  <c:v>327.88</c:v>
                </c:pt>
                <c:pt idx="18">
                  <c:v>330.62</c:v>
                </c:pt>
                <c:pt idx="19">
                  <c:v>330.97</c:v>
                </c:pt>
                <c:pt idx="20">
                  <c:v>332.22</c:v>
                </c:pt>
                <c:pt idx="21">
                  <c:v>335.09</c:v>
                </c:pt>
                <c:pt idx="22">
                  <c:v>339.96</c:v>
                </c:pt>
                <c:pt idx="23">
                  <c:v>341.7</c:v>
                </c:pt>
                <c:pt idx="24">
                  <c:v>343.5</c:v>
                </c:pt>
                <c:pt idx="25">
                  <c:v>344.94</c:v>
                </c:pt>
                <c:pt idx="26">
                  <c:v>345</c:v>
                </c:pt>
                <c:pt idx="27">
                  <c:v>345</c:v>
                </c:pt>
                <c:pt idx="28">
                  <c:v>345</c:v>
                </c:pt>
                <c:pt idx="29">
                  <c:v>345</c:v>
                </c:pt>
                <c:pt idx="30">
                  <c:v>345</c:v>
                </c:pt>
                <c:pt idx="31">
                  <c:v>345</c:v>
                </c:pt>
                <c:pt idx="32">
                  <c:v>345</c:v>
                </c:pt>
                <c:pt idx="33">
                  <c:v>345</c:v>
                </c:pt>
                <c:pt idx="34">
                  <c:v>345</c:v>
                </c:pt>
                <c:pt idx="35">
                  <c:v>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EB-47A5-8BC5-7DE45D6FA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471808"/>
        <c:axId val="27103103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extendable_generators!$A$51</c15:sqref>
                        </c15:formulaRef>
                      </c:ext>
                    </c:extLst>
                    <c:strCache>
                      <c:ptCount val="1"/>
                      <c:pt idx="0">
                        <c:v>ME_IRP23</c:v>
                      </c:pt>
                    </c:strCache>
                  </c:strRef>
                </c:tx>
                <c:spPr>
                  <a:ln w="19050" cap="rnd">
                    <a:solidFill>
                      <a:srgbClr val="00206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extendable_generators!$J$1:$AS$1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extendable_generators!$J$50:$AS$50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864.96</c:v>
                      </c:pt>
                      <c:pt idx="1">
                        <c:v>864.96</c:v>
                      </c:pt>
                      <c:pt idx="2">
                        <c:v>864.96</c:v>
                      </c:pt>
                      <c:pt idx="3">
                        <c:v>864.96</c:v>
                      </c:pt>
                      <c:pt idx="4">
                        <c:v>864.96</c:v>
                      </c:pt>
                      <c:pt idx="5">
                        <c:v>864.96</c:v>
                      </c:pt>
                      <c:pt idx="6">
                        <c:v>864.96</c:v>
                      </c:pt>
                      <c:pt idx="7">
                        <c:v>864.96</c:v>
                      </c:pt>
                      <c:pt idx="8">
                        <c:v>864.96</c:v>
                      </c:pt>
                      <c:pt idx="9">
                        <c:v>864.96</c:v>
                      </c:pt>
                      <c:pt idx="10">
                        <c:v>864.96</c:v>
                      </c:pt>
                      <c:pt idx="11">
                        <c:v>864.96</c:v>
                      </c:pt>
                      <c:pt idx="12">
                        <c:v>864.96</c:v>
                      </c:pt>
                      <c:pt idx="13">
                        <c:v>864.96</c:v>
                      </c:pt>
                      <c:pt idx="14">
                        <c:v>864.96</c:v>
                      </c:pt>
                      <c:pt idx="15">
                        <c:v>864.96</c:v>
                      </c:pt>
                      <c:pt idx="16">
                        <c:v>864.96</c:v>
                      </c:pt>
                      <c:pt idx="17">
                        <c:v>864.96</c:v>
                      </c:pt>
                      <c:pt idx="18">
                        <c:v>864.96</c:v>
                      </c:pt>
                      <c:pt idx="19">
                        <c:v>864.96</c:v>
                      </c:pt>
                      <c:pt idx="20">
                        <c:v>864.96</c:v>
                      </c:pt>
                      <c:pt idx="21">
                        <c:v>864.96</c:v>
                      </c:pt>
                      <c:pt idx="22">
                        <c:v>864.96</c:v>
                      </c:pt>
                      <c:pt idx="23">
                        <c:v>864.96</c:v>
                      </c:pt>
                      <c:pt idx="24">
                        <c:v>864.96</c:v>
                      </c:pt>
                      <c:pt idx="25">
                        <c:v>864.96</c:v>
                      </c:pt>
                      <c:pt idx="26">
                        <c:v>864.96</c:v>
                      </c:pt>
                      <c:pt idx="27">
                        <c:v>864.96</c:v>
                      </c:pt>
                      <c:pt idx="28">
                        <c:v>864.96</c:v>
                      </c:pt>
                      <c:pt idx="29">
                        <c:v>864.96</c:v>
                      </c:pt>
                      <c:pt idx="30">
                        <c:v>864.96</c:v>
                      </c:pt>
                      <c:pt idx="31">
                        <c:v>864.96</c:v>
                      </c:pt>
                      <c:pt idx="32">
                        <c:v>864.96</c:v>
                      </c:pt>
                      <c:pt idx="33">
                        <c:v>864.96</c:v>
                      </c:pt>
                      <c:pt idx="34">
                        <c:v>864.96</c:v>
                      </c:pt>
                      <c:pt idx="35">
                        <c:v>864.96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B284-4745-932A-6DA2B18BC4B4}"/>
                  </c:ext>
                </c:extLst>
              </c15:ser>
            </c15:filteredScatterSeries>
          </c:ext>
        </c:extLst>
      </c:scatterChart>
      <c:valAx>
        <c:axId val="1485471808"/>
        <c:scaling>
          <c:orientation val="minMax"/>
          <c:max val="2060"/>
          <c:min val="202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031039"/>
        <c:crosses val="autoZero"/>
        <c:crossBetween val="midCat"/>
      </c:valAx>
      <c:valAx>
        <c:axId val="271031039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/>
                  <a:t>Price </a:t>
                </a:r>
                <a:r>
                  <a:rPr lang="en-ZA" sz="1400" baseline="0"/>
                  <a:t>(R/GJ)</a:t>
                </a:r>
                <a:endParaRPr lang="en-ZA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47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Gas</a:t>
            </a:r>
            <a:r>
              <a:rPr lang="en-ZA" baseline="0"/>
              <a:t> fuel price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1"/>
          <c:tx>
            <c:v>High Published</c:v>
          </c:tx>
          <c:spPr>
            <a:ln w="190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extendable_generators!$J$4:$AS$4</c:f>
              <c:numCache>
                <c:formatCode>0</c:formatCode>
                <c:ptCount val="36"/>
                <c:pt idx="0">
                  <c:v>244.67</c:v>
                </c:pt>
                <c:pt idx="1">
                  <c:v>271.33</c:v>
                </c:pt>
                <c:pt idx="2">
                  <c:v>297.95</c:v>
                </c:pt>
                <c:pt idx="3">
                  <c:v>327.22000000000003</c:v>
                </c:pt>
                <c:pt idx="4">
                  <c:v>357.37</c:v>
                </c:pt>
                <c:pt idx="5">
                  <c:v>360.55</c:v>
                </c:pt>
                <c:pt idx="6">
                  <c:v>363.92</c:v>
                </c:pt>
                <c:pt idx="7">
                  <c:v>363.61</c:v>
                </c:pt>
                <c:pt idx="8">
                  <c:v>366.18</c:v>
                </c:pt>
                <c:pt idx="9">
                  <c:v>371.04</c:v>
                </c:pt>
                <c:pt idx="10">
                  <c:v>372.32</c:v>
                </c:pt>
                <c:pt idx="11">
                  <c:v>372.5</c:v>
                </c:pt>
                <c:pt idx="12">
                  <c:v>376.58</c:v>
                </c:pt>
                <c:pt idx="13">
                  <c:v>372.6</c:v>
                </c:pt>
                <c:pt idx="14">
                  <c:v>373.48</c:v>
                </c:pt>
                <c:pt idx="15">
                  <c:v>374.46</c:v>
                </c:pt>
                <c:pt idx="16">
                  <c:v>377.41</c:v>
                </c:pt>
                <c:pt idx="17">
                  <c:v>379.63</c:v>
                </c:pt>
                <c:pt idx="18">
                  <c:v>380.13</c:v>
                </c:pt>
                <c:pt idx="19">
                  <c:v>382</c:v>
                </c:pt>
                <c:pt idx="20">
                  <c:v>381.32</c:v>
                </c:pt>
                <c:pt idx="21">
                  <c:v>382.08</c:v>
                </c:pt>
                <c:pt idx="22">
                  <c:v>383.94</c:v>
                </c:pt>
                <c:pt idx="23">
                  <c:v>387.44</c:v>
                </c:pt>
                <c:pt idx="24">
                  <c:v>388.14</c:v>
                </c:pt>
                <c:pt idx="25">
                  <c:v>389.1</c:v>
                </c:pt>
                <c:pt idx="26">
                  <c:v>389.1</c:v>
                </c:pt>
                <c:pt idx="27">
                  <c:v>389.1</c:v>
                </c:pt>
                <c:pt idx="28">
                  <c:v>389.1</c:v>
                </c:pt>
                <c:pt idx="29">
                  <c:v>389.1</c:v>
                </c:pt>
                <c:pt idx="30">
                  <c:v>389.1</c:v>
                </c:pt>
                <c:pt idx="31">
                  <c:v>389.1</c:v>
                </c:pt>
                <c:pt idx="32">
                  <c:v>389.1</c:v>
                </c:pt>
                <c:pt idx="33">
                  <c:v>389.1</c:v>
                </c:pt>
                <c:pt idx="34">
                  <c:v>389.1</c:v>
                </c:pt>
                <c:pt idx="35">
                  <c:v>389.1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84-4745-932A-6DA2B18BC4B4}"/>
            </c:ext>
          </c:extLst>
        </c:ser>
        <c:ser>
          <c:idx val="3"/>
          <c:order val="2"/>
          <c:tx>
            <c:v>Best Est. Published</c:v>
          </c:tx>
          <c:spPr>
            <a:ln w="1905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extendable_generators!$J$16:$AS$16</c:f>
              <c:numCache>
                <c:formatCode>0</c:formatCode>
                <c:ptCount val="36"/>
                <c:pt idx="0">
                  <c:v>223.65</c:v>
                </c:pt>
                <c:pt idx="1">
                  <c:v>229.49</c:v>
                </c:pt>
                <c:pt idx="2">
                  <c:v>235.54</c:v>
                </c:pt>
                <c:pt idx="3">
                  <c:v>242.32</c:v>
                </c:pt>
                <c:pt idx="4">
                  <c:v>249.71</c:v>
                </c:pt>
                <c:pt idx="5">
                  <c:v>251.42</c:v>
                </c:pt>
                <c:pt idx="6">
                  <c:v>252.81</c:v>
                </c:pt>
                <c:pt idx="7">
                  <c:v>254.85</c:v>
                </c:pt>
                <c:pt idx="8">
                  <c:v>255.99</c:v>
                </c:pt>
                <c:pt idx="9">
                  <c:v>257.7</c:v>
                </c:pt>
                <c:pt idx="10">
                  <c:v>259.83</c:v>
                </c:pt>
                <c:pt idx="11">
                  <c:v>261.29000000000002</c:v>
                </c:pt>
                <c:pt idx="12">
                  <c:v>262.91000000000003</c:v>
                </c:pt>
                <c:pt idx="13">
                  <c:v>264.24</c:v>
                </c:pt>
                <c:pt idx="14">
                  <c:v>265.56</c:v>
                </c:pt>
                <c:pt idx="15">
                  <c:v>266.86</c:v>
                </c:pt>
                <c:pt idx="16">
                  <c:v>268.22000000000003</c:v>
                </c:pt>
                <c:pt idx="17">
                  <c:v>269.32</c:v>
                </c:pt>
                <c:pt idx="18">
                  <c:v>270.25</c:v>
                </c:pt>
                <c:pt idx="19">
                  <c:v>271.45</c:v>
                </c:pt>
                <c:pt idx="20">
                  <c:v>272.33</c:v>
                </c:pt>
                <c:pt idx="21">
                  <c:v>274.26</c:v>
                </c:pt>
                <c:pt idx="22">
                  <c:v>275.3</c:v>
                </c:pt>
                <c:pt idx="23">
                  <c:v>276.76</c:v>
                </c:pt>
                <c:pt idx="24">
                  <c:v>278.45999999999998</c:v>
                </c:pt>
                <c:pt idx="25">
                  <c:v>279.13</c:v>
                </c:pt>
                <c:pt idx="26">
                  <c:v>279.13</c:v>
                </c:pt>
                <c:pt idx="27">
                  <c:v>279.13</c:v>
                </c:pt>
                <c:pt idx="28">
                  <c:v>279.13</c:v>
                </c:pt>
                <c:pt idx="29">
                  <c:v>279.13</c:v>
                </c:pt>
                <c:pt idx="30">
                  <c:v>279.13</c:v>
                </c:pt>
                <c:pt idx="31">
                  <c:v>279.13</c:v>
                </c:pt>
                <c:pt idx="32">
                  <c:v>279.13</c:v>
                </c:pt>
                <c:pt idx="33">
                  <c:v>279.13</c:v>
                </c:pt>
                <c:pt idx="34">
                  <c:v>279.13</c:v>
                </c:pt>
                <c:pt idx="35">
                  <c:v>279.13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DF-499F-81E7-BFEA2333F256}"/>
            </c:ext>
          </c:extLst>
        </c:ser>
        <c:ser>
          <c:idx val="1"/>
          <c:order val="3"/>
          <c:tx>
            <c:v>Low Published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extendable_generators!$J$28:$AS$28</c:f>
              <c:numCache>
                <c:formatCode>0</c:formatCode>
                <c:ptCount val="36"/>
                <c:pt idx="0">
                  <c:v>202.87</c:v>
                </c:pt>
                <c:pt idx="1">
                  <c:v>197.88</c:v>
                </c:pt>
                <c:pt idx="2">
                  <c:v>192.76</c:v>
                </c:pt>
                <c:pt idx="3">
                  <c:v>189.04</c:v>
                </c:pt>
                <c:pt idx="4">
                  <c:v>185</c:v>
                </c:pt>
                <c:pt idx="5">
                  <c:v>186.51</c:v>
                </c:pt>
                <c:pt idx="6">
                  <c:v>187.95</c:v>
                </c:pt>
                <c:pt idx="7">
                  <c:v>189.76</c:v>
                </c:pt>
                <c:pt idx="8">
                  <c:v>191.13</c:v>
                </c:pt>
                <c:pt idx="9">
                  <c:v>191.93</c:v>
                </c:pt>
                <c:pt idx="10">
                  <c:v>193.64</c:v>
                </c:pt>
                <c:pt idx="11">
                  <c:v>195.21</c:v>
                </c:pt>
                <c:pt idx="12">
                  <c:v>196.5</c:v>
                </c:pt>
                <c:pt idx="13">
                  <c:v>197.25</c:v>
                </c:pt>
                <c:pt idx="14">
                  <c:v>198.47</c:v>
                </c:pt>
                <c:pt idx="15">
                  <c:v>198.14</c:v>
                </c:pt>
                <c:pt idx="16">
                  <c:v>198.86</c:v>
                </c:pt>
                <c:pt idx="17">
                  <c:v>199.43</c:v>
                </c:pt>
                <c:pt idx="18">
                  <c:v>199.92</c:v>
                </c:pt>
                <c:pt idx="19">
                  <c:v>201.1</c:v>
                </c:pt>
                <c:pt idx="20">
                  <c:v>201.57</c:v>
                </c:pt>
                <c:pt idx="21">
                  <c:v>203.61</c:v>
                </c:pt>
                <c:pt idx="22">
                  <c:v>203.39</c:v>
                </c:pt>
                <c:pt idx="23">
                  <c:v>204.98</c:v>
                </c:pt>
                <c:pt idx="24">
                  <c:v>205.43</c:v>
                </c:pt>
                <c:pt idx="25">
                  <c:v>206.87</c:v>
                </c:pt>
                <c:pt idx="26">
                  <c:v>206.87</c:v>
                </c:pt>
                <c:pt idx="27">
                  <c:v>206.87</c:v>
                </c:pt>
                <c:pt idx="28">
                  <c:v>206.87</c:v>
                </c:pt>
                <c:pt idx="29">
                  <c:v>206.87</c:v>
                </c:pt>
                <c:pt idx="30">
                  <c:v>206.87</c:v>
                </c:pt>
                <c:pt idx="31">
                  <c:v>206.87</c:v>
                </c:pt>
                <c:pt idx="32">
                  <c:v>206.87</c:v>
                </c:pt>
                <c:pt idx="33">
                  <c:v>206.87</c:v>
                </c:pt>
                <c:pt idx="34">
                  <c:v>206.87</c:v>
                </c:pt>
                <c:pt idx="35">
                  <c:v>206.87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84-4745-932A-6DA2B18BC4B4}"/>
            </c:ext>
          </c:extLst>
        </c:ser>
        <c:ser>
          <c:idx val="4"/>
          <c:order val="4"/>
          <c:tx>
            <c:v>High Update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extendable_generators!$J$64:$AS$64</c:f>
              <c:numCache>
                <c:formatCode>0</c:formatCode>
                <c:ptCount val="36"/>
                <c:pt idx="0">
                  <c:v>216.16</c:v>
                </c:pt>
                <c:pt idx="1">
                  <c:v>225.89</c:v>
                </c:pt>
                <c:pt idx="2">
                  <c:v>235.02</c:v>
                </c:pt>
                <c:pt idx="3">
                  <c:v>243.83</c:v>
                </c:pt>
                <c:pt idx="4">
                  <c:v>252.96</c:v>
                </c:pt>
                <c:pt idx="5">
                  <c:v>263.26</c:v>
                </c:pt>
                <c:pt idx="6">
                  <c:v>266.77999999999997</c:v>
                </c:pt>
                <c:pt idx="7">
                  <c:v>267.01</c:v>
                </c:pt>
                <c:pt idx="8">
                  <c:v>270.39999999999998</c:v>
                </c:pt>
                <c:pt idx="9">
                  <c:v>274.20999999999998</c:v>
                </c:pt>
                <c:pt idx="10">
                  <c:v>276.66000000000003</c:v>
                </c:pt>
                <c:pt idx="11">
                  <c:v>278.98</c:v>
                </c:pt>
                <c:pt idx="12">
                  <c:v>282.07</c:v>
                </c:pt>
                <c:pt idx="13">
                  <c:v>285.68</c:v>
                </c:pt>
                <c:pt idx="14">
                  <c:v>290.16000000000003</c:v>
                </c:pt>
                <c:pt idx="15">
                  <c:v>293.04000000000002</c:v>
                </c:pt>
                <c:pt idx="16">
                  <c:v>290.89999999999998</c:v>
                </c:pt>
                <c:pt idx="17">
                  <c:v>296.63</c:v>
                </c:pt>
                <c:pt idx="18">
                  <c:v>299.72000000000003</c:v>
                </c:pt>
                <c:pt idx="19">
                  <c:v>302.45</c:v>
                </c:pt>
                <c:pt idx="20">
                  <c:v>303.87</c:v>
                </c:pt>
                <c:pt idx="21">
                  <c:v>303.24</c:v>
                </c:pt>
                <c:pt idx="22">
                  <c:v>308.2</c:v>
                </c:pt>
                <c:pt idx="23">
                  <c:v>310.22000000000003</c:v>
                </c:pt>
                <c:pt idx="24">
                  <c:v>312.83</c:v>
                </c:pt>
                <c:pt idx="25">
                  <c:v>315.17</c:v>
                </c:pt>
                <c:pt idx="26">
                  <c:v>315</c:v>
                </c:pt>
                <c:pt idx="27">
                  <c:v>315</c:v>
                </c:pt>
                <c:pt idx="28">
                  <c:v>315</c:v>
                </c:pt>
                <c:pt idx="29">
                  <c:v>315</c:v>
                </c:pt>
                <c:pt idx="30">
                  <c:v>315</c:v>
                </c:pt>
                <c:pt idx="31">
                  <c:v>315</c:v>
                </c:pt>
                <c:pt idx="32">
                  <c:v>315</c:v>
                </c:pt>
                <c:pt idx="33">
                  <c:v>315</c:v>
                </c:pt>
                <c:pt idx="34">
                  <c:v>315</c:v>
                </c:pt>
                <c:pt idx="35">
                  <c:v>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68-4F33-886B-C5055453CF62}"/>
            </c:ext>
          </c:extLst>
        </c:ser>
        <c:ser>
          <c:idx val="5"/>
          <c:order val="5"/>
          <c:tx>
            <c:v>Best Est. Update</c:v>
          </c:tx>
          <c:spPr>
            <a:ln w="19050" cap="rnd">
              <a:solidFill>
                <a:schemeClr val="accent4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extendable_generators!$J$76:$AS$76</c:f>
              <c:numCache>
                <c:formatCode>0</c:formatCode>
                <c:ptCount val="36"/>
                <c:pt idx="0">
                  <c:v>216.16</c:v>
                </c:pt>
                <c:pt idx="1">
                  <c:v>215.99</c:v>
                </c:pt>
                <c:pt idx="2">
                  <c:v>214.82</c:v>
                </c:pt>
                <c:pt idx="3">
                  <c:v>213.29</c:v>
                </c:pt>
                <c:pt idx="4">
                  <c:v>211.85</c:v>
                </c:pt>
                <c:pt idx="5">
                  <c:v>211.47</c:v>
                </c:pt>
                <c:pt idx="6">
                  <c:v>212.8</c:v>
                </c:pt>
                <c:pt idx="7">
                  <c:v>211.55</c:v>
                </c:pt>
                <c:pt idx="8">
                  <c:v>214.9</c:v>
                </c:pt>
                <c:pt idx="9">
                  <c:v>216.6</c:v>
                </c:pt>
                <c:pt idx="10">
                  <c:v>217.37</c:v>
                </c:pt>
                <c:pt idx="11">
                  <c:v>218.03</c:v>
                </c:pt>
                <c:pt idx="12">
                  <c:v>219.44</c:v>
                </c:pt>
                <c:pt idx="13">
                  <c:v>220.13</c:v>
                </c:pt>
                <c:pt idx="14">
                  <c:v>221.6</c:v>
                </c:pt>
                <c:pt idx="15">
                  <c:v>222.79</c:v>
                </c:pt>
                <c:pt idx="16">
                  <c:v>223.67</c:v>
                </c:pt>
                <c:pt idx="17">
                  <c:v>223.29</c:v>
                </c:pt>
                <c:pt idx="18">
                  <c:v>226.29</c:v>
                </c:pt>
                <c:pt idx="19">
                  <c:v>226.25</c:v>
                </c:pt>
                <c:pt idx="20">
                  <c:v>227.34</c:v>
                </c:pt>
                <c:pt idx="21">
                  <c:v>228.38</c:v>
                </c:pt>
                <c:pt idx="22">
                  <c:v>234.4</c:v>
                </c:pt>
                <c:pt idx="23">
                  <c:v>235.81</c:v>
                </c:pt>
                <c:pt idx="24">
                  <c:v>237.83</c:v>
                </c:pt>
                <c:pt idx="25">
                  <c:v>238.64</c:v>
                </c:pt>
                <c:pt idx="26">
                  <c:v>238.64</c:v>
                </c:pt>
                <c:pt idx="27">
                  <c:v>238.64</c:v>
                </c:pt>
                <c:pt idx="28">
                  <c:v>238.64</c:v>
                </c:pt>
                <c:pt idx="29">
                  <c:v>238.64</c:v>
                </c:pt>
                <c:pt idx="30">
                  <c:v>238.64</c:v>
                </c:pt>
                <c:pt idx="31">
                  <c:v>238.64</c:v>
                </c:pt>
                <c:pt idx="32">
                  <c:v>238.64</c:v>
                </c:pt>
                <c:pt idx="33">
                  <c:v>238.64</c:v>
                </c:pt>
                <c:pt idx="34">
                  <c:v>238.64</c:v>
                </c:pt>
                <c:pt idx="35">
                  <c:v>238.64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68-4F33-886B-C5055453CF62}"/>
            </c:ext>
          </c:extLst>
        </c:ser>
        <c:ser>
          <c:idx val="6"/>
          <c:order val="6"/>
          <c:tx>
            <c:v>Low Update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extendable_generators!$J$88:$AS$88</c:f>
              <c:numCache>
                <c:formatCode>0</c:formatCode>
                <c:ptCount val="36"/>
                <c:pt idx="0">
                  <c:v>206.85</c:v>
                </c:pt>
                <c:pt idx="1">
                  <c:v>196.67</c:v>
                </c:pt>
                <c:pt idx="2">
                  <c:v>186.36</c:v>
                </c:pt>
                <c:pt idx="3">
                  <c:v>176.85</c:v>
                </c:pt>
                <c:pt idx="4">
                  <c:v>166.75</c:v>
                </c:pt>
                <c:pt idx="5">
                  <c:v>157.32</c:v>
                </c:pt>
                <c:pt idx="6">
                  <c:v>158.54</c:v>
                </c:pt>
                <c:pt idx="7">
                  <c:v>158.21</c:v>
                </c:pt>
                <c:pt idx="8">
                  <c:v>160.33000000000001</c:v>
                </c:pt>
                <c:pt idx="9">
                  <c:v>161.24</c:v>
                </c:pt>
                <c:pt idx="10">
                  <c:v>161.87</c:v>
                </c:pt>
                <c:pt idx="11">
                  <c:v>162.97</c:v>
                </c:pt>
                <c:pt idx="12">
                  <c:v>163.95</c:v>
                </c:pt>
                <c:pt idx="13">
                  <c:v>164.8</c:v>
                </c:pt>
                <c:pt idx="14">
                  <c:v>166.3</c:v>
                </c:pt>
                <c:pt idx="15">
                  <c:v>167.15</c:v>
                </c:pt>
                <c:pt idx="16">
                  <c:v>167.84</c:v>
                </c:pt>
                <c:pt idx="17">
                  <c:v>167.89</c:v>
                </c:pt>
                <c:pt idx="18">
                  <c:v>169.64</c:v>
                </c:pt>
                <c:pt idx="19">
                  <c:v>169.87</c:v>
                </c:pt>
                <c:pt idx="20">
                  <c:v>170.67</c:v>
                </c:pt>
                <c:pt idx="21">
                  <c:v>172.5</c:v>
                </c:pt>
                <c:pt idx="22">
                  <c:v>175.61</c:v>
                </c:pt>
                <c:pt idx="23">
                  <c:v>176.72</c:v>
                </c:pt>
                <c:pt idx="24">
                  <c:v>177.87</c:v>
                </c:pt>
                <c:pt idx="25">
                  <c:v>178.79</c:v>
                </c:pt>
                <c:pt idx="26">
                  <c:v>178.79</c:v>
                </c:pt>
                <c:pt idx="27">
                  <c:v>178.79</c:v>
                </c:pt>
                <c:pt idx="28">
                  <c:v>178.79</c:v>
                </c:pt>
                <c:pt idx="29">
                  <c:v>178.79</c:v>
                </c:pt>
                <c:pt idx="30">
                  <c:v>178.79</c:v>
                </c:pt>
                <c:pt idx="31">
                  <c:v>178.79</c:v>
                </c:pt>
                <c:pt idx="32">
                  <c:v>178.79</c:v>
                </c:pt>
                <c:pt idx="33">
                  <c:v>178.79</c:v>
                </c:pt>
                <c:pt idx="34">
                  <c:v>178.79</c:v>
                </c:pt>
                <c:pt idx="35">
                  <c:v>178.79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68-4F33-886B-C5055453C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471808"/>
        <c:axId val="27103103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extendable_generators!$A$51</c15:sqref>
                        </c15:formulaRef>
                      </c:ext>
                    </c:extLst>
                    <c:strCache>
                      <c:ptCount val="1"/>
                      <c:pt idx="0">
                        <c:v>ME_IRP23</c:v>
                      </c:pt>
                    </c:strCache>
                  </c:strRef>
                </c:tx>
                <c:spPr>
                  <a:ln w="19050" cap="rnd">
                    <a:solidFill>
                      <a:srgbClr val="00206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extendable_generators!$J$1:$AS$1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  <c:pt idx="26">
                        <c:v>2051</c:v>
                      </c:pt>
                      <c:pt idx="27">
                        <c:v>2052</c:v>
                      </c:pt>
                      <c:pt idx="28">
                        <c:v>2053</c:v>
                      </c:pt>
                      <c:pt idx="29">
                        <c:v>2054</c:v>
                      </c:pt>
                      <c:pt idx="30">
                        <c:v>2055</c:v>
                      </c:pt>
                      <c:pt idx="31">
                        <c:v>2056</c:v>
                      </c:pt>
                      <c:pt idx="32">
                        <c:v>2057</c:v>
                      </c:pt>
                      <c:pt idx="33">
                        <c:v>2058</c:v>
                      </c:pt>
                      <c:pt idx="34">
                        <c:v>2059</c:v>
                      </c:pt>
                      <c:pt idx="35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extendable_generators!$J$52:$AS$52</c15:sqref>
                        </c15:formulaRef>
                      </c:ext>
                    </c:extLst>
                    <c:numCache>
                      <c:formatCode>0</c:formatCode>
                      <c:ptCount val="36"/>
                      <c:pt idx="0">
                        <c:v>288.32</c:v>
                      </c:pt>
                      <c:pt idx="1">
                        <c:v>288.32</c:v>
                      </c:pt>
                      <c:pt idx="2">
                        <c:v>288.32</c:v>
                      </c:pt>
                      <c:pt idx="3">
                        <c:v>288.32</c:v>
                      </c:pt>
                      <c:pt idx="4">
                        <c:v>288.32</c:v>
                      </c:pt>
                      <c:pt idx="5">
                        <c:v>288.32</c:v>
                      </c:pt>
                      <c:pt idx="6">
                        <c:v>288.32</c:v>
                      </c:pt>
                      <c:pt idx="7">
                        <c:v>288.32</c:v>
                      </c:pt>
                      <c:pt idx="8">
                        <c:v>288.32</c:v>
                      </c:pt>
                      <c:pt idx="9">
                        <c:v>288.32</c:v>
                      </c:pt>
                      <c:pt idx="10">
                        <c:v>288.32</c:v>
                      </c:pt>
                      <c:pt idx="11">
                        <c:v>288.32</c:v>
                      </c:pt>
                      <c:pt idx="12">
                        <c:v>288.32</c:v>
                      </c:pt>
                      <c:pt idx="13">
                        <c:v>288.32</c:v>
                      </c:pt>
                      <c:pt idx="14">
                        <c:v>288.32</c:v>
                      </c:pt>
                      <c:pt idx="15">
                        <c:v>288.32</c:v>
                      </c:pt>
                      <c:pt idx="16">
                        <c:v>288.32</c:v>
                      </c:pt>
                      <c:pt idx="17">
                        <c:v>288.32</c:v>
                      </c:pt>
                      <c:pt idx="18">
                        <c:v>288.32</c:v>
                      </c:pt>
                      <c:pt idx="19">
                        <c:v>288.32</c:v>
                      </c:pt>
                      <c:pt idx="20">
                        <c:v>288.32</c:v>
                      </c:pt>
                      <c:pt idx="21">
                        <c:v>288.32</c:v>
                      </c:pt>
                      <c:pt idx="22">
                        <c:v>288.32</c:v>
                      </c:pt>
                      <c:pt idx="23">
                        <c:v>288.32</c:v>
                      </c:pt>
                      <c:pt idx="24">
                        <c:v>288.32</c:v>
                      </c:pt>
                      <c:pt idx="25">
                        <c:v>288.32</c:v>
                      </c:pt>
                      <c:pt idx="26">
                        <c:v>288.32</c:v>
                      </c:pt>
                      <c:pt idx="27">
                        <c:v>288.32</c:v>
                      </c:pt>
                      <c:pt idx="28">
                        <c:v>288.32</c:v>
                      </c:pt>
                      <c:pt idx="29">
                        <c:v>288.32</c:v>
                      </c:pt>
                      <c:pt idx="30">
                        <c:v>288.32</c:v>
                      </c:pt>
                      <c:pt idx="31">
                        <c:v>288.32</c:v>
                      </c:pt>
                      <c:pt idx="32">
                        <c:v>288.32</c:v>
                      </c:pt>
                      <c:pt idx="33">
                        <c:v>288.32</c:v>
                      </c:pt>
                      <c:pt idx="34">
                        <c:v>288.32</c:v>
                      </c:pt>
                      <c:pt idx="35">
                        <c:v>288.32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B284-4745-932A-6DA2B18BC4B4}"/>
                  </c:ext>
                </c:extLst>
              </c15:ser>
            </c15:filteredScatterSeries>
          </c:ext>
        </c:extLst>
      </c:scatterChart>
      <c:valAx>
        <c:axId val="1485471808"/>
        <c:scaling>
          <c:orientation val="minMax"/>
          <c:max val="2060"/>
          <c:min val="202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031039"/>
        <c:crosses val="autoZero"/>
        <c:crossBetween val="midCat"/>
      </c:valAx>
      <c:valAx>
        <c:axId val="271031039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/>
                  <a:t>Price </a:t>
                </a:r>
                <a:r>
                  <a:rPr lang="en-ZA" sz="1400" baseline="0"/>
                  <a:t>(R/GJ)</a:t>
                </a:r>
                <a:endParaRPr lang="en-ZA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47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green_NH3!$A$6:$A$9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xVal>
          <c:yVal>
            <c:numRef>
              <c:f>green_NH3!$E$6:$E$9</c:f>
              <c:numCache>
                <c:formatCode>0</c:formatCode>
                <c:ptCount val="4"/>
                <c:pt idx="0">
                  <c:v>722.00598381786574</c:v>
                </c:pt>
                <c:pt idx="1">
                  <c:v>478.19262106211301</c:v>
                </c:pt>
                <c:pt idx="2">
                  <c:v>397.62112156037068</c:v>
                </c:pt>
                <c:pt idx="3">
                  <c:v>317.04962205862836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8B-444B-939F-845656AEF8E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green_NH3!$A$6:$A$9</c:f>
              <c:numCache>
                <c:formatCode>General</c:formatCod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xVal>
          <c:yVal>
            <c:numRef>
              <c:f>green_NH3!$F$6:$F$9</c:f>
              <c:numCache>
                <c:formatCode>0</c:formatCode>
                <c:ptCount val="4"/>
                <c:pt idx="0">
                  <c:v>1409.4877246911346</c:v>
                </c:pt>
                <c:pt idx="1">
                  <c:v>958.48908391842815</c:v>
                </c:pt>
                <c:pt idx="2">
                  <c:v>788.44789600145589</c:v>
                </c:pt>
                <c:pt idx="3">
                  <c:v>618.40670808448363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8B-444B-939F-845656AEF8E0}"/>
            </c:ext>
          </c:extLst>
        </c:ser>
        <c:ser>
          <c:idx val="2"/>
          <c:order val="2"/>
          <c:tx>
            <c:strRef>
              <c:f>fuel_and_co2tax!$A$2</c:f>
              <c:strCache>
                <c:ptCount val="1"/>
                <c:pt idx="0">
                  <c:v>HIGH_FUEL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fuel_and_co2tax!$J$1:$AS$1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fuel_and_co2tax!$J$2:$AS$2</c:f>
              <c:numCache>
                <c:formatCode>0</c:formatCode>
                <c:ptCount val="36"/>
                <c:pt idx="0">
                  <c:v>431.86</c:v>
                </c:pt>
                <c:pt idx="1">
                  <c:v>473.61</c:v>
                </c:pt>
                <c:pt idx="2">
                  <c:v>515.29000000000008</c:v>
                </c:pt>
                <c:pt idx="3">
                  <c:v>561.12</c:v>
                </c:pt>
                <c:pt idx="4">
                  <c:v>608.33000000000004</c:v>
                </c:pt>
                <c:pt idx="5">
                  <c:v>613.31000000000006</c:v>
                </c:pt>
                <c:pt idx="6">
                  <c:v>650.548</c:v>
                </c:pt>
                <c:pt idx="7">
                  <c:v>650.05799999999999</c:v>
                </c:pt>
                <c:pt idx="8">
                  <c:v>654.09799999999996</c:v>
                </c:pt>
                <c:pt idx="9">
                  <c:v>661.70799999999997</c:v>
                </c:pt>
                <c:pt idx="10">
                  <c:v>663.70799999999997</c:v>
                </c:pt>
                <c:pt idx="11">
                  <c:v>672.36479999999995</c:v>
                </c:pt>
                <c:pt idx="12">
                  <c:v>687.12159999999994</c:v>
                </c:pt>
                <c:pt idx="13">
                  <c:v>689.27840000000003</c:v>
                </c:pt>
                <c:pt idx="14">
                  <c:v>699.02520000000004</c:v>
                </c:pt>
                <c:pt idx="15">
                  <c:v>708.93200000000002</c:v>
                </c:pt>
                <c:pt idx="16">
                  <c:v>721.93880000000001</c:v>
                </c:pt>
                <c:pt idx="17">
                  <c:v>733.78560000000004</c:v>
                </c:pt>
                <c:pt idx="18">
                  <c:v>742.94240000000002</c:v>
                </c:pt>
                <c:pt idx="19">
                  <c:v>754.24919999999997</c:v>
                </c:pt>
                <c:pt idx="20">
                  <c:v>761.55600000000004</c:v>
                </c:pt>
                <c:pt idx="21">
                  <c:v>771.12279999999998</c:v>
                </c:pt>
                <c:pt idx="22">
                  <c:v>782.41960000000006</c:v>
                </c:pt>
                <c:pt idx="23">
                  <c:v>796.27640000000008</c:v>
                </c:pt>
                <c:pt idx="24">
                  <c:v>805.7432</c:v>
                </c:pt>
                <c:pt idx="25">
                  <c:v>815.64</c:v>
                </c:pt>
                <c:pt idx="26">
                  <c:v>824.01679999999988</c:v>
                </c:pt>
                <c:pt idx="27">
                  <c:v>832.39359999999999</c:v>
                </c:pt>
                <c:pt idx="28">
                  <c:v>840.77039999999988</c:v>
                </c:pt>
                <c:pt idx="29">
                  <c:v>849.1472</c:v>
                </c:pt>
                <c:pt idx="30">
                  <c:v>857.52399999999989</c:v>
                </c:pt>
                <c:pt idx="31">
                  <c:v>865.90079999999989</c:v>
                </c:pt>
                <c:pt idx="32">
                  <c:v>874.27759999999989</c:v>
                </c:pt>
                <c:pt idx="33">
                  <c:v>882.6543999999999</c:v>
                </c:pt>
                <c:pt idx="34">
                  <c:v>891.0311999999999</c:v>
                </c:pt>
                <c:pt idx="35">
                  <c:v>899.4079999999999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8B-444B-939F-845656AEF8E0}"/>
            </c:ext>
          </c:extLst>
        </c:ser>
        <c:ser>
          <c:idx val="3"/>
          <c:order val="3"/>
          <c:tx>
            <c:strRef>
              <c:f>fuel_and_co2tax!$A$35</c:f>
              <c:strCache>
                <c:ptCount val="1"/>
                <c:pt idx="0">
                  <c:v>LOW_FUEL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fuel_and_co2tax!$J$1:$AS$1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fuel_and_co2tax!$J$35:$AS$35</c:f>
              <c:numCache>
                <c:formatCode>General</c:formatCode>
                <c:ptCount val="36"/>
                <c:pt idx="0">
                  <c:v>382.41</c:v>
                </c:pt>
                <c:pt idx="1">
                  <c:v>374.59000000000003</c:v>
                </c:pt>
                <c:pt idx="2">
                  <c:v>366.57000000000005</c:v>
                </c:pt>
                <c:pt idx="3">
                  <c:v>360.76000000000005</c:v>
                </c:pt>
                <c:pt idx="4">
                  <c:v>354.42</c:v>
                </c:pt>
                <c:pt idx="5">
                  <c:v>356.79</c:v>
                </c:pt>
                <c:pt idx="6">
                  <c:v>359.05</c:v>
                </c:pt>
                <c:pt idx="7">
                  <c:v>369.06170000000003</c:v>
                </c:pt>
                <c:pt idx="8">
                  <c:v>372.0564</c:v>
                </c:pt>
                <c:pt idx="9">
                  <c:v>374.17110000000002</c:v>
                </c:pt>
                <c:pt idx="10">
                  <c:v>377.69580000000002</c:v>
                </c:pt>
                <c:pt idx="11">
                  <c:v>381.01049999999998</c:v>
                </c:pt>
                <c:pt idx="12">
                  <c:v>387.23591999999996</c:v>
                </c:pt>
                <c:pt idx="13">
                  <c:v>393.04017999999996</c:v>
                </c:pt>
                <c:pt idx="14">
                  <c:v>399.99328000000003</c:v>
                </c:pt>
                <c:pt idx="15">
                  <c:v>404.93521999999996</c:v>
                </c:pt>
                <c:pt idx="16">
                  <c:v>411.93599999999998</c:v>
                </c:pt>
                <c:pt idx="17">
                  <c:v>419.14562000000001</c:v>
                </c:pt>
                <c:pt idx="18">
                  <c:v>426.62407999999999</c:v>
                </c:pt>
                <c:pt idx="19">
                  <c:v>435.61138</c:v>
                </c:pt>
                <c:pt idx="20">
                  <c:v>443.89751999999999</c:v>
                </c:pt>
                <c:pt idx="21">
                  <c:v>455.07249999999999</c:v>
                </c:pt>
                <c:pt idx="22">
                  <c:v>463.11631999999997</c:v>
                </c:pt>
                <c:pt idx="23">
                  <c:v>471.05124000000001</c:v>
                </c:pt>
                <c:pt idx="24">
                  <c:v>477.20615999999995</c:v>
                </c:pt>
                <c:pt idx="25">
                  <c:v>484.90107999999998</c:v>
                </c:pt>
                <c:pt idx="26">
                  <c:v>490.346</c:v>
                </c:pt>
                <c:pt idx="27">
                  <c:v>495.79091999999997</c:v>
                </c:pt>
                <c:pt idx="28">
                  <c:v>501.23584</c:v>
                </c:pt>
                <c:pt idx="29">
                  <c:v>506.68075999999996</c:v>
                </c:pt>
                <c:pt idx="30">
                  <c:v>512.12567999999999</c:v>
                </c:pt>
                <c:pt idx="31">
                  <c:v>517.57060000000001</c:v>
                </c:pt>
                <c:pt idx="32">
                  <c:v>523.01551999999992</c:v>
                </c:pt>
                <c:pt idx="33">
                  <c:v>528.46043999999995</c:v>
                </c:pt>
                <c:pt idx="34">
                  <c:v>533.90535999999997</c:v>
                </c:pt>
                <c:pt idx="35">
                  <c:v>539.35028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8B-444B-939F-845656AEF8E0}"/>
            </c:ext>
          </c:extLst>
        </c:ser>
        <c:ser>
          <c:idx val="4"/>
          <c:order val="4"/>
          <c:tx>
            <c:strRef>
              <c:f>extendable_generators!$A$6</c:f>
              <c:strCache>
                <c:ptCount val="1"/>
                <c:pt idx="0">
                  <c:v>HIGH_PMR1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extendable_generators!$J$2:$AS$2</c:f>
              <c:numCache>
                <c:formatCode>0</c:formatCode>
                <c:ptCount val="36"/>
                <c:pt idx="0">
                  <c:v>429.64</c:v>
                </c:pt>
                <c:pt idx="1">
                  <c:v>471.39</c:v>
                </c:pt>
                <c:pt idx="2">
                  <c:v>513.07000000000005</c:v>
                </c:pt>
                <c:pt idx="3">
                  <c:v>558.9</c:v>
                </c:pt>
                <c:pt idx="4">
                  <c:v>606.11</c:v>
                </c:pt>
                <c:pt idx="5">
                  <c:v>611.09</c:v>
                </c:pt>
                <c:pt idx="6">
                  <c:v>616.36</c:v>
                </c:pt>
                <c:pt idx="7">
                  <c:v>615.87</c:v>
                </c:pt>
                <c:pt idx="8">
                  <c:v>619.91</c:v>
                </c:pt>
                <c:pt idx="9">
                  <c:v>627.52</c:v>
                </c:pt>
                <c:pt idx="10">
                  <c:v>629.52</c:v>
                </c:pt>
                <c:pt idx="11">
                  <c:v>629.79999999999995</c:v>
                </c:pt>
                <c:pt idx="12">
                  <c:v>636.17999999999995</c:v>
                </c:pt>
                <c:pt idx="13">
                  <c:v>629.96</c:v>
                </c:pt>
                <c:pt idx="14">
                  <c:v>631.33000000000004</c:v>
                </c:pt>
                <c:pt idx="15">
                  <c:v>632.86</c:v>
                </c:pt>
                <c:pt idx="16">
                  <c:v>637.49</c:v>
                </c:pt>
                <c:pt idx="17">
                  <c:v>640.96</c:v>
                </c:pt>
                <c:pt idx="18">
                  <c:v>641.74</c:v>
                </c:pt>
                <c:pt idx="19">
                  <c:v>644.66999999999996</c:v>
                </c:pt>
                <c:pt idx="20">
                  <c:v>643.6</c:v>
                </c:pt>
                <c:pt idx="21">
                  <c:v>644.79</c:v>
                </c:pt>
                <c:pt idx="22">
                  <c:v>647.71</c:v>
                </c:pt>
                <c:pt idx="23">
                  <c:v>653.19000000000005</c:v>
                </c:pt>
                <c:pt idx="24">
                  <c:v>654.28</c:v>
                </c:pt>
                <c:pt idx="25">
                  <c:v>655.8</c:v>
                </c:pt>
                <c:pt idx="26">
                  <c:v>655.8</c:v>
                </c:pt>
                <c:pt idx="27">
                  <c:v>655.8</c:v>
                </c:pt>
                <c:pt idx="28">
                  <c:v>655.8</c:v>
                </c:pt>
                <c:pt idx="29">
                  <c:v>655.8</c:v>
                </c:pt>
                <c:pt idx="30">
                  <c:v>655.8</c:v>
                </c:pt>
                <c:pt idx="31">
                  <c:v>655.8</c:v>
                </c:pt>
                <c:pt idx="32">
                  <c:v>655.8</c:v>
                </c:pt>
                <c:pt idx="33">
                  <c:v>655.8</c:v>
                </c:pt>
                <c:pt idx="34">
                  <c:v>655.8</c:v>
                </c:pt>
                <c:pt idx="35">
                  <c:v>655.8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8B-444B-939F-845656AEF8E0}"/>
            </c:ext>
          </c:extLst>
        </c:ser>
        <c:ser>
          <c:idx val="5"/>
          <c:order val="5"/>
          <c:tx>
            <c:strRef>
              <c:f>extendable_generators!$A$26</c:f>
              <c:strCache>
                <c:ptCount val="1"/>
                <c:pt idx="0">
                  <c:v>LOW_PMR1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extendable_generators!$J$1:$AS$1</c:f>
              <c:numCache>
                <c:formatCode>0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extendable_generators!$J$26:$AS$26</c:f>
              <c:numCache>
                <c:formatCode>0</c:formatCode>
                <c:ptCount val="36"/>
                <c:pt idx="0">
                  <c:v>380.19</c:v>
                </c:pt>
                <c:pt idx="1">
                  <c:v>372.37</c:v>
                </c:pt>
                <c:pt idx="2">
                  <c:v>364.35</c:v>
                </c:pt>
                <c:pt idx="3">
                  <c:v>358.54</c:v>
                </c:pt>
                <c:pt idx="4">
                  <c:v>352.2</c:v>
                </c:pt>
                <c:pt idx="5">
                  <c:v>354.57</c:v>
                </c:pt>
                <c:pt idx="6">
                  <c:v>356.83</c:v>
                </c:pt>
                <c:pt idx="7">
                  <c:v>359.66</c:v>
                </c:pt>
                <c:pt idx="8">
                  <c:v>361.8</c:v>
                </c:pt>
                <c:pt idx="9">
                  <c:v>363.06</c:v>
                </c:pt>
                <c:pt idx="10">
                  <c:v>365.73</c:v>
                </c:pt>
                <c:pt idx="11">
                  <c:v>368.19</c:v>
                </c:pt>
                <c:pt idx="12">
                  <c:v>370.21</c:v>
                </c:pt>
                <c:pt idx="13">
                  <c:v>371.39</c:v>
                </c:pt>
                <c:pt idx="14">
                  <c:v>373.3</c:v>
                </c:pt>
                <c:pt idx="15">
                  <c:v>372.78</c:v>
                </c:pt>
                <c:pt idx="16">
                  <c:v>373.9</c:v>
                </c:pt>
                <c:pt idx="17">
                  <c:v>374.81</c:v>
                </c:pt>
                <c:pt idx="18">
                  <c:v>375.57</c:v>
                </c:pt>
                <c:pt idx="19">
                  <c:v>377.42</c:v>
                </c:pt>
                <c:pt idx="20">
                  <c:v>378.15</c:v>
                </c:pt>
                <c:pt idx="21">
                  <c:v>381.35</c:v>
                </c:pt>
                <c:pt idx="22">
                  <c:v>381</c:v>
                </c:pt>
                <c:pt idx="23">
                  <c:v>383.49</c:v>
                </c:pt>
                <c:pt idx="24">
                  <c:v>384.2</c:v>
                </c:pt>
                <c:pt idx="25">
                  <c:v>386.45</c:v>
                </c:pt>
                <c:pt idx="26">
                  <c:v>386.45</c:v>
                </c:pt>
                <c:pt idx="27">
                  <c:v>386.45</c:v>
                </c:pt>
                <c:pt idx="28">
                  <c:v>386.45</c:v>
                </c:pt>
                <c:pt idx="29">
                  <c:v>386.45</c:v>
                </c:pt>
                <c:pt idx="30">
                  <c:v>386.45</c:v>
                </c:pt>
                <c:pt idx="31">
                  <c:v>386.45</c:v>
                </c:pt>
                <c:pt idx="32">
                  <c:v>386.45</c:v>
                </c:pt>
                <c:pt idx="33">
                  <c:v>386.45</c:v>
                </c:pt>
                <c:pt idx="34">
                  <c:v>386.45</c:v>
                </c:pt>
                <c:pt idx="35">
                  <c:v>386.45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8B-444B-939F-845656AEF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0143"/>
        <c:axId val="2479663"/>
      </c:scatterChart>
      <c:valAx>
        <c:axId val="248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9663"/>
        <c:crosses val="autoZero"/>
        <c:crossBetween val="midCat"/>
      </c:valAx>
      <c:valAx>
        <c:axId val="247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93347</xdr:colOff>
      <xdr:row>111</xdr:row>
      <xdr:rowOff>147972</xdr:rowOff>
    </xdr:from>
    <xdr:to>
      <xdr:col>19</xdr:col>
      <xdr:colOff>76200</xdr:colOff>
      <xdr:row>128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87459-F820-1EFA-E7F9-84FD4B2B6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69139</xdr:colOff>
      <xdr:row>111</xdr:row>
      <xdr:rowOff>141250</xdr:rowOff>
    </xdr:from>
    <xdr:to>
      <xdr:col>12</xdr:col>
      <xdr:colOff>91440</xdr:colOff>
      <xdr:row>128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2ABF94-671D-B463-F5C4-92CBB28A5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476249</xdr:colOff>
      <xdr:row>0</xdr:row>
      <xdr:rowOff>142875</xdr:rowOff>
    </xdr:from>
    <xdr:to>
      <xdr:col>26</xdr:col>
      <xdr:colOff>115816</xdr:colOff>
      <xdr:row>13</xdr:row>
      <xdr:rowOff>171800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5F0F47-7244-795A-6EEF-CD01A335A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2649" y="142875"/>
          <a:ext cx="10002767" cy="250542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15</xdr:row>
      <xdr:rowOff>57150</xdr:rowOff>
    </xdr:from>
    <xdr:to>
      <xdr:col>20</xdr:col>
      <xdr:colOff>266662</xdr:colOff>
      <xdr:row>32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E47F24-43E1-6A7D-6BC2-7986F2929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0450" y="2914650"/>
          <a:ext cx="5048212" cy="334327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33</xdr:row>
      <xdr:rowOff>85725</xdr:rowOff>
    </xdr:from>
    <xdr:to>
      <xdr:col>15</xdr:col>
      <xdr:colOff>76923</xdr:colOff>
      <xdr:row>36</xdr:row>
      <xdr:rowOff>47699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61941C-A193-1601-B291-F1DEC633F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8600" y="6372225"/>
          <a:ext cx="5182323" cy="53347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18</xdr:col>
      <xdr:colOff>182021</xdr:colOff>
      <xdr:row>82</xdr:row>
      <xdr:rowOff>58222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DDB6C8-829E-CF53-2872-94DDA957E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57600" y="8001000"/>
          <a:ext cx="7497221" cy="76782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10</xdr:col>
      <xdr:colOff>420009</xdr:colOff>
      <xdr:row>117</xdr:row>
      <xdr:rowOff>10244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8CE9A91-9D87-B1ED-6240-AE2AE3444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7145000"/>
          <a:ext cx="6516009" cy="5153744"/>
        </a:xfrm>
        <a:prstGeom prst="rect">
          <a:avLst/>
        </a:prstGeom>
      </xdr:spPr>
    </xdr:pic>
    <xdr:clientData/>
  </xdr:twoCellAnchor>
  <xdr:twoCellAnchor>
    <xdr:from>
      <xdr:col>1</xdr:col>
      <xdr:colOff>38099</xdr:colOff>
      <xdr:row>14</xdr:row>
      <xdr:rowOff>61912</xdr:rowOff>
    </xdr:from>
    <xdr:to>
      <xdr:col>9</xdr:col>
      <xdr:colOff>581024</xdr:colOff>
      <xdr:row>33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58D239-C624-97FE-DFE3-3DB14437A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8"/>
  <sheetViews>
    <sheetView zoomScaleNormal="100" workbookViewId="0">
      <selection activeCell="P46" sqref="P46"/>
    </sheetView>
  </sheetViews>
  <sheetFormatPr defaultColWidth="8.453125" defaultRowHeight="14.5" x14ac:dyDescent="0.35"/>
  <cols>
    <col min="1" max="1" width="18.36328125" customWidth="1"/>
    <col min="2" max="2" width="14.36328125" customWidth="1"/>
    <col min="3" max="3" width="16" customWidth="1"/>
    <col min="4" max="9" width="10.08984375" hidden="1" customWidth="1"/>
    <col min="10" max="12" width="8.453125" style="40"/>
    <col min="13" max="13" width="9.08984375" style="40" bestFit="1" customWidth="1"/>
    <col min="14" max="45" width="8.453125" style="40"/>
  </cols>
  <sheetData>
    <row r="1" spans="1:45" x14ac:dyDescent="0.35">
      <c r="A1" s="1" t="s">
        <v>0</v>
      </c>
      <c r="B1" s="1" t="s">
        <v>1</v>
      </c>
      <c r="C1" s="2" t="s">
        <v>2</v>
      </c>
      <c r="D1" s="2">
        <v>2019</v>
      </c>
      <c r="E1" s="2">
        <v>2020</v>
      </c>
      <c r="F1" s="2">
        <f t="shared" ref="F1:AS1" si="0">E1+1</f>
        <v>2021</v>
      </c>
      <c r="G1" s="2">
        <f t="shared" si="0"/>
        <v>2022</v>
      </c>
      <c r="H1" s="2">
        <f t="shared" si="0"/>
        <v>2023</v>
      </c>
      <c r="I1" s="2">
        <f t="shared" si="0"/>
        <v>2024</v>
      </c>
      <c r="J1" s="12">
        <f t="shared" si="0"/>
        <v>2025</v>
      </c>
      <c r="K1" s="12">
        <f t="shared" si="0"/>
        <v>2026</v>
      </c>
      <c r="L1" s="12">
        <f t="shared" si="0"/>
        <v>2027</v>
      </c>
      <c r="M1" s="12">
        <f t="shared" si="0"/>
        <v>2028</v>
      </c>
      <c r="N1" s="12">
        <f t="shared" si="0"/>
        <v>2029</v>
      </c>
      <c r="O1" s="12">
        <f t="shared" si="0"/>
        <v>2030</v>
      </c>
      <c r="P1" s="12">
        <f t="shared" si="0"/>
        <v>2031</v>
      </c>
      <c r="Q1" s="12">
        <f t="shared" si="0"/>
        <v>2032</v>
      </c>
      <c r="R1" s="12">
        <f t="shared" si="0"/>
        <v>2033</v>
      </c>
      <c r="S1" s="12">
        <f t="shared" si="0"/>
        <v>2034</v>
      </c>
      <c r="T1" s="12">
        <f t="shared" si="0"/>
        <v>2035</v>
      </c>
      <c r="U1" s="12">
        <f t="shared" si="0"/>
        <v>2036</v>
      </c>
      <c r="V1" s="12">
        <f t="shared" si="0"/>
        <v>2037</v>
      </c>
      <c r="W1" s="12">
        <f t="shared" si="0"/>
        <v>2038</v>
      </c>
      <c r="X1" s="12">
        <f t="shared" si="0"/>
        <v>2039</v>
      </c>
      <c r="Y1" s="12">
        <f t="shared" si="0"/>
        <v>2040</v>
      </c>
      <c r="Z1" s="12">
        <f t="shared" si="0"/>
        <v>2041</v>
      </c>
      <c r="AA1" s="12">
        <f t="shared" si="0"/>
        <v>2042</v>
      </c>
      <c r="AB1" s="12">
        <f t="shared" si="0"/>
        <v>2043</v>
      </c>
      <c r="AC1" s="12">
        <f t="shared" si="0"/>
        <v>2044</v>
      </c>
      <c r="AD1" s="12">
        <f t="shared" si="0"/>
        <v>2045</v>
      </c>
      <c r="AE1" s="12">
        <f t="shared" si="0"/>
        <v>2046</v>
      </c>
      <c r="AF1" s="12">
        <f t="shared" si="0"/>
        <v>2047</v>
      </c>
      <c r="AG1" s="12">
        <f t="shared" si="0"/>
        <v>2048</v>
      </c>
      <c r="AH1" s="12">
        <f t="shared" si="0"/>
        <v>2049</v>
      </c>
      <c r="AI1" s="12">
        <f t="shared" si="0"/>
        <v>2050</v>
      </c>
      <c r="AJ1" s="12">
        <f t="shared" si="0"/>
        <v>2051</v>
      </c>
      <c r="AK1" s="12">
        <f t="shared" si="0"/>
        <v>2052</v>
      </c>
      <c r="AL1" s="12">
        <f t="shared" si="0"/>
        <v>2053</v>
      </c>
      <c r="AM1" s="12">
        <f t="shared" si="0"/>
        <v>2054</v>
      </c>
      <c r="AN1" s="12">
        <f t="shared" si="0"/>
        <v>2055</v>
      </c>
      <c r="AO1" s="12">
        <f t="shared" si="0"/>
        <v>2056</v>
      </c>
      <c r="AP1" s="12">
        <f t="shared" si="0"/>
        <v>2057</v>
      </c>
      <c r="AQ1" s="12">
        <f t="shared" si="0"/>
        <v>2058</v>
      </c>
      <c r="AR1" s="12">
        <f t="shared" si="0"/>
        <v>2059</v>
      </c>
      <c r="AS1" s="12">
        <f t="shared" si="0"/>
        <v>2060</v>
      </c>
    </row>
    <row r="2" spans="1:45" x14ac:dyDescent="0.35">
      <c r="A2" s="49" t="s">
        <v>25</v>
      </c>
      <c r="B2" s="3" t="s">
        <v>40</v>
      </c>
      <c r="C2" s="4" t="s">
        <v>4</v>
      </c>
      <c r="D2" s="5"/>
      <c r="E2" s="5"/>
      <c r="F2" s="5"/>
      <c r="G2" s="5"/>
      <c r="H2" s="5"/>
      <c r="I2" s="5"/>
      <c r="J2" s="6">
        <v>37.741118348594981</v>
      </c>
      <c r="K2" s="6">
        <v>41.652043395995463</v>
      </c>
      <c r="L2" s="6">
        <v>46.571713887022604</v>
      </c>
      <c r="M2" s="6">
        <v>49.303234674251534</v>
      </c>
      <c r="N2" s="6">
        <v>52.3525931379111</v>
      </c>
      <c r="O2" s="6">
        <v>55.610824741312463</v>
      </c>
      <c r="P2" s="6">
        <f>O2</f>
        <v>55.610824741312463</v>
      </c>
      <c r="Q2" s="6">
        <f t="shared" ref="Q2" si="1">P2</f>
        <v>55.610824741312463</v>
      </c>
      <c r="R2" s="6">
        <f t="shared" ref="R2" si="2">Q2</f>
        <v>55.610824741312463</v>
      </c>
      <c r="S2" s="6">
        <f t="shared" ref="S2" si="3">R2</f>
        <v>55.610824741312463</v>
      </c>
      <c r="T2" s="6">
        <f t="shared" ref="T2" si="4">S2</f>
        <v>55.610824741312463</v>
      </c>
      <c r="U2" s="6">
        <f t="shared" ref="U2" si="5">T2</f>
        <v>55.610824741312463</v>
      </c>
      <c r="V2" s="6">
        <f t="shared" ref="V2" si="6">U2</f>
        <v>55.610824741312463</v>
      </c>
      <c r="W2" s="6">
        <f t="shared" ref="W2" si="7">V2</f>
        <v>55.610824741312463</v>
      </c>
      <c r="X2" s="6">
        <f t="shared" ref="X2" si="8">W2</f>
        <v>55.610824741312463</v>
      </c>
      <c r="Y2" s="6">
        <f t="shared" ref="Y2" si="9">X2</f>
        <v>55.610824741312463</v>
      </c>
      <c r="Z2" s="6">
        <f t="shared" ref="Z2" si="10">Y2</f>
        <v>55.610824741312463</v>
      </c>
      <c r="AA2" s="6">
        <f t="shared" ref="AA2" si="11">Z2</f>
        <v>55.610824741312463</v>
      </c>
      <c r="AB2" s="6">
        <f t="shared" ref="AB2" si="12">AA2</f>
        <v>55.610824741312463</v>
      </c>
      <c r="AC2" s="6">
        <f t="shared" ref="AC2" si="13">AB2</f>
        <v>55.610824741312463</v>
      </c>
      <c r="AD2" s="6">
        <f t="shared" ref="AD2" si="14">AC2</f>
        <v>55.610824741312463</v>
      </c>
      <c r="AE2" s="6">
        <f t="shared" ref="AE2" si="15">AD2</f>
        <v>55.610824741312463</v>
      </c>
      <c r="AF2" s="6">
        <f t="shared" ref="AF2" si="16">AE2</f>
        <v>55.610824741312463</v>
      </c>
      <c r="AG2" s="6">
        <f t="shared" ref="AG2" si="17">AF2</f>
        <v>55.610824741312463</v>
      </c>
      <c r="AH2" s="6">
        <f t="shared" ref="AH2" si="18">AG2</f>
        <v>55.610824741312463</v>
      </c>
      <c r="AI2" s="6">
        <f t="shared" ref="AI2" si="19">AH2</f>
        <v>55.610824741312463</v>
      </c>
      <c r="AJ2" s="6">
        <f t="shared" ref="AJ2:AS2" si="20">AI2</f>
        <v>55.610824741312463</v>
      </c>
      <c r="AK2" s="6">
        <f t="shared" si="20"/>
        <v>55.610824741312463</v>
      </c>
      <c r="AL2" s="6">
        <f t="shared" si="20"/>
        <v>55.610824741312463</v>
      </c>
      <c r="AM2" s="6">
        <f t="shared" si="20"/>
        <v>55.610824741312463</v>
      </c>
      <c r="AN2" s="6">
        <f t="shared" si="20"/>
        <v>55.610824741312463</v>
      </c>
      <c r="AO2" s="6">
        <f t="shared" si="20"/>
        <v>55.610824741312463</v>
      </c>
      <c r="AP2" s="6">
        <f t="shared" si="20"/>
        <v>55.610824741312463</v>
      </c>
      <c r="AQ2" s="6">
        <f t="shared" si="20"/>
        <v>55.610824741312463</v>
      </c>
      <c r="AR2" s="6">
        <f t="shared" si="20"/>
        <v>55.610824741312463</v>
      </c>
      <c r="AS2" s="6">
        <f t="shared" si="20"/>
        <v>55.610824741312463</v>
      </c>
    </row>
    <row r="3" spans="1:45" x14ac:dyDescent="0.35">
      <c r="A3" s="60" t="str">
        <f>A2</f>
        <v>ME_IRP23</v>
      </c>
      <c r="B3" s="61" t="s">
        <v>41</v>
      </c>
      <c r="C3" s="62" t="s">
        <v>4</v>
      </c>
      <c r="D3" s="63">
        <v>816</v>
      </c>
      <c r="E3" s="63">
        <v>816</v>
      </c>
      <c r="F3" s="63">
        <v>816</v>
      </c>
      <c r="G3" s="63">
        <v>816</v>
      </c>
      <c r="H3" s="63">
        <v>816</v>
      </c>
      <c r="I3" s="63">
        <v>816</v>
      </c>
      <c r="J3" s="64">
        <v>864.96</v>
      </c>
      <c r="K3" s="64">
        <v>864.96</v>
      </c>
      <c r="L3" s="64">
        <v>864.96</v>
      </c>
      <c r="M3" s="64">
        <v>864.96</v>
      </c>
      <c r="N3" s="64">
        <v>864.96</v>
      </c>
      <c r="O3" s="64">
        <v>864.96</v>
      </c>
      <c r="P3" s="64">
        <v>864.96</v>
      </c>
      <c r="Q3" s="64">
        <v>864.96</v>
      </c>
      <c r="R3" s="64">
        <v>864.96</v>
      </c>
      <c r="S3" s="64">
        <v>864.96</v>
      </c>
      <c r="T3" s="64">
        <v>864.96</v>
      </c>
      <c r="U3" s="64">
        <v>864.96</v>
      </c>
      <c r="V3" s="64">
        <v>864.96</v>
      </c>
      <c r="W3" s="64">
        <v>864.96</v>
      </c>
      <c r="X3" s="64">
        <v>864.96</v>
      </c>
      <c r="Y3" s="64">
        <v>864.96</v>
      </c>
      <c r="Z3" s="64">
        <v>864.96</v>
      </c>
      <c r="AA3" s="64">
        <v>864.96</v>
      </c>
      <c r="AB3" s="64">
        <v>864.96</v>
      </c>
      <c r="AC3" s="64">
        <v>864.96</v>
      </c>
      <c r="AD3" s="64">
        <v>864.96</v>
      </c>
      <c r="AE3" s="64">
        <v>864.96</v>
      </c>
      <c r="AF3" s="64">
        <v>864.96</v>
      </c>
      <c r="AG3" s="64">
        <v>864.96</v>
      </c>
      <c r="AH3" s="64">
        <v>864.96</v>
      </c>
      <c r="AI3" s="64">
        <v>864.96</v>
      </c>
      <c r="AJ3" s="64">
        <f t="shared" ref="AJ3:AS3" si="21">AI3</f>
        <v>864.96</v>
      </c>
      <c r="AK3" s="64">
        <f t="shared" si="21"/>
        <v>864.96</v>
      </c>
      <c r="AL3" s="64">
        <f t="shared" si="21"/>
        <v>864.96</v>
      </c>
      <c r="AM3" s="64">
        <f t="shared" si="21"/>
        <v>864.96</v>
      </c>
      <c r="AN3" s="64">
        <f t="shared" si="21"/>
        <v>864.96</v>
      </c>
      <c r="AO3" s="64">
        <f t="shared" si="21"/>
        <v>864.96</v>
      </c>
      <c r="AP3" s="64">
        <f t="shared" si="21"/>
        <v>864.96</v>
      </c>
      <c r="AQ3" s="64">
        <f t="shared" si="21"/>
        <v>864.96</v>
      </c>
      <c r="AR3" s="64">
        <f t="shared" si="21"/>
        <v>864.96</v>
      </c>
      <c r="AS3" s="64">
        <f t="shared" si="21"/>
        <v>864.96</v>
      </c>
    </row>
    <row r="4" spans="1:45" x14ac:dyDescent="0.35">
      <c r="A4" s="79" t="s">
        <v>65</v>
      </c>
      <c r="B4" s="3" t="s">
        <v>40</v>
      </c>
      <c r="C4" s="4" t="s">
        <v>4</v>
      </c>
      <c r="D4" s="5"/>
      <c r="E4" s="5"/>
      <c r="F4" s="5"/>
      <c r="G4" s="5"/>
      <c r="H4" s="5"/>
      <c r="I4" s="5"/>
      <c r="J4" s="6">
        <v>37.741118348594981</v>
      </c>
      <c r="K4" s="6">
        <v>41.652043395995463</v>
      </c>
      <c r="L4" s="6">
        <v>46.571713887022604</v>
      </c>
      <c r="M4" s="6">
        <v>49.303234674251534</v>
      </c>
      <c r="N4" s="6">
        <v>52.3525931379111</v>
      </c>
      <c r="O4" s="6">
        <v>55.610824741312463</v>
      </c>
      <c r="P4" s="6">
        <f>O4</f>
        <v>55.610824741312463</v>
      </c>
      <c r="Q4" s="6">
        <f t="shared" ref="Q4:AS4" si="22">P4</f>
        <v>55.610824741312463</v>
      </c>
      <c r="R4" s="6">
        <f t="shared" si="22"/>
        <v>55.610824741312463</v>
      </c>
      <c r="S4" s="6">
        <f t="shared" si="22"/>
        <v>55.610824741312463</v>
      </c>
      <c r="T4" s="6">
        <f t="shared" si="22"/>
        <v>55.610824741312463</v>
      </c>
      <c r="U4" s="6">
        <f t="shared" si="22"/>
        <v>55.610824741312463</v>
      </c>
      <c r="V4" s="6">
        <f t="shared" si="22"/>
        <v>55.610824741312463</v>
      </c>
      <c r="W4" s="6">
        <f t="shared" si="22"/>
        <v>55.610824741312463</v>
      </c>
      <c r="X4" s="6">
        <f t="shared" si="22"/>
        <v>55.610824741312463</v>
      </c>
      <c r="Y4" s="6">
        <f t="shared" si="22"/>
        <v>55.610824741312463</v>
      </c>
      <c r="Z4" s="6">
        <f t="shared" si="22"/>
        <v>55.610824741312463</v>
      </c>
      <c r="AA4" s="6">
        <f t="shared" si="22"/>
        <v>55.610824741312463</v>
      </c>
      <c r="AB4" s="6">
        <f t="shared" si="22"/>
        <v>55.610824741312463</v>
      </c>
      <c r="AC4" s="6">
        <f t="shared" si="22"/>
        <v>55.610824741312463</v>
      </c>
      <c r="AD4" s="6">
        <f t="shared" si="22"/>
        <v>55.610824741312463</v>
      </c>
      <c r="AE4" s="6">
        <f t="shared" si="22"/>
        <v>55.610824741312463</v>
      </c>
      <c r="AF4" s="6">
        <f t="shared" si="22"/>
        <v>55.610824741312463</v>
      </c>
      <c r="AG4" s="6">
        <f t="shared" si="22"/>
        <v>55.610824741312463</v>
      </c>
      <c r="AH4" s="6">
        <f t="shared" si="22"/>
        <v>55.610824741312463</v>
      </c>
      <c r="AI4" s="6">
        <f t="shared" si="22"/>
        <v>55.610824741312463</v>
      </c>
      <c r="AJ4" s="6">
        <f t="shared" si="22"/>
        <v>55.610824741312463</v>
      </c>
      <c r="AK4" s="6">
        <f t="shared" si="22"/>
        <v>55.610824741312463</v>
      </c>
      <c r="AL4" s="6">
        <f t="shared" si="22"/>
        <v>55.610824741312463</v>
      </c>
      <c r="AM4" s="6">
        <f t="shared" si="22"/>
        <v>55.610824741312463</v>
      </c>
      <c r="AN4" s="6">
        <f t="shared" si="22"/>
        <v>55.610824741312463</v>
      </c>
      <c r="AO4" s="6">
        <f t="shared" si="22"/>
        <v>55.610824741312463</v>
      </c>
      <c r="AP4" s="6">
        <f t="shared" si="22"/>
        <v>55.610824741312463</v>
      </c>
      <c r="AQ4" s="6">
        <f t="shared" si="22"/>
        <v>55.610824741312463</v>
      </c>
      <c r="AR4" s="6">
        <f t="shared" si="22"/>
        <v>55.610824741312463</v>
      </c>
      <c r="AS4" s="6">
        <f t="shared" si="22"/>
        <v>55.610824741312463</v>
      </c>
    </row>
    <row r="5" spans="1:45" x14ac:dyDescent="0.35">
      <c r="A5" s="79" t="str">
        <f>A4</f>
        <v>HIGH_PMR1</v>
      </c>
      <c r="B5" s="8" t="s">
        <v>41</v>
      </c>
      <c r="C5" s="4" t="s">
        <v>4</v>
      </c>
      <c r="D5" s="9">
        <v>816</v>
      </c>
      <c r="E5" s="9">
        <v>816</v>
      </c>
      <c r="F5" s="9">
        <v>816</v>
      </c>
      <c r="G5" s="9">
        <v>816</v>
      </c>
      <c r="H5" s="9">
        <v>816</v>
      </c>
      <c r="I5" s="9">
        <v>816</v>
      </c>
      <c r="J5" s="27">
        <f>extendable_generators!J2</f>
        <v>429.64</v>
      </c>
      <c r="K5" s="27">
        <f>extendable_generators!K2</f>
        <v>471.39</v>
      </c>
      <c r="L5" s="27">
        <f>extendable_generators!L2</f>
        <v>513.07000000000005</v>
      </c>
      <c r="M5" s="27">
        <f>extendable_generators!M2</f>
        <v>558.9</v>
      </c>
      <c r="N5" s="27">
        <f>extendable_generators!N2</f>
        <v>606.11</v>
      </c>
      <c r="O5" s="27">
        <f>extendable_generators!O2</f>
        <v>611.09</v>
      </c>
      <c r="P5" s="27">
        <f>extendable_generators!P2</f>
        <v>616.36</v>
      </c>
      <c r="Q5" s="27">
        <f>extendable_generators!Q2</f>
        <v>615.87</v>
      </c>
      <c r="R5" s="27">
        <f>extendable_generators!R2</f>
        <v>619.91</v>
      </c>
      <c r="S5" s="27">
        <f>extendable_generators!S2</f>
        <v>627.52</v>
      </c>
      <c r="T5" s="27">
        <f>extendable_generators!T2</f>
        <v>629.52</v>
      </c>
      <c r="U5" s="27">
        <f>extendable_generators!U2</f>
        <v>629.79999999999995</v>
      </c>
      <c r="V5" s="27">
        <f>extendable_generators!V2</f>
        <v>636.17999999999995</v>
      </c>
      <c r="W5" s="27">
        <f>extendable_generators!W2</f>
        <v>629.96</v>
      </c>
      <c r="X5" s="27">
        <f>extendable_generators!X2</f>
        <v>631.33000000000004</v>
      </c>
      <c r="Y5" s="27">
        <f>extendable_generators!Y2</f>
        <v>632.86</v>
      </c>
      <c r="Z5" s="27">
        <f>extendable_generators!Z2</f>
        <v>637.49</v>
      </c>
      <c r="AA5" s="27">
        <f>extendable_generators!AA2</f>
        <v>640.96</v>
      </c>
      <c r="AB5" s="27">
        <f>extendable_generators!AB2</f>
        <v>641.74</v>
      </c>
      <c r="AC5" s="27">
        <f>extendable_generators!AC2</f>
        <v>644.66999999999996</v>
      </c>
      <c r="AD5" s="27">
        <f>extendable_generators!AD2</f>
        <v>643.6</v>
      </c>
      <c r="AE5" s="27">
        <f>extendable_generators!AE2</f>
        <v>644.79</v>
      </c>
      <c r="AF5" s="27">
        <f>extendable_generators!AF2</f>
        <v>647.71</v>
      </c>
      <c r="AG5" s="27">
        <f>extendable_generators!AG2</f>
        <v>653.19000000000005</v>
      </c>
      <c r="AH5" s="27">
        <f>extendable_generators!AH2</f>
        <v>654.28</v>
      </c>
      <c r="AI5" s="27">
        <f>extendable_generators!AI2</f>
        <v>655.8</v>
      </c>
      <c r="AJ5" s="27">
        <f>extendable_generators!AJ2</f>
        <v>655.8</v>
      </c>
      <c r="AK5" s="27">
        <f>extendable_generators!AK2</f>
        <v>655.8</v>
      </c>
      <c r="AL5" s="27">
        <f>extendable_generators!AL2</f>
        <v>655.8</v>
      </c>
      <c r="AM5" s="27">
        <f>extendable_generators!AM2</f>
        <v>655.8</v>
      </c>
      <c r="AN5" s="27">
        <f>extendable_generators!AN2</f>
        <v>655.8</v>
      </c>
      <c r="AO5" s="27">
        <f>extendable_generators!AO2</f>
        <v>655.8</v>
      </c>
      <c r="AP5" s="27">
        <f>extendable_generators!AP2</f>
        <v>655.8</v>
      </c>
      <c r="AQ5" s="27">
        <f>extendable_generators!AQ2</f>
        <v>655.8</v>
      </c>
      <c r="AR5" s="27">
        <f>extendable_generators!AR2</f>
        <v>655.8</v>
      </c>
      <c r="AS5" s="27">
        <f>extendable_generators!AS2</f>
        <v>655.8</v>
      </c>
    </row>
    <row r="6" spans="1:45" x14ac:dyDescent="0.35">
      <c r="A6" s="79" t="str">
        <f>A5</f>
        <v>HIGH_PMR1</v>
      </c>
      <c r="B6" s="74" t="s">
        <v>62</v>
      </c>
      <c r="C6" s="4" t="s">
        <v>4</v>
      </c>
      <c r="J6" s="40">
        <f>0.74*J4</f>
        <v>27.928427577960285</v>
      </c>
      <c r="K6" s="40">
        <f t="shared" ref="K6:AS6" si="23">0.74*K4</f>
        <v>30.822512113036641</v>
      </c>
      <c r="L6" s="40">
        <f t="shared" si="23"/>
        <v>34.463068276396726</v>
      </c>
      <c r="M6" s="40">
        <f t="shared" si="23"/>
        <v>36.484393658946132</v>
      </c>
      <c r="N6" s="40">
        <f t="shared" si="23"/>
        <v>38.740918922054213</v>
      </c>
      <c r="O6" s="40">
        <f t="shared" si="23"/>
        <v>41.152010308571221</v>
      </c>
      <c r="P6" s="40">
        <f t="shared" si="23"/>
        <v>41.152010308571221</v>
      </c>
      <c r="Q6" s="40">
        <f t="shared" si="23"/>
        <v>41.152010308571221</v>
      </c>
      <c r="R6" s="40">
        <f t="shared" si="23"/>
        <v>41.152010308571221</v>
      </c>
      <c r="S6" s="40">
        <f t="shared" si="23"/>
        <v>41.152010308571221</v>
      </c>
      <c r="T6" s="40">
        <f t="shared" si="23"/>
        <v>41.152010308571221</v>
      </c>
      <c r="U6" s="40">
        <f t="shared" si="23"/>
        <v>41.152010308571221</v>
      </c>
      <c r="V6" s="40">
        <f t="shared" si="23"/>
        <v>41.152010308571221</v>
      </c>
      <c r="W6" s="40">
        <f t="shared" si="23"/>
        <v>41.152010308571221</v>
      </c>
      <c r="X6" s="40">
        <f t="shared" si="23"/>
        <v>41.152010308571221</v>
      </c>
      <c r="Y6" s="40">
        <f t="shared" si="23"/>
        <v>41.152010308571221</v>
      </c>
      <c r="Z6" s="40">
        <f t="shared" si="23"/>
        <v>41.152010308571221</v>
      </c>
      <c r="AA6" s="40">
        <f t="shared" si="23"/>
        <v>41.152010308571221</v>
      </c>
      <c r="AB6" s="40">
        <f t="shared" si="23"/>
        <v>41.152010308571221</v>
      </c>
      <c r="AC6" s="40">
        <f t="shared" si="23"/>
        <v>41.152010308571221</v>
      </c>
      <c r="AD6" s="40">
        <f t="shared" si="23"/>
        <v>41.152010308571221</v>
      </c>
      <c r="AE6" s="40">
        <f t="shared" si="23"/>
        <v>41.152010308571221</v>
      </c>
      <c r="AF6" s="40">
        <f t="shared" si="23"/>
        <v>41.152010308571221</v>
      </c>
      <c r="AG6" s="40">
        <f t="shared" si="23"/>
        <v>41.152010308571221</v>
      </c>
      <c r="AH6" s="40">
        <f t="shared" si="23"/>
        <v>41.152010308571221</v>
      </c>
      <c r="AI6" s="40">
        <f t="shared" si="23"/>
        <v>41.152010308571221</v>
      </c>
      <c r="AJ6" s="40">
        <f t="shared" si="23"/>
        <v>41.152010308571221</v>
      </c>
      <c r="AK6" s="40">
        <f t="shared" si="23"/>
        <v>41.152010308571221</v>
      </c>
      <c r="AL6" s="40">
        <f t="shared" si="23"/>
        <v>41.152010308571221</v>
      </c>
      <c r="AM6" s="40">
        <f t="shared" si="23"/>
        <v>41.152010308571221</v>
      </c>
      <c r="AN6" s="40">
        <f t="shared" si="23"/>
        <v>41.152010308571221</v>
      </c>
      <c r="AO6" s="40">
        <f t="shared" si="23"/>
        <v>41.152010308571221</v>
      </c>
      <c r="AP6" s="40">
        <f t="shared" si="23"/>
        <v>41.152010308571221</v>
      </c>
      <c r="AQ6" s="40">
        <f t="shared" si="23"/>
        <v>41.152010308571221</v>
      </c>
      <c r="AR6" s="40">
        <f t="shared" si="23"/>
        <v>41.152010308571221</v>
      </c>
      <c r="AS6" s="40">
        <f t="shared" si="23"/>
        <v>41.152010308571221</v>
      </c>
    </row>
    <row r="7" spans="1:45" x14ac:dyDescent="0.35">
      <c r="A7" s="79" t="str">
        <f>A8</f>
        <v>HIGH_PMR1</v>
      </c>
      <c r="B7" s="73" t="s">
        <v>63</v>
      </c>
      <c r="C7" s="4" t="s">
        <v>4</v>
      </c>
      <c r="J7" s="40">
        <f>1.06*J4</f>
        <v>40.005585449510683</v>
      </c>
      <c r="K7" s="40">
        <f t="shared" ref="K7:AS7" si="24">1.06*K4</f>
        <v>44.151165999755193</v>
      </c>
      <c r="L7" s="40">
        <f t="shared" si="24"/>
        <v>49.366016720243962</v>
      </c>
      <c r="M7" s="40">
        <f t="shared" si="24"/>
        <v>52.261428754706628</v>
      </c>
      <c r="N7" s="40">
        <f t="shared" si="24"/>
        <v>55.493748726185771</v>
      </c>
      <c r="O7" s="40">
        <f t="shared" si="24"/>
        <v>58.947474225791211</v>
      </c>
      <c r="P7" s="40">
        <f t="shared" si="24"/>
        <v>58.947474225791211</v>
      </c>
      <c r="Q7" s="40">
        <f t="shared" si="24"/>
        <v>58.947474225791211</v>
      </c>
      <c r="R7" s="40">
        <f t="shared" si="24"/>
        <v>58.947474225791211</v>
      </c>
      <c r="S7" s="40">
        <f t="shared" si="24"/>
        <v>58.947474225791211</v>
      </c>
      <c r="T7" s="40">
        <f t="shared" si="24"/>
        <v>58.947474225791211</v>
      </c>
      <c r="U7" s="40">
        <f t="shared" si="24"/>
        <v>58.947474225791211</v>
      </c>
      <c r="V7" s="40">
        <f t="shared" si="24"/>
        <v>58.947474225791211</v>
      </c>
      <c r="W7" s="40">
        <f t="shared" si="24"/>
        <v>58.947474225791211</v>
      </c>
      <c r="X7" s="40">
        <f t="shared" si="24"/>
        <v>58.947474225791211</v>
      </c>
      <c r="Y7" s="40">
        <f t="shared" si="24"/>
        <v>58.947474225791211</v>
      </c>
      <c r="Z7" s="40">
        <f t="shared" si="24"/>
        <v>58.947474225791211</v>
      </c>
      <c r="AA7" s="40">
        <f t="shared" si="24"/>
        <v>58.947474225791211</v>
      </c>
      <c r="AB7" s="40">
        <f t="shared" si="24"/>
        <v>58.947474225791211</v>
      </c>
      <c r="AC7" s="40">
        <f t="shared" si="24"/>
        <v>58.947474225791211</v>
      </c>
      <c r="AD7" s="40">
        <f t="shared" si="24"/>
        <v>58.947474225791211</v>
      </c>
      <c r="AE7" s="40">
        <f t="shared" si="24"/>
        <v>58.947474225791211</v>
      </c>
      <c r="AF7" s="40">
        <f t="shared" si="24"/>
        <v>58.947474225791211</v>
      </c>
      <c r="AG7" s="40">
        <f t="shared" si="24"/>
        <v>58.947474225791211</v>
      </c>
      <c r="AH7" s="40">
        <f t="shared" si="24"/>
        <v>58.947474225791211</v>
      </c>
      <c r="AI7" s="40">
        <f t="shared" si="24"/>
        <v>58.947474225791211</v>
      </c>
      <c r="AJ7" s="40">
        <f t="shared" si="24"/>
        <v>58.947474225791211</v>
      </c>
      <c r="AK7" s="40">
        <f t="shared" si="24"/>
        <v>58.947474225791211</v>
      </c>
      <c r="AL7" s="40">
        <f t="shared" si="24"/>
        <v>58.947474225791211</v>
      </c>
      <c r="AM7" s="40">
        <f t="shared" si="24"/>
        <v>58.947474225791211</v>
      </c>
      <c r="AN7" s="40">
        <f t="shared" si="24"/>
        <v>58.947474225791211</v>
      </c>
      <c r="AO7" s="40">
        <f t="shared" si="24"/>
        <v>58.947474225791211</v>
      </c>
      <c r="AP7" s="40">
        <f t="shared" si="24"/>
        <v>58.947474225791211</v>
      </c>
      <c r="AQ7" s="40">
        <f t="shared" si="24"/>
        <v>58.947474225791211</v>
      </c>
      <c r="AR7" s="40">
        <f t="shared" si="24"/>
        <v>58.947474225791211</v>
      </c>
      <c r="AS7" s="40">
        <f t="shared" si="24"/>
        <v>58.947474225791211</v>
      </c>
    </row>
    <row r="8" spans="1:45" x14ac:dyDescent="0.35">
      <c r="A8" s="80" t="str">
        <f>A6</f>
        <v>HIGH_PMR1</v>
      </c>
      <c r="B8" s="75" t="s">
        <v>64</v>
      </c>
      <c r="C8" s="62" t="s">
        <v>4</v>
      </c>
      <c r="D8" s="65"/>
      <c r="E8" s="65"/>
      <c r="F8" s="65"/>
      <c r="G8" s="65"/>
      <c r="H8" s="65"/>
      <c r="I8" s="65"/>
      <c r="J8" s="67">
        <f>1.28*J4</f>
        <v>48.308631486201577</v>
      </c>
      <c r="K8" s="67">
        <f t="shared" ref="K8:AS8" si="25">1.28*K4</f>
        <v>53.314615546874194</v>
      </c>
      <c r="L8" s="67">
        <f t="shared" si="25"/>
        <v>59.611793775388932</v>
      </c>
      <c r="M8" s="67">
        <f t="shared" si="25"/>
        <v>63.108140383041963</v>
      </c>
      <c r="N8" s="67">
        <f t="shared" si="25"/>
        <v>67.011319216526203</v>
      </c>
      <c r="O8" s="67">
        <f t="shared" si="25"/>
        <v>71.181855668879948</v>
      </c>
      <c r="P8" s="67">
        <f t="shared" si="25"/>
        <v>71.181855668879948</v>
      </c>
      <c r="Q8" s="67">
        <f t="shared" si="25"/>
        <v>71.181855668879948</v>
      </c>
      <c r="R8" s="67">
        <f t="shared" si="25"/>
        <v>71.181855668879948</v>
      </c>
      <c r="S8" s="67">
        <f t="shared" si="25"/>
        <v>71.181855668879948</v>
      </c>
      <c r="T8" s="67">
        <f t="shared" si="25"/>
        <v>71.181855668879948</v>
      </c>
      <c r="U8" s="67">
        <f t="shared" si="25"/>
        <v>71.181855668879948</v>
      </c>
      <c r="V8" s="67">
        <f t="shared" si="25"/>
        <v>71.181855668879948</v>
      </c>
      <c r="W8" s="67">
        <f t="shared" si="25"/>
        <v>71.181855668879948</v>
      </c>
      <c r="X8" s="67">
        <f t="shared" si="25"/>
        <v>71.181855668879948</v>
      </c>
      <c r="Y8" s="67">
        <f t="shared" si="25"/>
        <v>71.181855668879948</v>
      </c>
      <c r="Z8" s="67">
        <f t="shared" si="25"/>
        <v>71.181855668879948</v>
      </c>
      <c r="AA8" s="67">
        <f t="shared" si="25"/>
        <v>71.181855668879948</v>
      </c>
      <c r="AB8" s="67">
        <f t="shared" si="25"/>
        <v>71.181855668879948</v>
      </c>
      <c r="AC8" s="67">
        <f t="shared" si="25"/>
        <v>71.181855668879948</v>
      </c>
      <c r="AD8" s="67">
        <f t="shared" si="25"/>
        <v>71.181855668879948</v>
      </c>
      <c r="AE8" s="67">
        <f t="shared" si="25"/>
        <v>71.181855668879948</v>
      </c>
      <c r="AF8" s="67">
        <f t="shared" si="25"/>
        <v>71.181855668879948</v>
      </c>
      <c r="AG8" s="67">
        <f t="shared" si="25"/>
        <v>71.181855668879948</v>
      </c>
      <c r="AH8" s="67">
        <f t="shared" si="25"/>
        <v>71.181855668879948</v>
      </c>
      <c r="AI8" s="67">
        <f t="shared" si="25"/>
        <v>71.181855668879948</v>
      </c>
      <c r="AJ8" s="67">
        <f t="shared" si="25"/>
        <v>71.181855668879948</v>
      </c>
      <c r="AK8" s="67">
        <f t="shared" si="25"/>
        <v>71.181855668879948</v>
      </c>
      <c r="AL8" s="67">
        <f t="shared" si="25"/>
        <v>71.181855668879948</v>
      </c>
      <c r="AM8" s="67">
        <f t="shared" si="25"/>
        <v>71.181855668879948</v>
      </c>
      <c r="AN8" s="67">
        <f t="shared" si="25"/>
        <v>71.181855668879948</v>
      </c>
      <c r="AO8" s="67">
        <f t="shared" si="25"/>
        <v>71.181855668879948</v>
      </c>
      <c r="AP8" s="67">
        <f t="shared" si="25"/>
        <v>71.181855668879948</v>
      </c>
      <c r="AQ8" s="67">
        <f t="shared" si="25"/>
        <v>71.181855668879948</v>
      </c>
      <c r="AR8" s="67">
        <f t="shared" si="25"/>
        <v>71.181855668879948</v>
      </c>
      <c r="AS8" s="67">
        <f t="shared" si="25"/>
        <v>71.181855668879948</v>
      </c>
    </row>
    <row r="9" spans="1:45" x14ac:dyDescent="0.35">
      <c r="A9" s="81" t="s">
        <v>66</v>
      </c>
      <c r="B9" s="3" t="s">
        <v>40</v>
      </c>
      <c r="C9" s="4" t="s">
        <v>4</v>
      </c>
      <c r="D9" s="5"/>
      <c r="E9" s="5"/>
      <c r="F9" s="5"/>
      <c r="G9" s="5"/>
      <c r="H9" s="5"/>
      <c r="I9" s="5"/>
      <c r="J9" s="6">
        <v>37.741118348594981</v>
      </c>
      <c r="K9" s="6">
        <v>41.652043395995463</v>
      </c>
      <c r="L9" s="6">
        <v>46.571713887022604</v>
      </c>
      <c r="M9" s="6">
        <v>49.303234674251534</v>
      </c>
      <c r="N9" s="6">
        <v>52.3525931379111</v>
      </c>
      <c r="O9" s="6">
        <v>55.610824741312463</v>
      </c>
      <c r="P9" s="6">
        <f>O9</f>
        <v>55.610824741312463</v>
      </c>
      <c r="Q9" s="6">
        <f t="shared" ref="Q9:AS9" si="26">P9</f>
        <v>55.610824741312463</v>
      </c>
      <c r="R9" s="6">
        <f t="shared" si="26"/>
        <v>55.610824741312463</v>
      </c>
      <c r="S9" s="6">
        <f t="shared" si="26"/>
        <v>55.610824741312463</v>
      </c>
      <c r="T9" s="6">
        <f t="shared" si="26"/>
        <v>55.610824741312463</v>
      </c>
      <c r="U9" s="6">
        <f t="shared" si="26"/>
        <v>55.610824741312463</v>
      </c>
      <c r="V9" s="6">
        <f t="shared" si="26"/>
        <v>55.610824741312463</v>
      </c>
      <c r="W9" s="6">
        <f t="shared" si="26"/>
        <v>55.610824741312463</v>
      </c>
      <c r="X9" s="6">
        <f t="shared" si="26"/>
        <v>55.610824741312463</v>
      </c>
      <c r="Y9" s="6">
        <f t="shared" si="26"/>
        <v>55.610824741312463</v>
      </c>
      <c r="Z9" s="6">
        <f t="shared" si="26"/>
        <v>55.610824741312463</v>
      </c>
      <c r="AA9" s="6">
        <f t="shared" si="26"/>
        <v>55.610824741312463</v>
      </c>
      <c r="AB9" s="6">
        <f t="shared" si="26"/>
        <v>55.610824741312463</v>
      </c>
      <c r="AC9" s="6">
        <f t="shared" si="26"/>
        <v>55.610824741312463</v>
      </c>
      <c r="AD9" s="6">
        <f t="shared" si="26"/>
        <v>55.610824741312463</v>
      </c>
      <c r="AE9" s="6">
        <f t="shared" si="26"/>
        <v>55.610824741312463</v>
      </c>
      <c r="AF9" s="6">
        <f t="shared" si="26"/>
        <v>55.610824741312463</v>
      </c>
      <c r="AG9" s="6">
        <f t="shared" si="26"/>
        <v>55.610824741312463</v>
      </c>
      <c r="AH9" s="6">
        <f t="shared" si="26"/>
        <v>55.610824741312463</v>
      </c>
      <c r="AI9" s="6">
        <f t="shared" si="26"/>
        <v>55.610824741312463</v>
      </c>
      <c r="AJ9" s="6">
        <f t="shared" si="26"/>
        <v>55.610824741312463</v>
      </c>
      <c r="AK9" s="6">
        <f t="shared" si="26"/>
        <v>55.610824741312463</v>
      </c>
      <c r="AL9" s="6">
        <f t="shared" si="26"/>
        <v>55.610824741312463</v>
      </c>
      <c r="AM9" s="6">
        <f t="shared" si="26"/>
        <v>55.610824741312463</v>
      </c>
      <c r="AN9" s="6">
        <f t="shared" si="26"/>
        <v>55.610824741312463</v>
      </c>
      <c r="AO9" s="6">
        <f t="shared" si="26"/>
        <v>55.610824741312463</v>
      </c>
      <c r="AP9" s="6">
        <f t="shared" si="26"/>
        <v>55.610824741312463</v>
      </c>
      <c r="AQ9" s="6">
        <f t="shared" si="26"/>
        <v>55.610824741312463</v>
      </c>
      <c r="AR9" s="6">
        <f t="shared" si="26"/>
        <v>55.610824741312463</v>
      </c>
      <c r="AS9" s="6">
        <f t="shared" si="26"/>
        <v>55.610824741312463</v>
      </c>
    </row>
    <row r="10" spans="1:45" x14ac:dyDescent="0.35">
      <c r="A10" s="81" t="str">
        <f>A9</f>
        <v>BASE_PMR1</v>
      </c>
      <c r="B10" s="8" t="s">
        <v>41</v>
      </c>
      <c r="C10" s="4" t="s">
        <v>4</v>
      </c>
      <c r="D10" s="9">
        <v>816</v>
      </c>
      <c r="E10" s="9">
        <v>816</v>
      </c>
      <c r="F10" s="9">
        <v>816</v>
      </c>
      <c r="G10" s="9">
        <v>816</v>
      </c>
      <c r="H10" s="9">
        <v>816</v>
      </c>
      <c r="I10" s="9">
        <v>816</v>
      </c>
      <c r="J10" s="29">
        <f>extendable_generators!J14</f>
        <v>396.72</v>
      </c>
      <c r="K10" s="29">
        <f>extendable_generators!K14</f>
        <v>405.87</v>
      </c>
      <c r="L10" s="29">
        <f>extendable_generators!L14</f>
        <v>415.35</v>
      </c>
      <c r="M10" s="29">
        <f>extendable_generators!M14</f>
        <v>425.96</v>
      </c>
      <c r="N10" s="29">
        <f>extendable_generators!N14</f>
        <v>437.53</v>
      </c>
      <c r="O10" s="29">
        <f>extendable_generators!O14</f>
        <v>440.21</v>
      </c>
      <c r="P10" s="29">
        <f>extendable_generators!P14</f>
        <v>442.39</v>
      </c>
      <c r="Q10" s="29">
        <f>extendable_generators!Q14</f>
        <v>445.58</v>
      </c>
      <c r="R10" s="29">
        <f>extendable_generators!R14</f>
        <v>447.37</v>
      </c>
      <c r="S10" s="29">
        <f>extendable_generators!S14</f>
        <v>450.04</v>
      </c>
      <c r="T10" s="29">
        <f>extendable_generators!T14</f>
        <v>453.37</v>
      </c>
      <c r="U10" s="29">
        <f>extendable_generators!U14</f>
        <v>455.66</v>
      </c>
      <c r="V10" s="29">
        <f>extendable_generators!V14</f>
        <v>458.2</v>
      </c>
      <c r="W10" s="29">
        <f>extendable_generators!W14</f>
        <v>460.28</v>
      </c>
      <c r="X10" s="29">
        <f>extendable_generators!X14</f>
        <v>462.36</v>
      </c>
      <c r="Y10" s="29">
        <f>extendable_generators!Y14</f>
        <v>464.39</v>
      </c>
      <c r="Z10" s="29">
        <f>extendable_generators!Z14</f>
        <v>466.51</v>
      </c>
      <c r="AA10" s="29">
        <f>extendable_generators!AA14</f>
        <v>468.23</v>
      </c>
      <c r="AB10" s="29">
        <f>extendable_generators!AB14</f>
        <v>469.7</v>
      </c>
      <c r="AC10" s="29">
        <f>extendable_generators!AC14</f>
        <v>471.57</v>
      </c>
      <c r="AD10" s="29">
        <f>extendable_generators!AD14</f>
        <v>472.95</v>
      </c>
      <c r="AE10" s="29">
        <f>extendable_generators!AE14</f>
        <v>475.98</v>
      </c>
      <c r="AF10" s="29">
        <f>extendable_generators!AF14</f>
        <v>477.6</v>
      </c>
      <c r="AG10" s="29">
        <f>extendable_generators!AG14</f>
        <v>479.89</v>
      </c>
      <c r="AH10" s="29">
        <f>extendable_generators!AH14</f>
        <v>482.55</v>
      </c>
      <c r="AI10" s="29">
        <f>extendable_generators!AI14</f>
        <v>483.6</v>
      </c>
      <c r="AJ10" s="29">
        <f>extendable_generators!AJ14</f>
        <v>483.6</v>
      </c>
      <c r="AK10" s="29">
        <f>extendable_generators!AK14</f>
        <v>483.6</v>
      </c>
      <c r="AL10" s="29">
        <f>extendable_generators!AL14</f>
        <v>483.6</v>
      </c>
      <c r="AM10" s="29">
        <f>extendable_generators!AM14</f>
        <v>483.6</v>
      </c>
      <c r="AN10" s="29">
        <f>extendable_generators!AN14</f>
        <v>483.6</v>
      </c>
      <c r="AO10" s="29">
        <f>extendable_generators!AO14</f>
        <v>483.6</v>
      </c>
      <c r="AP10" s="29">
        <f>extendable_generators!AP14</f>
        <v>483.6</v>
      </c>
      <c r="AQ10" s="29">
        <f>extendable_generators!AQ14</f>
        <v>483.6</v>
      </c>
      <c r="AR10" s="29">
        <f>extendable_generators!AR14</f>
        <v>483.6</v>
      </c>
      <c r="AS10" s="29">
        <f>extendable_generators!AS14</f>
        <v>483.6</v>
      </c>
    </row>
    <row r="11" spans="1:45" x14ac:dyDescent="0.35">
      <c r="A11" s="81" t="str">
        <f>A10</f>
        <v>BASE_PMR1</v>
      </c>
      <c r="B11" s="74" t="s">
        <v>62</v>
      </c>
      <c r="C11" s="4" t="s">
        <v>4</v>
      </c>
      <c r="J11" s="40">
        <f>0.74*J9</f>
        <v>27.928427577960285</v>
      </c>
      <c r="K11" s="40">
        <f t="shared" ref="K11:AS11" si="27">0.74*K9</f>
        <v>30.822512113036641</v>
      </c>
      <c r="L11" s="40">
        <f t="shared" si="27"/>
        <v>34.463068276396726</v>
      </c>
      <c r="M11" s="40">
        <f t="shared" si="27"/>
        <v>36.484393658946132</v>
      </c>
      <c r="N11" s="40">
        <f t="shared" si="27"/>
        <v>38.740918922054213</v>
      </c>
      <c r="O11" s="40">
        <f t="shared" si="27"/>
        <v>41.152010308571221</v>
      </c>
      <c r="P11" s="40">
        <f t="shared" si="27"/>
        <v>41.152010308571221</v>
      </c>
      <c r="Q11" s="40">
        <f t="shared" si="27"/>
        <v>41.152010308571221</v>
      </c>
      <c r="R11" s="40">
        <f t="shared" si="27"/>
        <v>41.152010308571221</v>
      </c>
      <c r="S11" s="40">
        <f t="shared" si="27"/>
        <v>41.152010308571221</v>
      </c>
      <c r="T11" s="40">
        <f t="shared" si="27"/>
        <v>41.152010308571221</v>
      </c>
      <c r="U11" s="40">
        <f t="shared" si="27"/>
        <v>41.152010308571221</v>
      </c>
      <c r="V11" s="40">
        <f t="shared" si="27"/>
        <v>41.152010308571221</v>
      </c>
      <c r="W11" s="40">
        <f t="shared" si="27"/>
        <v>41.152010308571221</v>
      </c>
      <c r="X11" s="40">
        <f t="shared" si="27"/>
        <v>41.152010308571221</v>
      </c>
      <c r="Y11" s="40">
        <f t="shared" si="27"/>
        <v>41.152010308571221</v>
      </c>
      <c r="Z11" s="40">
        <f t="shared" si="27"/>
        <v>41.152010308571221</v>
      </c>
      <c r="AA11" s="40">
        <f t="shared" si="27"/>
        <v>41.152010308571221</v>
      </c>
      <c r="AB11" s="40">
        <f t="shared" si="27"/>
        <v>41.152010308571221</v>
      </c>
      <c r="AC11" s="40">
        <f t="shared" si="27"/>
        <v>41.152010308571221</v>
      </c>
      <c r="AD11" s="40">
        <f t="shared" si="27"/>
        <v>41.152010308571221</v>
      </c>
      <c r="AE11" s="40">
        <f t="shared" si="27"/>
        <v>41.152010308571221</v>
      </c>
      <c r="AF11" s="40">
        <f t="shared" si="27"/>
        <v>41.152010308571221</v>
      </c>
      <c r="AG11" s="40">
        <f t="shared" si="27"/>
        <v>41.152010308571221</v>
      </c>
      <c r="AH11" s="40">
        <f t="shared" si="27"/>
        <v>41.152010308571221</v>
      </c>
      <c r="AI11" s="40">
        <f t="shared" si="27"/>
        <v>41.152010308571221</v>
      </c>
      <c r="AJ11" s="40">
        <f t="shared" si="27"/>
        <v>41.152010308571221</v>
      </c>
      <c r="AK11" s="40">
        <f t="shared" si="27"/>
        <v>41.152010308571221</v>
      </c>
      <c r="AL11" s="40">
        <f t="shared" si="27"/>
        <v>41.152010308571221</v>
      </c>
      <c r="AM11" s="40">
        <f t="shared" si="27"/>
        <v>41.152010308571221</v>
      </c>
      <c r="AN11" s="40">
        <f t="shared" si="27"/>
        <v>41.152010308571221</v>
      </c>
      <c r="AO11" s="40">
        <f t="shared" si="27"/>
        <v>41.152010308571221</v>
      </c>
      <c r="AP11" s="40">
        <f t="shared" si="27"/>
        <v>41.152010308571221</v>
      </c>
      <c r="AQ11" s="40">
        <f t="shared" si="27"/>
        <v>41.152010308571221</v>
      </c>
      <c r="AR11" s="40">
        <f t="shared" si="27"/>
        <v>41.152010308571221</v>
      </c>
      <c r="AS11" s="40">
        <f t="shared" si="27"/>
        <v>41.152010308571221</v>
      </c>
    </row>
    <row r="12" spans="1:45" x14ac:dyDescent="0.35">
      <c r="A12" s="81" t="str">
        <f>A11</f>
        <v>BASE_PMR1</v>
      </c>
      <c r="B12" s="73" t="s">
        <v>63</v>
      </c>
      <c r="C12" s="4" t="s">
        <v>4</v>
      </c>
      <c r="J12" s="40">
        <f>1.06*J9</f>
        <v>40.005585449510683</v>
      </c>
      <c r="K12" s="40">
        <f t="shared" ref="K12:AS12" si="28">1.06*K9</f>
        <v>44.151165999755193</v>
      </c>
      <c r="L12" s="40">
        <f t="shared" si="28"/>
        <v>49.366016720243962</v>
      </c>
      <c r="M12" s="40">
        <f t="shared" si="28"/>
        <v>52.261428754706628</v>
      </c>
      <c r="N12" s="40">
        <f t="shared" si="28"/>
        <v>55.493748726185771</v>
      </c>
      <c r="O12" s="40">
        <f t="shared" si="28"/>
        <v>58.947474225791211</v>
      </c>
      <c r="P12" s="40">
        <f t="shared" si="28"/>
        <v>58.947474225791211</v>
      </c>
      <c r="Q12" s="40">
        <f t="shared" si="28"/>
        <v>58.947474225791211</v>
      </c>
      <c r="R12" s="40">
        <f t="shared" si="28"/>
        <v>58.947474225791211</v>
      </c>
      <c r="S12" s="40">
        <f t="shared" si="28"/>
        <v>58.947474225791211</v>
      </c>
      <c r="T12" s="40">
        <f t="shared" si="28"/>
        <v>58.947474225791211</v>
      </c>
      <c r="U12" s="40">
        <f t="shared" si="28"/>
        <v>58.947474225791211</v>
      </c>
      <c r="V12" s="40">
        <f t="shared" si="28"/>
        <v>58.947474225791211</v>
      </c>
      <c r="W12" s="40">
        <f t="shared" si="28"/>
        <v>58.947474225791211</v>
      </c>
      <c r="X12" s="40">
        <f t="shared" si="28"/>
        <v>58.947474225791211</v>
      </c>
      <c r="Y12" s="40">
        <f t="shared" si="28"/>
        <v>58.947474225791211</v>
      </c>
      <c r="Z12" s="40">
        <f t="shared" si="28"/>
        <v>58.947474225791211</v>
      </c>
      <c r="AA12" s="40">
        <f t="shared" si="28"/>
        <v>58.947474225791211</v>
      </c>
      <c r="AB12" s="40">
        <f t="shared" si="28"/>
        <v>58.947474225791211</v>
      </c>
      <c r="AC12" s="40">
        <f t="shared" si="28"/>
        <v>58.947474225791211</v>
      </c>
      <c r="AD12" s="40">
        <f t="shared" si="28"/>
        <v>58.947474225791211</v>
      </c>
      <c r="AE12" s="40">
        <f t="shared" si="28"/>
        <v>58.947474225791211</v>
      </c>
      <c r="AF12" s="40">
        <f t="shared" si="28"/>
        <v>58.947474225791211</v>
      </c>
      <c r="AG12" s="40">
        <f t="shared" si="28"/>
        <v>58.947474225791211</v>
      </c>
      <c r="AH12" s="40">
        <f t="shared" si="28"/>
        <v>58.947474225791211</v>
      </c>
      <c r="AI12" s="40">
        <f t="shared" si="28"/>
        <v>58.947474225791211</v>
      </c>
      <c r="AJ12" s="40">
        <f t="shared" si="28"/>
        <v>58.947474225791211</v>
      </c>
      <c r="AK12" s="40">
        <f t="shared" si="28"/>
        <v>58.947474225791211</v>
      </c>
      <c r="AL12" s="40">
        <f t="shared" si="28"/>
        <v>58.947474225791211</v>
      </c>
      <c r="AM12" s="40">
        <f t="shared" si="28"/>
        <v>58.947474225791211</v>
      </c>
      <c r="AN12" s="40">
        <f t="shared" si="28"/>
        <v>58.947474225791211</v>
      </c>
      <c r="AO12" s="40">
        <f t="shared" si="28"/>
        <v>58.947474225791211</v>
      </c>
      <c r="AP12" s="40">
        <f t="shared" si="28"/>
        <v>58.947474225791211</v>
      </c>
      <c r="AQ12" s="40">
        <f t="shared" si="28"/>
        <v>58.947474225791211</v>
      </c>
      <c r="AR12" s="40">
        <f t="shared" si="28"/>
        <v>58.947474225791211</v>
      </c>
      <c r="AS12" s="40">
        <f t="shared" si="28"/>
        <v>58.947474225791211</v>
      </c>
    </row>
    <row r="13" spans="1:45" x14ac:dyDescent="0.35">
      <c r="A13" s="81" t="str">
        <f>A12</f>
        <v>BASE_PMR1</v>
      </c>
      <c r="B13" s="75" t="s">
        <v>64</v>
      </c>
      <c r="C13" s="62" t="s">
        <v>4</v>
      </c>
      <c r="D13" s="65"/>
      <c r="E13" s="65"/>
      <c r="F13" s="65"/>
      <c r="G13" s="65"/>
      <c r="H13" s="65"/>
      <c r="I13" s="65"/>
      <c r="J13" s="67">
        <f>1.28*J9</f>
        <v>48.308631486201577</v>
      </c>
      <c r="K13" s="67">
        <f t="shared" ref="K13:AS13" si="29">1.28*K9</f>
        <v>53.314615546874194</v>
      </c>
      <c r="L13" s="67">
        <f t="shared" si="29"/>
        <v>59.611793775388932</v>
      </c>
      <c r="M13" s="67">
        <f t="shared" si="29"/>
        <v>63.108140383041963</v>
      </c>
      <c r="N13" s="67">
        <f t="shared" si="29"/>
        <v>67.011319216526203</v>
      </c>
      <c r="O13" s="67">
        <f t="shared" si="29"/>
        <v>71.181855668879948</v>
      </c>
      <c r="P13" s="67">
        <f t="shared" si="29"/>
        <v>71.181855668879948</v>
      </c>
      <c r="Q13" s="67">
        <f t="shared" si="29"/>
        <v>71.181855668879948</v>
      </c>
      <c r="R13" s="67">
        <f t="shared" si="29"/>
        <v>71.181855668879948</v>
      </c>
      <c r="S13" s="67">
        <f t="shared" si="29"/>
        <v>71.181855668879948</v>
      </c>
      <c r="T13" s="67">
        <f t="shared" si="29"/>
        <v>71.181855668879948</v>
      </c>
      <c r="U13" s="67">
        <f t="shared" si="29"/>
        <v>71.181855668879948</v>
      </c>
      <c r="V13" s="67">
        <f t="shared" si="29"/>
        <v>71.181855668879948</v>
      </c>
      <c r="W13" s="67">
        <f t="shared" si="29"/>
        <v>71.181855668879948</v>
      </c>
      <c r="X13" s="67">
        <f t="shared" si="29"/>
        <v>71.181855668879948</v>
      </c>
      <c r="Y13" s="67">
        <f t="shared" si="29"/>
        <v>71.181855668879948</v>
      </c>
      <c r="Z13" s="67">
        <f t="shared" si="29"/>
        <v>71.181855668879948</v>
      </c>
      <c r="AA13" s="67">
        <f t="shared" si="29"/>
        <v>71.181855668879948</v>
      </c>
      <c r="AB13" s="67">
        <f t="shared" si="29"/>
        <v>71.181855668879948</v>
      </c>
      <c r="AC13" s="67">
        <f t="shared" si="29"/>
        <v>71.181855668879948</v>
      </c>
      <c r="AD13" s="67">
        <f t="shared" si="29"/>
        <v>71.181855668879948</v>
      </c>
      <c r="AE13" s="67">
        <f t="shared" si="29"/>
        <v>71.181855668879948</v>
      </c>
      <c r="AF13" s="67">
        <f t="shared" si="29"/>
        <v>71.181855668879948</v>
      </c>
      <c r="AG13" s="67">
        <f t="shared" si="29"/>
        <v>71.181855668879948</v>
      </c>
      <c r="AH13" s="67">
        <f t="shared" si="29"/>
        <v>71.181855668879948</v>
      </c>
      <c r="AI13" s="67">
        <f t="shared" si="29"/>
        <v>71.181855668879948</v>
      </c>
      <c r="AJ13" s="67">
        <f t="shared" si="29"/>
        <v>71.181855668879948</v>
      </c>
      <c r="AK13" s="67">
        <f t="shared" si="29"/>
        <v>71.181855668879948</v>
      </c>
      <c r="AL13" s="67">
        <f t="shared" si="29"/>
        <v>71.181855668879948</v>
      </c>
      <c r="AM13" s="67">
        <f t="shared" si="29"/>
        <v>71.181855668879948</v>
      </c>
      <c r="AN13" s="67">
        <f t="shared" si="29"/>
        <v>71.181855668879948</v>
      </c>
      <c r="AO13" s="67">
        <f t="shared" si="29"/>
        <v>71.181855668879948</v>
      </c>
      <c r="AP13" s="67">
        <f t="shared" si="29"/>
        <v>71.181855668879948</v>
      </c>
      <c r="AQ13" s="67">
        <f t="shared" si="29"/>
        <v>71.181855668879948</v>
      </c>
      <c r="AR13" s="67">
        <f t="shared" si="29"/>
        <v>71.181855668879948</v>
      </c>
      <c r="AS13" s="67">
        <f t="shared" si="29"/>
        <v>71.181855668879948</v>
      </c>
    </row>
    <row r="14" spans="1:45" x14ac:dyDescent="0.35">
      <c r="A14" s="82" t="s">
        <v>67</v>
      </c>
      <c r="B14" s="3" t="s">
        <v>40</v>
      </c>
      <c r="C14" s="4" t="s">
        <v>4</v>
      </c>
      <c r="D14" s="5"/>
      <c r="E14" s="5"/>
      <c r="F14" s="5"/>
      <c r="G14" s="5"/>
      <c r="H14" s="5"/>
      <c r="I14" s="5"/>
      <c r="J14" s="6">
        <v>37.741118348594981</v>
      </c>
      <c r="K14" s="6">
        <v>41.652043395995463</v>
      </c>
      <c r="L14" s="6">
        <v>46.571713887022604</v>
      </c>
      <c r="M14" s="6">
        <v>49.303234674251534</v>
      </c>
      <c r="N14" s="6">
        <v>52.3525931379111</v>
      </c>
      <c r="O14" s="6">
        <v>55.610824741312463</v>
      </c>
      <c r="P14" s="6">
        <f>O14</f>
        <v>55.610824741312463</v>
      </c>
      <c r="Q14" s="6">
        <f t="shared" ref="Q14:AS14" si="30">P14</f>
        <v>55.610824741312463</v>
      </c>
      <c r="R14" s="6">
        <f t="shared" si="30"/>
        <v>55.610824741312463</v>
      </c>
      <c r="S14" s="6">
        <f t="shared" si="30"/>
        <v>55.610824741312463</v>
      </c>
      <c r="T14" s="6">
        <f t="shared" si="30"/>
        <v>55.610824741312463</v>
      </c>
      <c r="U14" s="6">
        <f t="shared" si="30"/>
        <v>55.610824741312463</v>
      </c>
      <c r="V14" s="6">
        <f t="shared" si="30"/>
        <v>55.610824741312463</v>
      </c>
      <c r="W14" s="6">
        <f t="shared" si="30"/>
        <v>55.610824741312463</v>
      </c>
      <c r="X14" s="6">
        <f t="shared" si="30"/>
        <v>55.610824741312463</v>
      </c>
      <c r="Y14" s="6">
        <f t="shared" si="30"/>
        <v>55.610824741312463</v>
      </c>
      <c r="Z14" s="6">
        <f t="shared" si="30"/>
        <v>55.610824741312463</v>
      </c>
      <c r="AA14" s="6">
        <f t="shared" si="30"/>
        <v>55.610824741312463</v>
      </c>
      <c r="AB14" s="6">
        <f t="shared" si="30"/>
        <v>55.610824741312463</v>
      </c>
      <c r="AC14" s="6">
        <f t="shared" si="30"/>
        <v>55.610824741312463</v>
      </c>
      <c r="AD14" s="6">
        <f t="shared" si="30"/>
        <v>55.610824741312463</v>
      </c>
      <c r="AE14" s="6">
        <f t="shared" si="30"/>
        <v>55.610824741312463</v>
      </c>
      <c r="AF14" s="6">
        <f t="shared" si="30"/>
        <v>55.610824741312463</v>
      </c>
      <c r="AG14" s="6">
        <f t="shared" si="30"/>
        <v>55.610824741312463</v>
      </c>
      <c r="AH14" s="6">
        <f t="shared" si="30"/>
        <v>55.610824741312463</v>
      </c>
      <c r="AI14" s="6">
        <f t="shared" si="30"/>
        <v>55.610824741312463</v>
      </c>
      <c r="AJ14" s="6">
        <f t="shared" si="30"/>
        <v>55.610824741312463</v>
      </c>
      <c r="AK14" s="6">
        <f t="shared" si="30"/>
        <v>55.610824741312463</v>
      </c>
      <c r="AL14" s="6">
        <f t="shared" si="30"/>
        <v>55.610824741312463</v>
      </c>
      <c r="AM14" s="6">
        <f t="shared" si="30"/>
        <v>55.610824741312463</v>
      </c>
      <c r="AN14" s="6">
        <f t="shared" si="30"/>
        <v>55.610824741312463</v>
      </c>
      <c r="AO14" s="6">
        <f t="shared" si="30"/>
        <v>55.610824741312463</v>
      </c>
      <c r="AP14" s="6">
        <f t="shared" si="30"/>
        <v>55.610824741312463</v>
      </c>
      <c r="AQ14" s="6">
        <f t="shared" si="30"/>
        <v>55.610824741312463</v>
      </c>
      <c r="AR14" s="6">
        <f t="shared" si="30"/>
        <v>55.610824741312463</v>
      </c>
      <c r="AS14" s="6">
        <f t="shared" si="30"/>
        <v>55.610824741312463</v>
      </c>
    </row>
    <row r="15" spans="1:45" x14ac:dyDescent="0.35">
      <c r="A15" s="82" t="str">
        <f>A14</f>
        <v>LOW_PMR1</v>
      </c>
      <c r="B15" s="8" t="s">
        <v>41</v>
      </c>
      <c r="C15" s="4" t="s">
        <v>4</v>
      </c>
      <c r="D15" s="9">
        <v>816</v>
      </c>
      <c r="E15" s="9">
        <v>816</v>
      </c>
      <c r="F15" s="9">
        <v>816</v>
      </c>
      <c r="G15" s="9">
        <v>816</v>
      </c>
      <c r="H15" s="9">
        <v>816</v>
      </c>
      <c r="I15" s="9">
        <v>816</v>
      </c>
      <c r="J15" s="28">
        <f>extendable_generators!J26</f>
        <v>380.19</v>
      </c>
      <c r="K15" s="28">
        <f>extendable_generators!K26</f>
        <v>372.37</v>
      </c>
      <c r="L15" s="28">
        <f>extendable_generators!L26</f>
        <v>364.35</v>
      </c>
      <c r="M15" s="28">
        <f>extendable_generators!M26</f>
        <v>358.54</v>
      </c>
      <c r="N15" s="28">
        <f>extendable_generators!N26</f>
        <v>352.2</v>
      </c>
      <c r="O15" s="28">
        <f>extendable_generators!O26</f>
        <v>354.57</v>
      </c>
      <c r="P15" s="28">
        <f>extendable_generators!P26</f>
        <v>356.83</v>
      </c>
      <c r="Q15" s="28">
        <f>extendable_generators!Q26</f>
        <v>359.66</v>
      </c>
      <c r="R15" s="28">
        <f>extendable_generators!R26</f>
        <v>361.8</v>
      </c>
      <c r="S15" s="28">
        <f>extendable_generators!S26</f>
        <v>363.06</v>
      </c>
      <c r="T15" s="28">
        <f>extendable_generators!T26</f>
        <v>365.73</v>
      </c>
      <c r="U15" s="28">
        <f>extendable_generators!U26</f>
        <v>368.19</v>
      </c>
      <c r="V15" s="28">
        <f>extendable_generators!V26</f>
        <v>370.21</v>
      </c>
      <c r="W15" s="28">
        <f>extendable_generators!W26</f>
        <v>371.39</v>
      </c>
      <c r="X15" s="28">
        <f>extendable_generators!X26</f>
        <v>373.3</v>
      </c>
      <c r="Y15" s="28">
        <f>extendable_generators!Y26</f>
        <v>372.78</v>
      </c>
      <c r="Z15" s="28">
        <f>extendable_generators!Z26</f>
        <v>373.9</v>
      </c>
      <c r="AA15" s="28">
        <f>extendable_generators!AA26</f>
        <v>374.81</v>
      </c>
      <c r="AB15" s="28">
        <f>extendable_generators!AB26</f>
        <v>375.57</v>
      </c>
      <c r="AC15" s="28">
        <f>extendable_generators!AC26</f>
        <v>377.42</v>
      </c>
      <c r="AD15" s="28">
        <f>extendable_generators!AD26</f>
        <v>378.15</v>
      </c>
      <c r="AE15" s="28">
        <f>extendable_generators!AE26</f>
        <v>381.35</v>
      </c>
      <c r="AF15" s="28">
        <f>extendable_generators!AF26</f>
        <v>381</v>
      </c>
      <c r="AG15" s="28">
        <f>extendable_generators!AG26</f>
        <v>383.49</v>
      </c>
      <c r="AH15" s="28">
        <f>extendable_generators!AH26</f>
        <v>384.2</v>
      </c>
      <c r="AI15" s="28">
        <f>extendable_generators!AI26</f>
        <v>386.45</v>
      </c>
      <c r="AJ15" s="28">
        <f>extendable_generators!AJ26</f>
        <v>386.45</v>
      </c>
      <c r="AK15" s="28">
        <f>extendable_generators!AK26</f>
        <v>386.45</v>
      </c>
      <c r="AL15" s="28">
        <f>extendable_generators!AL26</f>
        <v>386.45</v>
      </c>
      <c r="AM15" s="28">
        <f>extendable_generators!AM26</f>
        <v>386.45</v>
      </c>
      <c r="AN15" s="28">
        <f>extendable_generators!AN26</f>
        <v>386.45</v>
      </c>
      <c r="AO15" s="28">
        <f>extendable_generators!AO26</f>
        <v>386.45</v>
      </c>
      <c r="AP15" s="28">
        <f>extendable_generators!AP26</f>
        <v>386.45</v>
      </c>
      <c r="AQ15" s="28">
        <f>extendable_generators!AQ26</f>
        <v>386.45</v>
      </c>
      <c r="AR15" s="28">
        <f>extendable_generators!AR26</f>
        <v>386.45</v>
      </c>
      <c r="AS15" s="28">
        <f>extendable_generators!AS26</f>
        <v>386.45</v>
      </c>
    </row>
    <row r="16" spans="1:45" x14ac:dyDescent="0.35">
      <c r="A16" s="82" t="str">
        <f t="shared" ref="A16:A18" si="31">A15</f>
        <v>LOW_PMR1</v>
      </c>
      <c r="B16" s="74" t="s">
        <v>62</v>
      </c>
      <c r="C16" s="4" t="s">
        <v>4</v>
      </c>
      <c r="J16" s="40">
        <f>0.74*J14</f>
        <v>27.928427577960285</v>
      </c>
      <c r="K16" s="40">
        <f t="shared" ref="K16:AS16" si="32">0.74*K14</f>
        <v>30.822512113036641</v>
      </c>
      <c r="L16" s="40">
        <f t="shared" si="32"/>
        <v>34.463068276396726</v>
      </c>
      <c r="M16" s="40">
        <f t="shared" si="32"/>
        <v>36.484393658946132</v>
      </c>
      <c r="N16" s="40">
        <f t="shared" si="32"/>
        <v>38.740918922054213</v>
      </c>
      <c r="O16" s="40">
        <f t="shared" si="32"/>
        <v>41.152010308571221</v>
      </c>
      <c r="P16" s="40">
        <f t="shared" si="32"/>
        <v>41.152010308571221</v>
      </c>
      <c r="Q16" s="40">
        <f t="shared" si="32"/>
        <v>41.152010308571221</v>
      </c>
      <c r="R16" s="40">
        <f t="shared" si="32"/>
        <v>41.152010308571221</v>
      </c>
      <c r="S16" s="40">
        <f t="shared" si="32"/>
        <v>41.152010308571221</v>
      </c>
      <c r="T16" s="40">
        <f t="shared" si="32"/>
        <v>41.152010308571221</v>
      </c>
      <c r="U16" s="40">
        <f t="shared" si="32"/>
        <v>41.152010308571221</v>
      </c>
      <c r="V16" s="40">
        <f t="shared" si="32"/>
        <v>41.152010308571221</v>
      </c>
      <c r="W16" s="40">
        <f t="shared" si="32"/>
        <v>41.152010308571221</v>
      </c>
      <c r="X16" s="40">
        <f t="shared" si="32"/>
        <v>41.152010308571221</v>
      </c>
      <c r="Y16" s="40">
        <f t="shared" si="32"/>
        <v>41.152010308571221</v>
      </c>
      <c r="Z16" s="40">
        <f t="shared" si="32"/>
        <v>41.152010308571221</v>
      </c>
      <c r="AA16" s="40">
        <f t="shared" si="32"/>
        <v>41.152010308571221</v>
      </c>
      <c r="AB16" s="40">
        <f t="shared" si="32"/>
        <v>41.152010308571221</v>
      </c>
      <c r="AC16" s="40">
        <f t="shared" si="32"/>
        <v>41.152010308571221</v>
      </c>
      <c r="AD16" s="40">
        <f t="shared" si="32"/>
        <v>41.152010308571221</v>
      </c>
      <c r="AE16" s="40">
        <f t="shared" si="32"/>
        <v>41.152010308571221</v>
      </c>
      <c r="AF16" s="40">
        <f t="shared" si="32"/>
        <v>41.152010308571221</v>
      </c>
      <c r="AG16" s="40">
        <f t="shared" si="32"/>
        <v>41.152010308571221</v>
      </c>
      <c r="AH16" s="40">
        <f t="shared" si="32"/>
        <v>41.152010308571221</v>
      </c>
      <c r="AI16" s="40">
        <f t="shared" si="32"/>
        <v>41.152010308571221</v>
      </c>
      <c r="AJ16" s="40">
        <f t="shared" si="32"/>
        <v>41.152010308571221</v>
      </c>
      <c r="AK16" s="40">
        <f t="shared" si="32"/>
        <v>41.152010308571221</v>
      </c>
      <c r="AL16" s="40">
        <f t="shared" si="32"/>
        <v>41.152010308571221</v>
      </c>
      <c r="AM16" s="40">
        <f t="shared" si="32"/>
        <v>41.152010308571221</v>
      </c>
      <c r="AN16" s="40">
        <f t="shared" si="32"/>
        <v>41.152010308571221</v>
      </c>
      <c r="AO16" s="40">
        <f t="shared" si="32"/>
        <v>41.152010308571221</v>
      </c>
      <c r="AP16" s="40">
        <f t="shared" si="32"/>
        <v>41.152010308571221</v>
      </c>
      <c r="AQ16" s="40">
        <f t="shared" si="32"/>
        <v>41.152010308571221</v>
      </c>
      <c r="AR16" s="40">
        <f t="shared" si="32"/>
        <v>41.152010308571221</v>
      </c>
      <c r="AS16" s="40">
        <f t="shared" si="32"/>
        <v>41.152010308571221</v>
      </c>
    </row>
    <row r="17" spans="1:45" x14ac:dyDescent="0.35">
      <c r="A17" s="82" t="str">
        <f t="shared" si="31"/>
        <v>LOW_PMR1</v>
      </c>
      <c r="B17" s="73" t="s">
        <v>63</v>
      </c>
      <c r="C17" s="4" t="s">
        <v>4</v>
      </c>
      <c r="J17" s="40">
        <f>1.06*J14</f>
        <v>40.005585449510683</v>
      </c>
      <c r="K17" s="40">
        <f t="shared" ref="K17:AS17" si="33">1.06*K14</f>
        <v>44.151165999755193</v>
      </c>
      <c r="L17" s="40">
        <f t="shared" si="33"/>
        <v>49.366016720243962</v>
      </c>
      <c r="M17" s="40">
        <f t="shared" si="33"/>
        <v>52.261428754706628</v>
      </c>
      <c r="N17" s="40">
        <f t="shared" si="33"/>
        <v>55.493748726185771</v>
      </c>
      <c r="O17" s="40">
        <f t="shared" si="33"/>
        <v>58.947474225791211</v>
      </c>
      <c r="P17" s="40">
        <f t="shared" si="33"/>
        <v>58.947474225791211</v>
      </c>
      <c r="Q17" s="40">
        <f t="shared" si="33"/>
        <v>58.947474225791211</v>
      </c>
      <c r="R17" s="40">
        <f t="shared" si="33"/>
        <v>58.947474225791211</v>
      </c>
      <c r="S17" s="40">
        <f t="shared" si="33"/>
        <v>58.947474225791211</v>
      </c>
      <c r="T17" s="40">
        <f t="shared" si="33"/>
        <v>58.947474225791211</v>
      </c>
      <c r="U17" s="40">
        <f t="shared" si="33"/>
        <v>58.947474225791211</v>
      </c>
      <c r="V17" s="40">
        <f t="shared" si="33"/>
        <v>58.947474225791211</v>
      </c>
      <c r="W17" s="40">
        <f t="shared" si="33"/>
        <v>58.947474225791211</v>
      </c>
      <c r="X17" s="40">
        <f t="shared" si="33"/>
        <v>58.947474225791211</v>
      </c>
      <c r="Y17" s="40">
        <f t="shared" si="33"/>
        <v>58.947474225791211</v>
      </c>
      <c r="Z17" s="40">
        <f t="shared" si="33"/>
        <v>58.947474225791211</v>
      </c>
      <c r="AA17" s="40">
        <f t="shared" si="33"/>
        <v>58.947474225791211</v>
      </c>
      <c r="AB17" s="40">
        <f t="shared" si="33"/>
        <v>58.947474225791211</v>
      </c>
      <c r="AC17" s="40">
        <f t="shared" si="33"/>
        <v>58.947474225791211</v>
      </c>
      <c r="AD17" s="40">
        <f t="shared" si="33"/>
        <v>58.947474225791211</v>
      </c>
      <c r="AE17" s="40">
        <f t="shared" si="33"/>
        <v>58.947474225791211</v>
      </c>
      <c r="AF17" s="40">
        <f t="shared" si="33"/>
        <v>58.947474225791211</v>
      </c>
      <c r="AG17" s="40">
        <f t="shared" si="33"/>
        <v>58.947474225791211</v>
      </c>
      <c r="AH17" s="40">
        <f t="shared" si="33"/>
        <v>58.947474225791211</v>
      </c>
      <c r="AI17" s="40">
        <f t="shared" si="33"/>
        <v>58.947474225791211</v>
      </c>
      <c r="AJ17" s="40">
        <f t="shared" si="33"/>
        <v>58.947474225791211</v>
      </c>
      <c r="AK17" s="40">
        <f t="shared" si="33"/>
        <v>58.947474225791211</v>
      </c>
      <c r="AL17" s="40">
        <f t="shared" si="33"/>
        <v>58.947474225791211</v>
      </c>
      <c r="AM17" s="40">
        <f t="shared" si="33"/>
        <v>58.947474225791211</v>
      </c>
      <c r="AN17" s="40">
        <f t="shared" si="33"/>
        <v>58.947474225791211</v>
      </c>
      <c r="AO17" s="40">
        <f t="shared" si="33"/>
        <v>58.947474225791211</v>
      </c>
      <c r="AP17" s="40">
        <f t="shared" si="33"/>
        <v>58.947474225791211</v>
      </c>
      <c r="AQ17" s="40">
        <f t="shared" si="33"/>
        <v>58.947474225791211</v>
      </c>
      <c r="AR17" s="40">
        <f t="shared" si="33"/>
        <v>58.947474225791211</v>
      </c>
      <c r="AS17" s="40">
        <f t="shared" si="33"/>
        <v>58.947474225791211</v>
      </c>
    </row>
    <row r="18" spans="1:45" x14ac:dyDescent="0.35">
      <c r="A18" s="82" t="str">
        <f t="shared" si="31"/>
        <v>LOW_PMR1</v>
      </c>
      <c r="B18" s="75" t="s">
        <v>64</v>
      </c>
      <c r="C18" s="62" t="s">
        <v>4</v>
      </c>
      <c r="J18" s="67">
        <f>1.28*J14</f>
        <v>48.308631486201577</v>
      </c>
      <c r="K18" s="67">
        <f t="shared" ref="K18:AS18" si="34">1.28*K14</f>
        <v>53.314615546874194</v>
      </c>
      <c r="L18" s="67">
        <f t="shared" si="34"/>
        <v>59.611793775388932</v>
      </c>
      <c r="M18" s="67">
        <f t="shared" si="34"/>
        <v>63.108140383041963</v>
      </c>
      <c r="N18" s="67">
        <f t="shared" si="34"/>
        <v>67.011319216526203</v>
      </c>
      <c r="O18" s="67">
        <f t="shared" si="34"/>
        <v>71.181855668879948</v>
      </c>
      <c r="P18" s="67">
        <f t="shared" si="34"/>
        <v>71.181855668879948</v>
      </c>
      <c r="Q18" s="67">
        <f t="shared" si="34"/>
        <v>71.181855668879948</v>
      </c>
      <c r="R18" s="67">
        <f t="shared" si="34"/>
        <v>71.181855668879948</v>
      </c>
      <c r="S18" s="67">
        <f t="shared" si="34"/>
        <v>71.181855668879948</v>
      </c>
      <c r="T18" s="67">
        <f t="shared" si="34"/>
        <v>71.181855668879948</v>
      </c>
      <c r="U18" s="67">
        <f t="shared" si="34"/>
        <v>71.181855668879948</v>
      </c>
      <c r="V18" s="67">
        <f t="shared" si="34"/>
        <v>71.181855668879948</v>
      </c>
      <c r="W18" s="67">
        <f t="shared" si="34"/>
        <v>71.181855668879948</v>
      </c>
      <c r="X18" s="67">
        <f t="shared" si="34"/>
        <v>71.181855668879948</v>
      </c>
      <c r="Y18" s="67">
        <f t="shared" si="34"/>
        <v>71.181855668879948</v>
      </c>
      <c r="Z18" s="67">
        <f t="shared" si="34"/>
        <v>71.181855668879948</v>
      </c>
      <c r="AA18" s="67">
        <f t="shared" si="34"/>
        <v>71.181855668879948</v>
      </c>
      <c r="AB18" s="67">
        <f t="shared" si="34"/>
        <v>71.181855668879948</v>
      </c>
      <c r="AC18" s="67">
        <f t="shared" si="34"/>
        <v>71.181855668879948</v>
      </c>
      <c r="AD18" s="67">
        <f t="shared" si="34"/>
        <v>71.181855668879948</v>
      </c>
      <c r="AE18" s="67">
        <f t="shared" si="34"/>
        <v>71.181855668879948</v>
      </c>
      <c r="AF18" s="67">
        <f t="shared" si="34"/>
        <v>71.181855668879948</v>
      </c>
      <c r="AG18" s="67">
        <f t="shared" si="34"/>
        <v>71.181855668879948</v>
      </c>
      <c r="AH18" s="67">
        <f t="shared" si="34"/>
        <v>71.181855668879948</v>
      </c>
      <c r="AI18" s="67">
        <f t="shared" si="34"/>
        <v>71.181855668879948</v>
      </c>
      <c r="AJ18" s="67">
        <f t="shared" si="34"/>
        <v>71.181855668879948</v>
      </c>
      <c r="AK18" s="67">
        <f t="shared" si="34"/>
        <v>71.181855668879948</v>
      </c>
      <c r="AL18" s="67">
        <f t="shared" si="34"/>
        <v>71.181855668879948</v>
      </c>
      <c r="AM18" s="67">
        <f t="shared" si="34"/>
        <v>71.181855668879948</v>
      </c>
      <c r="AN18" s="67">
        <f t="shared" si="34"/>
        <v>71.181855668879948</v>
      </c>
      <c r="AO18" s="67">
        <f t="shared" si="34"/>
        <v>71.181855668879948</v>
      </c>
      <c r="AP18" s="67">
        <f t="shared" si="34"/>
        <v>71.181855668879948</v>
      </c>
      <c r="AQ18" s="67">
        <f t="shared" si="34"/>
        <v>71.181855668879948</v>
      </c>
      <c r="AR18" s="67">
        <f t="shared" si="34"/>
        <v>71.181855668879948</v>
      </c>
      <c r="AS18" s="67">
        <f t="shared" si="34"/>
        <v>71.181855668879948</v>
      </c>
    </row>
    <row r="19" spans="1:45" x14ac:dyDescent="0.35">
      <c r="A19" s="79" t="s">
        <v>68</v>
      </c>
      <c r="B19" s="3" t="s">
        <v>40</v>
      </c>
      <c r="C19" s="4" t="s">
        <v>4</v>
      </c>
      <c r="D19" s="5"/>
      <c r="E19" s="5"/>
      <c r="F19" s="5"/>
      <c r="G19" s="5"/>
      <c r="H19" s="5"/>
      <c r="I19" s="5"/>
      <c r="J19" s="6">
        <v>37.741118348594981</v>
      </c>
      <c r="K19" s="6">
        <v>41.652043395995463</v>
      </c>
      <c r="L19" s="6">
        <v>46.571713887022604</v>
      </c>
      <c r="M19" s="6">
        <v>49.303234674251534</v>
      </c>
      <c r="N19" s="6">
        <v>52.3525931379111</v>
      </c>
      <c r="O19" s="6">
        <v>55.610824741312463</v>
      </c>
      <c r="P19" s="6">
        <f>O19</f>
        <v>55.610824741312463</v>
      </c>
      <c r="Q19" s="6">
        <f t="shared" ref="Q19" si="35">P19</f>
        <v>55.610824741312463</v>
      </c>
      <c r="R19" s="6">
        <f t="shared" ref="R19" si="36">Q19</f>
        <v>55.610824741312463</v>
      </c>
      <c r="S19" s="6">
        <f t="shared" ref="S19" si="37">R19</f>
        <v>55.610824741312463</v>
      </c>
      <c r="T19" s="6">
        <f t="shared" ref="T19" si="38">S19</f>
        <v>55.610824741312463</v>
      </c>
      <c r="U19" s="6">
        <f t="shared" ref="U19" si="39">T19</f>
        <v>55.610824741312463</v>
      </c>
      <c r="V19" s="6">
        <f t="shared" ref="V19" si="40">U19</f>
        <v>55.610824741312463</v>
      </c>
      <c r="W19" s="6">
        <f t="shared" ref="W19" si="41">V19</f>
        <v>55.610824741312463</v>
      </c>
      <c r="X19" s="6">
        <f t="shared" ref="X19" si="42">W19</f>
        <v>55.610824741312463</v>
      </c>
      <c r="Y19" s="6">
        <f t="shared" ref="Y19" si="43">X19</f>
        <v>55.610824741312463</v>
      </c>
      <c r="Z19" s="6">
        <f t="shared" ref="Z19" si="44">Y19</f>
        <v>55.610824741312463</v>
      </c>
      <c r="AA19" s="6">
        <f t="shared" ref="AA19" si="45">Z19</f>
        <v>55.610824741312463</v>
      </c>
      <c r="AB19" s="6">
        <f t="shared" ref="AB19" si="46">AA19</f>
        <v>55.610824741312463</v>
      </c>
      <c r="AC19" s="6">
        <f t="shared" ref="AC19" si="47">AB19</f>
        <v>55.610824741312463</v>
      </c>
      <c r="AD19" s="6">
        <f t="shared" ref="AD19" si="48">AC19</f>
        <v>55.610824741312463</v>
      </c>
      <c r="AE19" s="6">
        <f t="shared" ref="AE19" si="49">AD19</f>
        <v>55.610824741312463</v>
      </c>
      <c r="AF19" s="6">
        <f t="shared" ref="AF19" si="50">AE19</f>
        <v>55.610824741312463</v>
      </c>
      <c r="AG19" s="6">
        <f t="shared" ref="AG19" si="51">AF19</f>
        <v>55.610824741312463</v>
      </c>
      <c r="AH19" s="6">
        <f t="shared" ref="AH19" si="52">AG19</f>
        <v>55.610824741312463</v>
      </c>
      <c r="AI19" s="6">
        <f t="shared" ref="AI19" si="53">AH19</f>
        <v>55.610824741312463</v>
      </c>
      <c r="AJ19" s="6">
        <f t="shared" ref="AJ19" si="54">AI19</f>
        <v>55.610824741312463</v>
      </c>
      <c r="AK19" s="6">
        <f t="shared" ref="AK19" si="55">AJ19</f>
        <v>55.610824741312463</v>
      </c>
      <c r="AL19" s="6">
        <f t="shared" ref="AL19" si="56">AK19</f>
        <v>55.610824741312463</v>
      </c>
      <c r="AM19" s="6">
        <f t="shared" ref="AM19" si="57">AL19</f>
        <v>55.610824741312463</v>
      </c>
      <c r="AN19" s="6">
        <f t="shared" ref="AN19" si="58">AM19</f>
        <v>55.610824741312463</v>
      </c>
      <c r="AO19" s="6">
        <f t="shared" ref="AO19" si="59">AN19</f>
        <v>55.610824741312463</v>
      </c>
      <c r="AP19" s="6">
        <f t="shared" ref="AP19" si="60">AO19</f>
        <v>55.610824741312463</v>
      </c>
      <c r="AQ19" s="6">
        <f t="shared" ref="AQ19" si="61">AP19</f>
        <v>55.610824741312463</v>
      </c>
      <c r="AR19" s="6">
        <f t="shared" ref="AR19" si="62">AQ19</f>
        <v>55.610824741312463</v>
      </c>
      <c r="AS19" s="6">
        <f t="shared" ref="AS19" si="63">AR19</f>
        <v>55.610824741312463</v>
      </c>
    </row>
    <row r="20" spans="1:45" x14ac:dyDescent="0.35">
      <c r="A20" s="79" t="str">
        <f>A19</f>
        <v>HIGH_PMR1b</v>
      </c>
      <c r="B20" s="8" t="s">
        <v>41</v>
      </c>
      <c r="C20" s="4" t="s">
        <v>4</v>
      </c>
      <c r="D20" s="9">
        <v>816</v>
      </c>
      <c r="E20" s="9">
        <v>816</v>
      </c>
      <c r="F20" s="9">
        <v>816</v>
      </c>
      <c r="G20" s="9">
        <v>816</v>
      </c>
      <c r="H20" s="9">
        <v>816</v>
      </c>
      <c r="I20" s="9">
        <v>816</v>
      </c>
      <c r="J20" s="27">
        <f>extendable_generators!J62</f>
        <v>388.87</v>
      </c>
      <c r="K20" s="27">
        <f>extendable_generators!K62</f>
        <v>404.1</v>
      </c>
      <c r="L20" s="27">
        <f>extendable_generators!L62</f>
        <v>418.4</v>
      </c>
      <c r="M20" s="27">
        <f>extendable_generators!M62</f>
        <v>432.19</v>
      </c>
      <c r="N20" s="27">
        <f>extendable_generators!N62</f>
        <v>446.49</v>
      </c>
      <c r="O20" s="27">
        <f>extendable_generators!O62</f>
        <v>462.62</v>
      </c>
      <c r="P20" s="27">
        <f>extendable_generators!P62</f>
        <v>468.14</v>
      </c>
      <c r="Q20" s="27">
        <f>extendable_generators!Q62</f>
        <v>468.5</v>
      </c>
      <c r="R20" s="27">
        <f>extendable_generators!R62</f>
        <v>473.81</v>
      </c>
      <c r="S20" s="27">
        <f>extendable_generators!S62</f>
        <v>479.77</v>
      </c>
      <c r="T20" s="27">
        <f>extendable_generators!T62</f>
        <v>483.6</v>
      </c>
      <c r="U20" s="27">
        <f>extendable_generators!U62</f>
        <v>487.23</v>
      </c>
      <c r="V20" s="27">
        <f>extendable_generators!V62</f>
        <v>492.08</v>
      </c>
      <c r="W20" s="27">
        <f>extendable_generators!W62</f>
        <v>497.73</v>
      </c>
      <c r="X20" s="27">
        <f>extendable_generators!X62</f>
        <v>504.74</v>
      </c>
      <c r="Y20" s="27">
        <f>extendable_generators!Y62</f>
        <v>509.26</v>
      </c>
      <c r="Z20" s="27">
        <f>extendable_generators!Z62</f>
        <v>505.89</v>
      </c>
      <c r="AA20" s="27">
        <f>extendable_generators!AA62</f>
        <v>514.87</v>
      </c>
      <c r="AB20" s="27">
        <f>extendable_generators!AB62</f>
        <v>519.71</v>
      </c>
      <c r="AC20" s="27">
        <f>extendable_generators!AC62</f>
        <v>523.98</v>
      </c>
      <c r="AD20" s="27">
        <f>extendable_generators!AD62</f>
        <v>526.21</v>
      </c>
      <c r="AE20" s="27">
        <f>extendable_generators!AE62</f>
        <v>525.22</v>
      </c>
      <c r="AF20" s="27">
        <f>extendable_generators!AF62</f>
        <v>532.99</v>
      </c>
      <c r="AG20" s="27">
        <f>extendable_generators!AG62</f>
        <v>536.15</v>
      </c>
      <c r="AH20" s="27">
        <f>extendable_generators!AH62</f>
        <v>540.24</v>
      </c>
      <c r="AI20" s="27">
        <f>extendable_generators!AI62</f>
        <v>543.9</v>
      </c>
      <c r="AJ20" s="27">
        <f>extendable_generators!AJ62</f>
        <v>544</v>
      </c>
      <c r="AK20" s="27">
        <f>extendable_generators!AK62</f>
        <v>544</v>
      </c>
      <c r="AL20" s="27">
        <f>extendable_generators!AL62</f>
        <v>544</v>
      </c>
      <c r="AM20" s="27">
        <f>extendable_generators!AM62</f>
        <v>544</v>
      </c>
      <c r="AN20" s="27">
        <f>extendable_generators!AN62</f>
        <v>544</v>
      </c>
      <c r="AO20" s="27">
        <f>extendable_generators!AO62</f>
        <v>544</v>
      </c>
      <c r="AP20" s="27">
        <f>extendable_generators!AP62</f>
        <v>544</v>
      </c>
      <c r="AQ20" s="27">
        <f>extendable_generators!AQ62</f>
        <v>544</v>
      </c>
      <c r="AR20" s="27">
        <f>extendable_generators!AR62</f>
        <v>544</v>
      </c>
      <c r="AS20" s="27">
        <f>extendable_generators!AS62</f>
        <v>544</v>
      </c>
    </row>
    <row r="21" spans="1:45" x14ac:dyDescent="0.35">
      <c r="A21" s="79" t="str">
        <f>A20</f>
        <v>HIGH_PMR1b</v>
      </c>
      <c r="B21" s="74" t="s">
        <v>62</v>
      </c>
      <c r="C21" s="4" t="s">
        <v>4</v>
      </c>
      <c r="J21" s="40">
        <f>0.74*J19</f>
        <v>27.928427577960285</v>
      </c>
      <c r="K21" s="40">
        <f t="shared" ref="K21:AS21" si="64">0.74*K19</f>
        <v>30.822512113036641</v>
      </c>
      <c r="L21" s="40">
        <f t="shared" si="64"/>
        <v>34.463068276396726</v>
      </c>
      <c r="M21" s="40">
        <f t="shared" si="64"/>
        <v>36.484393658946132</v>
      </c>
      <c r="N21" s="40">
        <f t="shared" si="64"/>
        <v>38.740918922054213</v>
      </c>
      <c r="O21" s="40">
        <f t="shared" si="64"/>
        <v>41.152010308571221</v>
      </c>
      <c r="P21" s="40">
        <f t="shared" si="64"/>
        <v>41.152010308571221</v>
      </c>
      <c r="Q21" s="40">
        <f t="shared" si="64"/>
        <v>41.152010308571221</v>
      </c>
      <c r="R21" s="40">
        <f t="shared" si="64"/>
        <v>41.152010308571221</v>
      </c>
      <c r="S21" s="40">
        <f t="shared" si="64"/>
        <v>41.152010308571221</v>
      </c>
      <c r="T21" s="40">
        <f t="shared" si="64"/>
        <v>41.152010308571221</v>
      </c>
      <c r="U21" s="40">
        <f t="shared" si="64"/>
        <v>41.152010308571221</v>
      </c>
      <c r="V21" s="40">
        <f t="shared" si="64"/>
        <v>41.152010308571221</v>
      </c>
      <c r="W21" s="40">
        <f t="shared" si="64"/>
        <v>41.152010308571221</v>
      </c>
      <c r="X21" s="40">
        <f t="shared" si="64"/>
        <v>41.152010308571221</v>
      </c>
      <c r="Y21" s="40">
        <f t="shared" si="64"/>
        <v>41.152010308571221</v>
      </c>
      <c r="Z21" s="40">
        <f t="shared" si="64"/>
        <v>41.152010308571221</v>
      </c>
      <c r="AA21" s="40">
        <f t="shared" si="64"/>
        <v>41.152010308571221</v>
      </c>
      <c r="AB21" s="40">
        <f t="shared" si="64"/>
        <v>41.152010308571221</v>
      </c>
      <c r="AC21" s="40">
        <f t="shared" si="64"/>
        <v>41.152010308571221</v>
      </c>
      <c r="AD21" s="40">
        <f t="shared" si="64"/>
        <v>41.152010308571221</v>
      </c>
      <c r="AE21" s="40">
        <f t="shared" si="64"/>
        <v>41.152010308571221</v>
      </c>
      <c r="AF21" s="40">
        <f t="shared" si="64"/>
        <v>41.152010308571221</v>
      </c>
      <c r="AG21" s="40">
        <f t="shared" si="64"/>
        <v>41.152010308571221</v>
      </c>
      <c r="AH21" s="40">
        <f t="shared" si="64"/>
        <v>41.152010308571221</v>
      </c>
      <c r="AI21" s="40">
        <f t="shared" si="64"/>
        <v>41.152010308571221</v>
      </c>
      <c r="AJ21" s="40">
        <f t="shared" si="64"/>
        <v>41.152010308571221</v>
      </c>
      <c r="AK21" s="40">
        <f t="shared" si="64"/>
        <v>41.152010308571221</v>
      </c>
      <c r="AL21" s="40">
        <f t="shared" si="64"/>
        <v>41.152010308571221</v>
      </c>
      <c r="AM21" s="40">
        <f t="shared" si="64"/>
        <v>41.152010308571221</v>
      </c>
      <c r="AN21" s="40">
        <f t="shared" si="64"/>
        <v>41.152010308571221</v>
      </c>
      <c r="AO21" s="40">
        <f t="shared" si="64"/>
        <v>41.152010308571221</v>
      </c>
      <c r="AP21" s="40">
        <f t="shared" si="64"/>
        <v>41.152010308571221</v>
      </c>
      <c r="AQ21" s="40">
        <f t="shared" si="64"/>
        <v>41.152010308571221</v>
      </c>
      <c r="AR21" s="40">
        <f t="shared" si="64"/>
        <v>41.152010308571221</v>
      </c>
      <c r="AS21" s="40">
        <f t="shared" si="64"/>
        <v>41.152010308571221</v>
      </c>
    </row>
    <row r="22" spans="1:45" x14ac:dyDescent="0.35">
      <c r="A22" s="79" t="str">
        <f>A23</f>
        <v>HIGH_PMR1b</v>
      </c>
      <c r="B22" s="73" t="s">
        <v>63</v>
      </c>
      <c r="C22" s="4" t="s">
        <v>4</v>
      </c>
      <c r="J22" s="40">
        <f>1.06*J19</f>
        <v>40.005585449510683</v>
      </c>
      <c r="K22" s="40">
        <f t="shared" ref="K22:AS22" si="65">1.06*K19</f>
        <v>44.151165999755193</v>
      </c>
      <c r="L22" s="40">
        <f t="shared" si="65"/>
        <v>49.366016720243962</v>
      </c>
      <c r="M22" s="40">
        <f t="shared" si="65"/>
        <v>52.261428754706628</v>
      </c>
      <c r="N22" s="40">
        <f t="shared" si="65"/>
        <v>55.493748726185771</v>
      </c>
      <c r="O22" s="40">
        <f t="shared" si="65"/>
        <v>58.947474225791211</v>
      </c>
      <c r="P22" s="40">
        <f t="shared" si="65"/>
        <v>58.947474225791211</v>
      </c>
      <c r="Q22" s="40">
        <f t="shared" si="65"/>
        <v>58.947474225791211</v>
      </c>
      <c r="R22" s="40">
        <f t="shared" si="65"/>
        <v>58.947474225791211</v>
      </c>
      <c r="S22" s="40">
        <f t="shared" si="65"/>
        <v>58.947474225791211</v>
      </c>
      <c r="T22" s="40">
        <f t="shared" si="65"/>
        <v>58.947474225791211</v>
      </c>
      <c r="U22" s="40">
        <f t="shared" si="65"/>
        <v>58.947474225791211</v>
      </c>
      <c r="V22" s="40">
        <f t="shared" si="65"/>
        <v>58.947474225791211</v>
      </c>
      <c r="W22" s="40">
        <f t="shared" si="65"/>
        <v>58.947474225791211</v>
      </c>
      <c r="X22" s="40">
        <f t="shared" si="65"/>
        <v>58.947474225791211</v>
      </c>
      <c r="Y22" s="40">
        <f t="shared" si="65"/>
        <v>58.947474225791211</v>
      </c>
      <c r="Z22" s="40">
        <f t="shared" si="65"/>
        <v>58.947474225791211</v>
      </c>
      <c r="AA22" s="40">
        <f t="shared" si="65"/>
        <v>58.947474225791211</v>
      </c>
      <c r="AB22" s="40">
        <f t="shared" si="65"/>
        <v>58.947474225791211</v>
      </c>
      <c r="AC22" s="40">
        <f t="shared" si="65"/>
        <v>58.947474225791211</v>
      </c>
      <c r="AD22" s="40">
        <f t="shared" si="65"/>
        <v>58.947474225791211</v>
      </c>
      <c r="AE22" s="40">
        <f t="shared" si="65"/>
        <v>58.947474225791211</v>
      </c>
      <c r="AF22" s="40">
        <f t="shared" si="65"/>
        <v>58.947474225791211</v>
      </c>
      <c r="AG22" s="40">
        <f t="shared" si="65"/>
        <v>58.947474225791211</v>
      </c>
      <c r="AH22" s="40">
        <f t="shared" si="65"/>
        <v>58.947474225791211</v>
      </c>
      <c r="AI22" s="40">
        <f t="shared" si="65"/>
        <v>58.947474225791211</v>
      </c>
      <c r="AJ22" s="40">
        <f t="shared" si="65"/>
        <v>58.947474225791211</v>
      </c>
      <c r="AK22" s="40">
        <f t="shared" si="65"/>
        <v>58.947474225791211</v>
      </c>
      <c r="AL22" s="40">
        <f t="shared" si="65"/>
        <v>58.947474225791211</v>
      </c>
      <c r="AM22" s="40">
        <f t="shared" si="65"/>
        <v>58.947474225791211</v>
      </c>
      <c r="AN22" s="40">
        <f t="shared" si="65"/>
        <v>58.947474225791211</v>
      </c>
      <c r="AO22" s="40">
        <f t="shared" si="65"/>
        <v>58.947474225791211</v>
      </c>
      <c r="AP22" s="40">
        <f t="shared" si="65"/>
        <v>58.947474225791211</v>
      </c>
      <c r="AQ22" s="40">
        <f t="shared" si="65"/>
        <v>58.947474225791211</v>
      </c>
      <c r="AR22" s="40">
        <f t="shared" si="65"/>
        <v>58.947474225791211</v>
      </c>
      <c r="AS22" s="40">
        <f t="shared" si="65"/>
        <v>58.947474225791211</v>
      </c>
    </row>
    <row r="23" spans="1:45" x14ac:dyDescent="0.35">
      <c r="A23" s="80" t="str">
        <f>A21</f>
        <v>HIGH_PMR1b</v>
      </c>
      <c r="B23" s="75" t="s">
        <v>64</v>
      </c>
      <c r="C23" s="62" t="s">
        <v>4</v>
      </c>
      <c r="D23" s="65"/>
      <c r="E23" s="65"/>
      <c r="F23" s="65"/>
      <c r="G23" s="65"/>
      <c r="H23" s="65"/>
      <c r="I23" s="65"/>
      <c r="J23" s="67">
        <f>1.28*J19</f>
        <v>48.308631486201577</v>
      </c>
      <c r="K23" s="67">
        <f t="shared" ref="K23:AS23" si="66">1.28*K19</f>
        <v>53.314615546874194</v>
      </c>
      <c r="L23" s="67">
        <f t="shared" si="66"/>
        <v>59.611793775388932</v>
      </c>
      <c r="M23" s="67">
        <f t="shared" si="66"/>
        <v>63.108140383041963</v>
      </c>
      <c r="N23" s="67">
        <f t="shared" si="66"/>
        <v>67.011319216526203</v>
      </c>
      <c r="O23" s="67">
        <f t="shared" si="66"/>
        <v>71.181855668879948</v>
      </c>
      <c r="P23" s="67">
        <f t="shared" si="66"/>
        <v>71.181855668879948</v>
      </c>
      <c r="Q23" s="67">
        <f t="shared" si="66"/>
        <v>71.181855668879948</v>
      </c>
      <c r="R23" s="67">
        <f t="shared" si="66"/>
        <v>71.181855668879948</v>
      </c>
      <c r="S23" s="67">
        <f t="shared" si="66"/>
        <v>71.181855668879948</v>
      </c>
      <c r="T23" s="67">
        <f t="shared" si="66"/>
        <v>71.181855668879948</v>
      </c>
      <c r="U23" s="67">
        <f t="shared" si="66"/>
        <v>71.181855668879948</v>
      </c>
      <c r="V23" s="67">
        <f t="shared" si="66"/>
        <v>71.181855668879948</v>
      </c>
      <c r="W23" s="67">
        <f t="shared" si="66"/>
        <v>71.181855668879948</v>
      </c>
      <c r="X23" s="67">
        <f t="shared" si="66"/>
        <v>71.181855668879948</v>
      </c>
      <c r="Y23" s="67">
        <f t="shared" si="66"/>
        <v>71.181855668879948</v>
      </c>
      <c r="Z23" s="67">
        <f t="shared" si="66"/>
        <v>71.181855668879948</v>
      </c>
      <c r="AA23" s="67">
        <f t="shared" si="66"/>
        <v>71.181855668879948</v>
      </c>
      <c r="AB23" s="67">
        <f t="shared" si="66"/>
        <v>71.181855668879948</v>
      </c>
      <c r="AC23" s="67">
        <f t="shared" si="66"/>
        <v>71.181855668879948</v>
      </c>
      <c r="AD23" s="67">
        <f t="shared" si="66"/>
        <v>71.181855668879948</v>
      </c>
      <c r="AE23" s="67">
        <f t="shared" si="66"/>
        <v>71.181855668879948</v>
      </c>
      <c r="AF23" s="67">
        <f t="shared" si="66"/>
        <v>71.181855668879948</v>
      </c>
      <c r="AG23" s="67">
        <f t="shared" si="66"/>
        <v>71.181855668879948</v>
      </c>
      <c r="AH23" s="67">
        <f t="shared" si="66"/>
        <v>71.181855668879948</v>
      </c>
      <c r="AI23" s="67">
        <f t="shared" si="66"/>
        <v>71.181855668879948</v>
      </c>
      <c r="AJ23" s="67">
        <f t="shared" si="66"/>
        <v>71.181855668879948</v>
      </c>
      <c r="AK23" s="67">
        <f t="shared" si="66"/>
        <v>71.181855668879948</v>
      </c>
      <c r="AL23" s="67">
        <f t="shared" si="66"/>
        <v>71.181855668879948</v>
      </c>
      <c r="AM23" s="67">
        <f t="shared" si="66"/>
        <v>71.181855668879948</v>
      </c>
      <c r="AN23" s="67">
        <f t="shared" si="66"/>
        <v>71.181855668879948</v>
      </c>
      <c r="AO23" s="67">
        <f t="shared" si="66"/>
        <v>71.181855668879948</v>
      </c>
      <c r="AP23" s="67">
        <f t="shared" si="66"/>
        <v>71.181855668879948</v>
      </c>
      <c r="AQ23" s="67">
        <f t="shared" si="66"/>
        <v>71.181855668879948</v>
      </c>
      <c r="AR23" s="67">
        <f t="shared" si="66"/>
        <v>71.181855668879948</v>
      </c>
      <c r="AS23" s="67">
        <f t="shared" si="66"/>
        <v>71.181855668879948</v>
      </c>
    </row>
    <row r="24" spans="1:45" x14ac:dyDescent="0.35">
      <c r="A24" s="81" t="s">
        <v>69</v>
      </c>
      <c r="B24" s="3" t="s">
        <v>40</v>
      </c>
      <c r="C24" s="4" t="s">
        <v>4</v>
      </c>
      <c r="D24" s="5"/>
      <c r="E24" s="5"/>
      <c r="F24" s="5"/>
      <c r="G24" s="5"/>
      <c r="H24" s="5"/>
      <c r="I24" s="5"/>
      <c r="J24" s="6">
        <v>37.741118348594981</v>
      </c>
      <c r="K24" s="6">
        <v>41.652043395995463</v>
      </c>
      <c r="L24" s="6">
        <v>46.571713887022604</v>
      </c>
      <c r="M24" s="6">
        <v>49.303234674251534</v>
      </c>
      <c r="N24" s="6">
        <v>52.3525931379111</v>
      </c>
      <c r="O24" s="6">
        <v>55.610824741312463</v>
      </c>
      <c r="P24" s="6">
        <f>O24</f>
        <v>55.610824741312463</v>
      </c>
      <c r="Q24" s="6">
        <f t="shared" ref="Q24" si="67">P24</f>
        <v>55.610824741312463</v>
      </c>
      <c r="R24" s="6">
        <f t="shared" ref="R24" si="68">Q24</f>
        <v>55.610824741312463</v>
      </c>
      <c r="S24" s="6">
        <f t="shared" ref="S24" si="69">R24</f>
        <v>55.610824741312463</v>
      </c>
      <c r="T24" s="6">
        <f t="shared" ref="T24" si="70">S24</f>
        <v>55.610824741312463</v>
      </c>
      <c r="U24" s="6">
        <f t="shared" ref="U24" si="71">T24</f>
        <v>55.610824741312463</v>
      </c>
      <c r="V24" s="6">
        <f t="shared" ref="V24" si="72">U24</f>
        <v>55.610824741312463</v>
      </c>
      <c r="W24" s="6">
        <f t="shared" ref="W24" si="73">V24</f>
        <v>55.610824741312463</v>
      </c>
      <c r="X24" s="6">
        <f t="shared" ref="X24" si="74">W24</f>
        <v>55.610824741312463</v>
      </c>
      <c r="Y24" s="6">
        <f t="shared" ref="Y24" si="75">X24</f>
        <v>55.610824741312463</v>
      </c>
      <c r="Z24" s="6">
        <f t="shared" ref="Z24" si="76">Y24</f>
        <v>55.610824741312463</v>
      </c>
      <c r="AA24" s="6">
        <f t="shared" ref="AA24" si="77">Z24</f>
        <v>55.610824741312463</v>
      </c>
      <c r="AB24" s="6">
        <f t="shared" ref="AB24" si="78">AA24</f>
        <v>55.610824741312463</v>
      </c>
      <c r="AC24" s="6">
        <f t="shared" ref="AC24" si="79">AB24</f>
        <v>55.610824741312463</v>
      </c>
      <c r="AD24" s="6">
        <f t="shared" ref="AD24" si="80">AC24</f>
        <v>55.610824741312463</v>
      </c>
      <c r="AE24" s="6">
        <f t="shared" ref="AE24" si="81">AD24</f>
        <v>55.610824741312463</v>
      </c>
      <c r="AF24" s="6">
        <f t="shared" ref="AF24" si="82">AE24</f>
        <v>55.610824741312463</v>
      </c>
      <c r="AG24" s="6">
        <f t="shared" ref="AG24" si="83">AF24</f>
        <v>55.610824741312463</v>
      </c>
      <c r="AH24" s="6">
        <f t="shared" ref="AH24" si="84">AG24</f>
        <v>55.610824741312463</v>
      </c>
      <c r="AI24" s="6">
        <f t="shared" ref="AI24" si="85">AH24</f>
        <v>55.610824741312463</v>
      </c>
      <c r="AJ24" s="6">
        <f t="shared" ref="AJ24" si="86">AI24</f>
        <v>55.610824741312463</v>
      </c>
      <c r="AK24" s="6">
        <f t="shared" ref="AK24" si="87">AJ24</f>
        <v>55.610824741312463</v>
      </c>
      <c r="AL24" s="6">
        <f t="shared" ref="AL24" si="88">AK24</f>
        <v>55.610824741312463</v>
      </c>
      <c r="AM24" s="6">
        <f t="shared" ref="AM24" si="89">AL24</f>
        <v>55.610824741312463</v>
      </c>
      <c r="AN24" s="6">
        <f t="shared" ref="AN24" si="90">AM24</f>
        <v>55.610824741312463</v>
      </c>
      <c r="AO24" s="6">
        <f t="shared" ref="AO24" si="91">AN24</f>
        <v>55.610824741312463</v>
      </c>
      <c r="AP24" s="6">
        <f t="shared" ref="AP24" si="92">AO24</f>
        <v>55.610824741312463</v>
      </c>
      <c r="AQ24" s="6">
        <f t="shared" ref="AQ24" si="93">AP24</f>
        <v>55.610824741312463</v>
      </c>
      <c r="AR24" s="6">
        <f t="shared" ref="AR24" si="94">AQ24</f>
        <v>55.610824741312463</v>
      </c>
      <c r="AS24" s="6">
        <f t="shared" ref="AS24" si="95">AR24</f>
        <v>55.610824741312463</v>
      </c>
    </row>
    <row r="25" spans="1:45" x14ac:dyDescent="0.35">
      <c r="A25" s="81" t="str">
        <f>A24</f>
        <v>BASE_PMR1b</v>
      </c>
      <c r="B25" s="8" t="s">
        <v>41</v>
      </c>
      <c r="C25" s="4" t="s">
        <v>4</v>
      </c>
      <c r="D25" s="9">
        <v>816</v>
      </c>
      <c r="E25" s="9">
        <v>816</v>
      </c>
      <c r="F25" s="9">
        <v>816</v>
      </c>
      <c r="G25" s="9">
        <v>816</v>
      </c>
      <c r="H25" s="9">
        <v>816</v>
      </c>
      <c r="I25" s="9">
        <v>816</v>
      </c>
      <c r="J25" s="29">
        <f>extendable_generators!J74</f>
        <v>388.87</v>
      </c>
      <c r="K25" s="29">
        <f>extendable_generators!K74</f>
        <v>388.6</v>
      </c>
      <c r="L25" s="29">
        <f>extendable_generators!L74</f>
        <v>386.77</v>
      </c>
      <c r="M25" s="29">
        <f>extendable_generators!M74</f>
        <v>384.37</v>
      </c>
      <c r="N25" s="29">
        <f>extendable_generators!N74</f>
        <v>382.13</v>
      </c>
      <c r="O25" s="29">
        <f>extendable_generators!O74</f>
        <v>381.53</v>
      </c>
      <c r="P25" s="29">
        <f>extendable_generators!P74</f>
        <v>383.6</v>
      </c>
      <c r="Q25" s="29">
        <f>extendable_generators!Q74</f>
        <v>381.66</v>
      </c>
      <c r="R25" s="29">
        <f>extendable_generators!R74</f>
        <v>386.9</v>
      </c>
      <c r="S25" s="29">
        <f>extendable_generators!S74</f>
        <v>389.56</v>
      </c>
      <c r="T25" s="29">
        <f>extendable_generators!T74</f>
        <v>390.76</v>
      </c>
      <c r="U25" s="29">
        <f>extendable_generators!U74</f>
        <v>391.8</v>
      </c>
      <c r="V25" s="29">
        <f>extendable_generators!V74</f>
        <v>394.01</v>
      </c>
      <c r="W25" s="29">
        <f>extendable_generators!W74</f>
        <v>395.09</v>
      </c>
      <c r="X25" s="29">
        <f>extendable_generators!X74</f>
        <v>397.38</v>
      </c>
      <c r="Y25" s="29">
        <f>extendable_generators!Y74</f>
        <v>399.25</v>
      </c>
      <c r="Z25" s="29">
        <f>extendable_generators!Z74</f>
        <v>400.63</v>
      </c>
      <c r="AA25" s="29">
        <f>extendable_generators!AA74</f>
        <v>400.03</v>
      </c>
      <c r="AB25" s="29">
        <f>extendable_generators!AB74</f>
        <v>404.73</v>
      </c>
      <c r="AC25" s="29">
        <f>extendable_generators!AC74</f>
        <v>404.67</v>
      </c>
      <c r="AD25" s="29">
        <f>extendable_generators!AD74</f>
        <v>406.38</v>
      </c>
      <c r="AE25" s="29">
        <f>extendable_generators!AE74</f>
        <v>408.01</v>
      </c>
      <c r="AF25" s="29">
        <f>extendable_generators!AF74</f>
        <v>417.44</v>
      </c>
      <c r="AG25" s="29">
        <f>extendable_generators!AG74</f>
        <v>419.63</v>
      </c>
      <c r="AH25" s="29">
        <f>extendable_generators!AH74</f>
        <v>422.8</v>
      </c>
      <c r="AI25" s="29">
        <f>extendable_generators!AI74</f>
        <v>424.07</v>
      </c>
      <c r="AJ25" s="29">
        <f>extendable_generators!AJ74</f>
        <v>424</v>
      </c>
      <c r="AK25" s="29">
        <f>extendable_generators!AK74</f>
        <v>424</v>
      </c>
      <c r="AL25" s="29">
        <f>extendable_generators!AL74</f>
        <v>424</v>
      </c>
      <c r="AM25" s="29">
        <f>extendable_generators!AM74</f>
        <v>424</v>
      </c>
      <c r="AN25" s="29">
        <f>extendable_generators!AN74</f>
        <v>424</v>
      </c>
      <c r="AO25" s="29">
        <f>extendable_generators!AO74</f>
        <v>424</v>
      </c>
      <c r="AP25" s="29">
        <f>extendable_generators!AP74</f>
        <v>424</v>
      </c>
      <c r="AQ25" s="29">
        <f>extendable_generators!AQ74</f>
        <v>424</v>
      </c>
      <c r="AR25" s="29">
        <f>extendable_generators!AR74</f>
        <v>424</v>
      </c>
      <c r="AS25" s="29">
        <f>extendable_generators!AS74</f>
        <v>424</v>
      </c>
    </row>
    <row r="26" spans="1:45" x14ac:dyDescent="0.35">
      <c r="A26" s="81" t="str">
        <f>A25</f>
        <v>BASE_PMR1b</v>
      </c>
      <c r="B26" s="74" t="s">
        <v>62</v>
      </c>
      <c r="C26" s="4" t="s">
        <v>4</v>
      </c>
      <c r="J26" s="40">
        <f>0.74*J24</f>
        <v>27.928427577960285</v>
      </c>
      <c r="K26" s="40">
        <f t="shared" ref="K26:AS26" si="96">0.74*K24</f>
        <v>30.822512113036641</v>
      </c>
      <c r="L26" s="40">
        <f t="shared" si="96"/>
        <v>34.463068276396726</v>
      </c>
      <c r="M26" s="40">
        <f t="shared" si="96"/>
        <v>36.484393658946132</v>
      </c>
      <c r="N26" s="40">
        <f t="shared" si="96"/>
        <v>38.740918922054213</v>
      </c>
      <c r="O26" s="40">
        <f t="shared" si="96"/>
        <v>41.152010308571221</v>
      </c>
      <c r="P26" s="40">
        <f t="shared" si="96"/>
        <v>41.152010308571221</v>
      </c>
      <c r="Q26" s="40">
        <f t="shared" si="96"/>
        <v>41.152010308571221</v>
      </c>
      <c r="R26" s="40">
        <f t="shared" si="96"/>
        <v>41.152010308571221</v>
      </c>
      <c r="S26" s="40">
        <f t="shared" si="96"/>
        <v>41.152010308571221</v>
      </c>
      <c r="T26" s="40">
        <f t="shared" si="96"/>
        <v>41.152010308571221</v>
      </c>
      <c r="U26" s="40">
        <f t="shared" si="96"/>
        <v>41.152010308571221</v>
      </c>
      <c r="V26" s="40">
        <f t="shared" si="96"/>
        <v>41.152010308571221</v>
      </c>
      <c r="W26" s="40">
        <f t="shared" si="96"/>
        <v>41.152010308571221</v>
      </c>
      <c r="X26" s="40">
        <f t="shared" si="96"/>
        <v>41.152010308571221</v>
      </c>
      <c r="Y26" s="40">
        <f t="shared" si="96"/>
        <v>41.152010308571221</v>
      </c>
      <c r="Z26" s="40">
        <f t="shared" si="96"/>
        <v>41.152010308571221</v>
      </c>
      <c r="AA26" s="40">
        <f t="shared" si="96"/>
        <v>41.152010308571221</v>
      </c>
      <c r="AB26" s="40">
        <f t="shared" si="96"/>
        <v>41.152010308571221</v>
      </c>
      <c r="AC26" s="40">
        <f t="shared" si="96"/>
        <v>41.152010308571221</v>
      </c>
      <c r="AD26" s="40">
        <f t="shared" si="96"/>
        <v>41.152010308571221</v>
      </c>
      <c r="AE26" s="40">
        <f t="shared" si="96"/>
        <v>41.152010308571221</v>
      </c>
      <c r="AF26" s="40">
        <f t="shared" si="96"/>
        <v>41.152010308571221</v>
      </c>
      <c r="AG26" s="40">
        <f t="shared" si="96"/>
        <v>41.152010308571221</v>
      </c>
      <c r="AH26" s="40">
        <f t="shared" si="96"/>
        <v>41.152010308571221</v>
      </c>
      <c r="AI26" s="40">
        <f t="shared" si="96"/>
        <v>41.152010308571221</v>
      </c>
      <c r="AJ26" s="40">
        <f t="shared" si="96"/>
        <v>41.152010308571221</v>
      </c>
      <c r="AK26" s="40">
        <f t="shared" si="96"/>
        <v>41.152010308571221</v>
      </c>
      <c r="AL26" s="40">
        <f t="shared" si="96"/>
        <v>41.152010308571221</v>
      </c>
      <c r="AM26" s="40">
        <f t="shared" si="96"/>
        <v>41.152010308571221</v>
      </c>
      <c r="AN26" s="40">
        <f t="shared" si="96"/>
        <v>41.152010308571221</v>
      </c>
      <c r="AO26" s="40">
        <f t="shared" si="96"/>
        <v>41.152010308571221</v>
      </c>
      <c r="AP26" s="40">
        <f t="shared" si="96"/>
        <v>41.152010308571221</v>
      </c>
      <c r="AQ26" s="40">
        <f t="shared" si="96"/>
        <v>41.152010308571221</v>
      </c>
      <c r="AR26" s="40">
        <f t="shared" si="96"/>
        <v>41.152010308571221</v>
      </c>
      <c r="AS26" s="40">
        <f t="shared" si="96"/>
        <v>41.152010308571221</v>
      </c>
    </row>
    <row r="27" spans="1:45" x14ac:dyDescent="0.35">
      <c r="A27" s="81" t="str">
        <f>A26</f>
        <v>BASE_PMR1b</v>
      </c>
      <c r="B27" s="73" t="s">
        <v>63</v>
      </c>
      <c r="C27" s="4" t="s">
        <v>4</v>
      </c>
      <c r="J27" s="40">
        <f>1.06*J24</f>
        <v>40.005585449510683</v>
      </c>
      <c r="K27" s="40">
        <f t="shared" ref="K27:AS27" si="97">1.06*K24</f>
        <v>44.151165999755193</v>
      </c>
      <c r="L27" s="40">
        <f t="shared" si="97"/>
        <v>49.366016720243962</v>
      </c>
      <c r="M27" s="40">
        <f t="shared" si="97"/>
        <v>52.261428754706628</v>
      </c>
      <c r="N27" s="40">
        <f t="shared" si="97"/>
        <v>55.493748726185771</v>
      </c>
      <c r="O27" s="40">
        <f t="shared" si="97"/>
        <v>58.947474225791211</v>
      </c>
      <c r="P27" s="40">
        <f t="shared" si="97"/>
        <v>58.947474225791211</v>
      </c>
      <c r="Q27" s="40">
        <f t="shared" si="97"/>
        <v>58.947474225791211</v>
      </c>
      <c r="R27" s="40">
        <f t="shared" si="97"/>
        <v>58.947474225791211</v>
      </c>
      <c r="S27" s="40">
        <f t="shared" si="97"/>
        <v>58.947474225791211</v>
      </c>
      <c r="T27" s="40">
        <f t="shared" si="97"/>
        <v>58.947474225791211</v>
      </c>
      <c r="U27" s="40">
        <f t="shared" si="97"/>
        <v>58.947474225791211</v>
      </c>
      <c r="V27" s="40">
        <f t="shared" si="97"/>
        <v>58.947474225791211</v>
      </c>
      <c r="W27" s="40">
        <f t="shared" si="97"/>
        <v>58.947474225791211</v>
      </c>
      <c r="X27" s="40">
        <f t="shared" si="97"/>
        <v>58.947474225791211</v>
      </c>
      <c r="Y27" s="40">
        <f t="shared" si="97"/>
        <v>58.947474225791211</v>
      </c>
      <c r="Z27" s="40">
        <f t="shared" si="97"/>
        <v>58.947474225791211</v>
      </c>
      <c r="AA27" s="40">
        <f t="shared" si="97"/>
        <v>58.947474225791211</v>
      </c>
      <c r="AB27" s="40">
        <f t="shared" si="97"/>
        <v>58.947474225791211</v>
      </c>
      <c r="AC27" s="40">
        <f t="shared" si="97"/>
        <v>58.947474225791211</v>
      </c>
      <c r="AD27" s="40">
        <f t="shared" si="97"/>
        <v>58.947474225791211</v>
      </c>
      <c r="AE27" s="40">
        <f t="shared" si="97"/>
        <v>58.947474225791211</v>
      </c>
      <c r="AF27" s="40">
        <f t="shared" si="97"/>
        <v>58.947474225791211</v>
      </c>
      <c r="AG27" s="40">
        <f t="shared" si="97"/>
        <v>58.947474225791211</v>
      </c>
      <c r="AH27" s="40">
        <f t="shared" si="97"/>
        <v>58.947474225791211</v>
      </c>
      <c r="AI27" s="40">
        <f t="shared" si="97"/>
        <v>58.947474225791211</v>
      </c>
      <c r="AJ27" s="40">
        <f t="shared" si="97"/>
        <v>58.947474225791211</v>
      </c>
      <c r="AK27" s="40">
        <f t="shared" si="97"/>
        <v>58.947474225791211</v>
      </c>
      <c r="AL27" s="40">
        <f t="shared" si="97"/>
        <v>58.947474225791211</v>
      </c>
      <c r="AM27" s="40">
        <f t="shared" si="97"/>
        <v>58.947474225791211</v>
      </c>
      <c r="AN27" s="40">
        <f t="shared" si="97"/>
        <v>58.947474225791211</v>
      </c>
      <c r="AO27" s="40">
        <f t="shared" si="97"/>
        <v>58.947474225791211</v>
      </c>
      <c r="AP27" s="40">
        <f t="shared" si="97"/>
        <v>58.947474225791211</v>
      </c>
      <c r="AQ27" s="40">
        <f t="shared" si="97"/>
        <v>58.947474225791211</v>
      </c>
      <c r="AR27" s="40">
        <f t="shared" si="97"/>
        <v>58.947474225791211</v>
      </c>
      <c r="AS27" s="40">
        <f t="shared" si="97"/>
        <v>58.947474225791211</v>
      </c>
    </row>
    <row r="28" spans="1:45" x14ac:dyDescent="0.35">
      <c r="A28" s="81" t="str">
        <f>A27</f>
        <v>BASE_PMR1b</v>
      </c>
      <c r="B28" s="75" t="s">
        <v>64</v>
      </c>
      <c r="C28" s="62" t="s">
        <v>4</v>
      </c>
      <c r="D28" s="65"/>
      <c r="E28" s="65"/>
      <c r="F28" s="65"/>
      <c r="G28" s="65"/>
      <c r="H28" s="65"/>
      <c r="I28" s="65"/>
      <c r="J28" s="67">
        <f>1.28*J24</f>
        <v>48.308631486201577</v>
      </c>
      <c r="K28" s="67">
        <f t="shared" ref="K28:AS28" si="98">1.28*K24</f>
        <v>53.314615546874194</v>
      </c>
      <c r="L28" s="67">
        <f t="shared" si="98"/>
        <v>59.611793775388932</v>
      </c>
      <c r="M28" s="67">
        <f t="shared" si="98"/>
        <v>63.108140383041963</v>
      </c>
      <c r="N28" s="67">
        <f t="shared" si="98"/>
        <v>67.011319216526203</v>
      </c>
      <c r="O28" s="67">
        <f t="shared" si="98"/>
        <v>71.181855668879948</v>
      </c>
      <c r="P28" s="67">
        <f t="shared" si="98"/>
        <v>71.181855668879948</v>
      </c>
      <c r="Q28" s="67">
        <f t="shared" si="98"/>
        <v>71.181855668879948</v>
      </c>
      <c r="R28" s="67">
        <f t="shared" si="98"/>
        <v>71.181855668879948</v>
      </c>
      <c r="S28" s="67">
        <f t="shared" si="98"/>
        <v>71.181855668879948</v>
      </c>
      <c r="T28" s="67">
        <f t="shared" si="98"/>
        <v>71.181855668879948</v>
      </c>
      <c r="U28" s="67">
        <f t="shared" si="98"/>
        <v>71.181855668879948</v>
      </c>
      <c r="V28" s="67">
        <f t="shared" si="98"/>
        <v>71.181855668879948</v>
      </c>
      <c r="W28" s="67">
        <f t="shared" si="98"/>
        <v>71.181855668879948</v>
      </c>
      <c r="X28" s="67">
        <f t="shared" si="98"/>
        <v>71.181855668879948</v>
      </c>
      <c r="Y28" s="67">
        <f t="shared" si="98"/>
        <v>71.181855668879948</v>
      </c>
      <c r="Z28" s="67">
        <f t="shared" si="98"/>
        <v>71.181855668879948</v>
      </c>
      <c r="AA28" s="67">
        <f t="shared" si="98"/>
        <v>71.181855668879948</v>
      </c>
      <c r="AB28" s="67">
        <f t="shared" si="98"/>
        <v>71.181855668879948</v>
      </c>
      <c r="AC28" s="67">
        <f t="shared" si="98"/>
        <v>71.181855668879948</v>
      </c>
      <c r="AD28" s="67">
        <f t="shared" si="98"/>
        <v>71.181855668879948</v>
      </c>
      <c r="AE28" s="67">
        <f t="shared" si="98"/>
        <v>71.181855668879948</v>
      </c>
      <c r="AF28" s="67">
        <f t="shared" si="98"/>
        <v>71.181855668879948</v>
      </c>
      <c r="AG28" s="67">
        <f t="shared" si="98"/>
        <v>71.181855668879948</v>
      </c>
      <c r="AH28" s="67">
        <f t="shared" si="98"/>
        <v>71.181855668879948</v>
      </c>
      <c r="AI28" s="67">
        <f t="shared" si="98"/>
        <v>71.181855668879948</v>
      </c>
      <c r="AJ28" s="67">
        <f t="shared" si="98"/>
        <v>71.181855668879948</v>
      </c>
      <c r="AK28" s="67">
        <f t="shared" si="98"/>
        <v>71.181855668879948</v>
      </c>
      <c r="AL28" s="67">
        <f t="shared" si="98"/>
        <v>71.181855668879948</v>
      </c>
      <c r="AM28" s="67">
        <f t="shared" si="98"/>
        <v>71.181855668879948</v>
      </c>
      <c r="AN28" s="67">
        <f t="shared" si="98"/>
        <v>71.181855668879948</v>
      </c>
      <c r="AO28" s="67">
        <f t="shared" si="98"/>
        <v>71.181855668879948</v>
      </c>
      <c r="AP28" s="67">
        <f t="shared" si="98"/>
        <v>71.181855668879948</v>
      </c>
      <c r="AQ28" s="67">
        <f t="shared" si="98"/>
        <v>71.181855668879948</v>
      </c>
      <c r="AR28" s="67">
        <f t="shared" si="98"/>
        <v>71.181855668879948</v>
      </c>
      <c r="AS28" s="67">
        <f t="shared" si="98"/>
        <v>71.181855668879948</v>
      </c>
    </row>
    <row r="29" spans="1:45" x14ac:dyDescent="0.35">
      <c r="A29" s="82" t="s">
        <v>70</v>
      </c>
      <c r="B29" s="3" t="s">
        <v>40</v>
      </c>
      <c r="C29" s="4" t="s">
        <v>4</v>
      </c>
      <c r="D29" s="5"/>
      <c r="E29" s="5"/>
      <c r="F29" s="5"/>
      <c r="G29" s="5"/>
      <c r="H29" s="5"/>
      <c r="I29" s="5"/>
      <c r="J29" s="6">
        <v>37.741118348594981</v>
      </c>
      <c r="K29" s="6">
        <v>41.652043395995463</v>
      </c>
      <c r="L29" s="6">
        <v>46.571713887022604</v>
      </c>
      <c r="M29" s="6">
        <v>49.303234674251534</v>
      </c>
      <c r="N29" s="6">
        <v>52.3525931379111</v>
      </c>
      <c r="O29" s="6">
        <v>55.610824741312463</v>
      </c>
      <c r="P29" s="6">
        <f>O29</f>
        <v>55.610824741312463</v>
      </c>
      <c r="Q29" s="6">
        <f t="shared" ref="Q29" si="99">P29</f>
        <v>55.610824741312463</v>
      </c>
      <c r="R29" s="6">
        <f t="shared" ref="R29" si="100">Q29</f>
        <v>55.610824741312463</v>
      </c>
      <c r="S29" s="6">
        <f t="shared" ref="S29" si="101">R29</f>
        <v>55.610824741312463</v>
      </c>
      <c r="T29" s="6">
        <f t="shared" ref="T29" si="102">S29</f>
        <v>55.610824741312463</v>
      </c>
      <c r="U29" s="6">
        <f t="shared" ref="U29" si="103">T29</f>
        <v>55.610824741312463</v>
      </c>
      <c r="V29" s="6">
        <f t="shared" ref="V29" si="104">U29</f>
        <v>55.610824741312463</v>
      </c>
      <c r="W29" s="6">
        <f t="shared" ref="W29" si="105">V29</f>
        <v>55.610824741312463</v>
      </c>
      <c r="X29" s="6">
        <f t="shared" ref="X29" si="106">W29</f>
        <v>55.610824741312463</v>
      </c>
      <c r="Y29" s="6">
        <f t="shared" ref="Y29" si="107">X29</f>
        <v>55.610824741312463</v>
      </c>
      <c r="Z29" s="6">
        <f t="shared" ref="Z29" si="108">Y29</f>
        <v>55.610824741312463</v>
      </c>
      <c r="AA29" s="6">
        <f t="shared" ref="AA29" si="109">Z29</f>
        <v>55.610824741312463</v>
      </c>
      <c r="AB29" s="6">
        <f t="shared" ref="AB29" si="110">AA29</f>
        <v>55.610824741312463</v>
      </c>
      <c r="AC29" s="6">
        <f t="shared" ref="AC29" si="111">AB29</f>
        <v>55.610824741312463</v>
      </c>
      <c r="AD29" s="6">
        <f t="shared" ref="AD29" si="112">AC29</f>
        <v>55.610824741312463</v>
      </c>
      <c r="AE29" s="6">
        <f t="shared" ref="AE29" si="113">AD29</f>
        <v>55.610824741312463</v>
      </c>
      <c r="AF29" s="6">
        <f t="shared" ref="AF29" si="114">AE29</f>
        <v>55.610824741312463</v>
      </c>
      <c r="AG29" s="6">
        <f t="shared" ref="AG29" si="115">AF29</f>
        <v>55.610824741312463</v>
      </c>
      <c r="AH29" s="6">
        <f t="shared" ref="AH29" si="116">AG29</f>
        <v>55.610824741312463</v>
      </c>
      <c r="AI29" s="6">
        <f t="shared" ref="AI29" si="117">AH29</f>
        <v>55.610824741312463</v>
      </c>
      <c r="AJ29" s="6">
        <f t="shared" ref="AJ29" si="118">AI29</f>
        <v>55.610824741312463</v>
      </c>
      <c r="AK29" s="6">
        <f t="shared" ref="AK29" si="119">AJ29</f>
        <v>55.610824741312463</v>
      </c>
      <c r="AL29" s="6">
        <f t="shared" ref="AL29" si="120">AK29</f>
        <v>55.610824741312463</v>
      </c>
      <c r="AM29" s="6">
        <f t="shared" ref="AM29" si="121">AL29</f>
        <v>55.610824741312463</v>
      </c>
      <c r="AN29" s="6">
        <f t="shared" ref="AN29" si="122">AM29</f>
        <v>55.610824741312463</v>
      </c>
      <c r="AO29" s="6">
        <f t="shared" ref="AO29" si="123">AN29</f>
        <v>55.610824741312463</v>
      </c>
      <c r="AP29" s="6">
        <f t="shared" ref="AP29" si="124">AO29</f>
        <v>55.610824741312463</v>
      </c>
      <c r="AQ29" s="6">
        <f t="shared" ref="AQ29" si="125">AP29</f>
        <v>55.610824741312463</v>
      </c>
      <c r="AR29" s="6">
        <f t="shared" ref="AR29" si="126">AQ29</f>
        <v>55.610824741312463</v>
      </c>
      <c r="AS29" s="6">
        <f t="shared" ref="AS29" si="127">AR29</f>
        <v>55.610824741312463</v>
      </c>
    </row>
    <row r="30" spans="1:45" x14ac:dyDescent="0.35">
      <c r="A30" s="82" t="str">
        <f>A29</f>
        <v>LOW_PMR1b</v>
      </c>
      <c r="B30" s="8" t="s">
        <v>41</v>
      </c>
      <c r="C30" s="4" t="s">
        <v>4</v>
      </c>
      <c r="D30" s="9">
        <v>816</v>
      </c>
      <c r="E30" s="9">
        <v>816</v>
      </c>
      <c r="F30" s="9">
        <v>816</v>
      </c>
      <c r="G30" s="9">
        <v>816</v>
      </c>
      <c r="H30" s="9">
        <v>816</v>
      </c>
      <c r="I30" s="9">
        <v>816</v>
      </c>
      <c r="J30" s="28">
        <f>extendable_generators!J86</f>
        <v>388.87</v>
      </c>
      <c r="K30" s="28">
        <f>extendable_generators!K86</f>
        <v>372.94</v>
      </c>
      <c r="L30" s="28">
        <f>extendable_generators!L86</f>
        <v>356.79</v>
      </c>
      <c r="M30" s="28">
        <f>extendable_generators!M86</f>
        <v>341.89</v>
      </c>
      <c r="N30" s="28">
        <f>extendable_generators!N86</f>
        <v>326.08</v>
      </c>
      <c r="O30" s="28">
        <f>extendable_generators!O86</f>
        <v>311.33</v>
      </c>
      <c r="P30" s="28">
        <f>extendable_generators!P86</f>
        <v>313.23</v>
      </c>
      <c r="Q30" s="28">
        <f>extendable_generators!Q86</f>
        <v>312.72000000000003</v>
      </c>
      <c r="R30" s="28">
        <f>extendable_generators!R86</f>
        <v>316.02999999999997</v>
      </c>
      <c r="S30" s="28">
        <f>extendable_generators!S86</f>
        <v>317.45999999999998</v>
      </c>
      <c r="T30" s="28">
        <f>extendable_generators!T86</f>
        <v>318.45</v>
      </c>
      <c r="U30" s="28">
        <f>extendable_generators!U86</f>
        <v>320.16000000000003</v>
      </c>
      <c r="V30" s="28">
        <f>extendable_generators!V86</f>
        <v>321.70999999999998</v>
      </c>
      <c r="W30" s="28">
        <f>extendable_generators!W86</f>
        <v>323.02999999999997</v>
      </c>
      <c r="X30" s="28">
        <f>extendable_generators!X86</f>
        <v>325.39</v>
      </c>
      <c r="Y30" s="28">
        <f>extendable_generators!Y86</f>
        <v>326.70999999999998</v>
      </c>
      <c r="Z30" s="28">
        <f>extendable_generators!Z86</f>
        <v>327.79</v>
      </c>
      <c r="AA30" s="28">
        <f>extendable_generators!AA86</f>
        <v>327.88</v>
      </c>
      <c r="AB30" s="28">
        <f>extendable_generators!AB86</f>
        <v>330.62</v>
      </c>
      <c r="AC30" s="28">
        <f>extendable_generators!AC86</f>
        <v>330.97</v>
      </c>
      <c r="AD30" s="28">
        <f>extendable_generators!AD86</f>
        <v>332.22</v>
      </c>
      <c r="AE30" s="28">
        <f>extendable_generators!AE86</f>
        <v>335.09</v>
      </c>
      <c r="AF30" s="28">
        <f>extendable_generators!AF86</f>
        <v>339.96</v>
      </c>
      <c r="AG30" s="28">
        <f>extendable_generators!AG86</f>
        <v>341.7</v>
      </c>
      <c r="AH30" s="28">
        <f>extendable_generators!AH86</f>
        <v>343.5</v>
      </c>
      <c r="AI30" s="28">
        <f>extendable_generators!AI86</f>
        <v>344.94</v>
      </c>
      <c r="AJ30" s="28">
        <f>extendable_generators!AJ86</f>
        <v>345</v>
      </c>
      <c r="AK30" s="28">
        <f>extendable_generators!AK86</f>
        <v>345</v>
      </c>
      <c r="AL30" s="28">
        <f>extendable_generators!AL86</f>
        <v>345</v>
      </c>
      <c r="AM30" s="28">
        <f>extendable_generators!AM86</f>
        <v>345</v>
      </c>
      <c r="AN30" s="28">
        <f>extendable_generators!AN86</f>
        <v>345</v>
      </c>
      <c r="AO30" s="28">
        <f>extendable_generators!AO86</f>
        <v>345</v>
      </c>
      <c r="AP30" s="28">
        <f>extendable_generators!AP86</f>
        <v>345</v>
      </c>
      <c r="AQ30" s="28">
        <f>extendable_generators!AQ86</f>
        <v>345</v>
      </c>
      <c r="AR30" s="28">
        <f>extendable_generators!AR86</f>
        <v>345</v>
      </c>
      <c r="AS30" s="28">
        <f>extendable_generators!AS86</f>
        <v>345</v>
      </c>
    </row>
    <row r="31" spans="1:45" x14ac:dyDescent="0.35">
      <c r="A31" s="82" t="str">
        <f t="shared" ref="A31:A33" si="128">A30</f>
        <v>LOW_PMR1b</v>
      </c>
      <c r="B31" s="74" t="s">
        <v>62</v>
      </c>
      <c r="C31" s="4" t="s">
        <v>4</v>
      </c>
      <c r="J31" s="40">
        <f>0.74*J29</f>
        <v>27.928427577960285</v>
      </c>
      <c r="K31" s="40">
        <f t="shared" ref="K31:AS31" si="129">0.74*K29</f>
        <v>30.822512113036641</v>
      </c>
      <c r="L31" s="40">
        <f t="shared" si="129"/>
        <v>34.463068276396726</v>
      </c>
      <c r="M31" s="40">
        <f t="shared" si="129"/>
        <v>36.484393658946132</v>
      </c>
      <c r="N31" s="40">
        <f t="shared" si="129"/>
        <v>38.740918922054213</v>
      </c>
      <c r="O31" s="40">
        <f t="shared" si="129"/>
        <v>41.152010308571221</v>
      </c>
      <c r="P31" s="40">
        <f t="shared" si="129"/>
        <v>41.152010308571221</v>
      </c>
      <c r="Q31" s="40">
        <f t="shared" si="129"/>
        <v>41.152010308571221</v>
      </c>
      <c r="R31" s="40">
        <f t="shared" si="129"/>
        <v>41.152010308571221</v>
      </c>
      <c r="S31" s="40">
        <f t="shared" si="129"/>
        <v>41.152010308571221</v>
      </c>
      <c r="T31" s="40">
        <f t="shared" si="129"/>
        <v>41.152010308571221</v>
      </c>
      <c r="U31" s="40">
        <f t="shared" si="129"/>
        <v>41.152010308571221</v>
      </c>
      <c r="V31" s="40">
        <f t="shared" si="129"/>
        <v>41.152010308571221</v>
      </c>
      <c r="W31" s="40">
        <f t="shared" si="129"/>
        <v>41.152010308571221</v>
      </c>
      <c r="X31" s="40">
        <f t="shared" si="129"/>
        <v>41.152010308571221</v>
      </c>
      <c r="Y31" s="40">
        <f t="shared" si="129"/>
        <v>41.152010308571221</v>
      </c>
      <c r="Z31" s="40">
        <f t="shared" si="129"/>
        <v>41.152010308571221</v>
      </c>
      <c r="AA31" s="40">
        <f t="shared" si="129"/>
        <v>41.152010308571221</v>
      </c>
      <c r="AB31" s="40">
        <f t="shared" si="129"/>
        <v>41.152010308571221</v>
      </c>
      <c r="AC31" s="40">
        <f t="shared" si="129"/>
        <v>41.152010308571221</v>
      </c>
      <c r="AD31" s="40">
        <f t="shared" si="129"/>
        <v>41.152010308571221</v>
      </c>
      <c r="AE31" s="40">
        <f t="shared" si="129"/>
        <v>41.152010308571221</v>
      </c>
      <c r="AF31" s="40">
        <f t="shared" si="129"/>
        <v>41.152010308571221</v>
      </c>
      <c r="AG31" s="40">
        <f t="shared" si="129"/>
        <v>41.152010308571221</v>
      </c>
      <c r="AH31" s="40">
        <f t="shared" si="129"/>
        <v>41.152010308571221</v>
      </c>
      <c r="AI31" s="40">
        <f t="shared" si="129"/>
        <v>41.152010308571221</v>
      </c>
      <c r="AJ31" s="40">
        <f t="shared" si="129"/>
        <v>41.152010308571221</v>
      </c>
      <c r="AK31" s="40">
        <f t="shared" si="129"/>
        <v>41.152010308571221</v>
      </c>
      <c r="AL31" s="40">
        <f t="shared" si="129"/>
        <v>41.152010308571221</v>
      </c>
      <c r="AM31" s="40">
        <f t="shared" si="129"/>
        <v>41.152010308571221</v>
      </c>
      <c r="AN31" s="40">
        <f t="shared" si="129"/>
        <v>41.152010308571221</v>
      </c>
      <c r="AO31" s="40">
        <f t="shared" si="129"/>
        <v>41.152010308571221</v>
      </c>
      <c r="AP31" s="40">
        <f t="shared" si="129"/>
        <v>41.152010308571221</v>
      </c>
      <c r="AQ31" s="40">
        <f t="shared" si="129"/>
        <v>41.152010308571221</v>
      </c>
      <c r="AR31" s="40">
        <f t="shared" si="129"/>
        <v>41.152010308571221</v>
      </c>
      <c r="AS31" s="40">
        <f t="shared" si="129"/>
        <v>41.152010308571221</v>
      </c>
    </row>
    <row r="32" spans="1:45" x14ac:dyDescent="0.35">
      <c r="A32" s="82" t="str">
        <f t="shared" si="128"/>
        <v>LOW_PMR1b</v>
      </c>
      <c r="B32" s="73" t="s">
        <v>63</v>
      </c>
      <c r="C32" s="4" t="s">
        <v>4</v>
      </c>
      <c r="J32" s="40">
        <f>1.06*J29</f>
        <v>40.005585449510683</v>
      </c>
      <c r="K32" s="40">
        <f t="shared" ref="K32:AS32" si="130">1.06*K29</f>
        <v>44.151165999755193</v>
      </c>
      <c r="L32" s="40">
        <f t="shared" si="130"/>
        <v>49.366016720243962</v>
      </c>
      <c r="M32" s="40">
        <f t="shared" si="130"/>
        <v>52.261428754706628</v>
      </c>
      <c r="N32" s="40">
        <f t="shared" si="130"/>
        <v>55.493748726185771</v>
      </c>
      <c r="O32" s="40">
        <f t="shared" si="130"/>
        <v>58.947474225791211</v>
      </c>
      <c r="P32" s="40">
        <f t="shared" si="130"/>
        <v>58.947474225791211</v>
      </c>
      <c r="Q32" s="40">
        <f t="shared" si="130"/>
        <v>58.947474225791211</v>
      </c>
      <c r="R32" s="40">
        <f t="shared" si="130"/>
        <v>58.947474225791211</v>
      </c>
      <c r="S32" s="40">
        <f t="shared" si="130"/>
        <v>58.947474225791211</v>
      </c>
      <c r="T32" s="40">
        <f t="shared" si="130"/>
        <v>58.947474225791211</v>
      </c>
      <c r="U32" s="40">
        <f t="shared" si="130"/>
        <v>58.947474225791211</v>
      </c>
      <c r="V32" s="40">
        <f t="shared" si="130"/>
        <v>58.947474225791211</v>
      </c>
      <c r="W32" s="40">
        <f t="shared" si="130"/>
        <v>58.947474225791211</v>
      </c>
      <c r="X32" s="40">
        <f t="shared" si="130"/>
        <v>58.947474225791211</v>
      </c>
      <c r="Y32" s="40">
        <f t="shared" si="130"/>
        <v>58.947474225791211</v>
      </c>
      <c r="Z32" s="40">
        <f t="shared" si="130"/>
        <v>58.947474225791211</v>
      </c>
      <c r="AA32" s="40">
        <f t="shared" si="130"/>
        <v>58.947474225791211</v>
      </c>
      <c r="AB32" s="40">
        <f t="shared" si="130"/>
        <v>58.947474225791211</v>
      </c>
      <c r="AC32" s="40">
        <f t="shared" si="130"/>
        <v>58.947474225791211</v>
      </c>
      <c r="AD32" s="40">
        <f t="shared" si="130"/>
        <v>58.947474225791211</v>
      </c>
      <c r="AE32" s="40">
        <f t="shared" si="130"/>
        <v>58.947474225791211</v>
      </c>
      <c r="AF32" s="40">
        <f t="shared" si="130"/>
        <v>58.947474225791211</v>
      </c>
      <c r="AG32" s="40">
        <f t="shared" si="130"/>
        <v>58.947474225791211</v>
      </c>
      <c r="AH32" s="40">
        <f t="shared" si="130"/>
        <v>58.947474225791211</v>
      </c>
      <c r="AI32" s="40">
        <f t="shared" si="130"/>
        <v>58.947474225791211</v>
      </c>
      <c r="AJ32" s="40">
        <f t="shared" si="130"/>
        <v>58.947474225791211</v>
      </c>
      <c r="AK32" s="40">
        <f t="shared" si="130"/>
        <v>58.947474225791211</v>
      </c>
      <c r="AL32" s="40">
        <f t="shared" si="130"/>
        <v>58.947474225791211</v>
      </c>
      <c r="AM32" s="40">
        <f t="shared" si="130"/>
        <v>58.947474225791211</v>
      </c>
      <c r="AN32" s="40">
        <f t="shared" si="130"/>
        <v>58.947474225791211</v>
      </c>
      <c r="AO32" s="40">
        <f t="shared" si="130"/>
        <v>58.947474225791211</v>
      </c>
      <c r="AP32" s="40">
        <f t="shared" si="130"/>
        <v>58.947474225791211</v>
      </c>
      <c r="AQ32" s="40">
        <f t="shared" si="130"/>
        <v>58.947474225791211</v>
      </c>
      <c r="AR32" s="40">
        <f t="shared" si="130"/>
        <v>58.947474225791211</v>
      </c>
      <c r="AS32" s="40">
        <f t="shared" si="130"/>
        <v>58.947474225791211</v>
      </c>
    </row>
    <row r="33" spans="1:45" x14ac:dyDescent="0.35">
      <c r="A33" s="82" t="str">
        <f t="shared" si="128"/>
        <v>LOW_PMR1b</v>
      </c>
      <c r="B33" s="75" t="s">
        <v>64</v>
      </c>
      <c r="C33" s="62" t="s">
        <v>4</v>
      </c>
      <c r="J33" s="67">
        <f>1.28*J29</f>
        <v>48.308631486201577</v>
      </c>
      <c r="K33" s="67">
        <f t="shared" ref="K33:AS33" si="131">1.28*K29</f>
        <v>53.314615546874194</v>
      </c>
      <c r="L33" s="67">
        <f t="shared" si="131"/>
        <v>59.611793775388932</v>
      </c>
      <c r="M33" s="67">
        <f t="shared" si="131"/>
        <v>63.108140383041963</v>
      </c>
      <c r="N33" s="67">
        <f t="shared" si="131"/>
        <v>67.011319216526203</v>
      </c>
      <c r="O33" s="67">
        <f t="shared" si="131"/>
        <v>71.181855668879948</v>
      </c>
      <c r="P33" s="67">
        <f t="shared" si="131"/>
        <v>71.181855668879948</v>
      </c>
      <c r="Q33" s="67">
        <f t="shared" si="131"/>
        <v>71.181855668879948</v>
      </c>
      <c r="R33" s="67">
        <f t="shared" si="131"/>
        <v>71.181855668879948</v>
      </c>
      <c r="S33" s="67">
        <f t="shared" si="131"/>
        <v>71.181855668879948</v>
      </c>
      <c r="T33" s="67">
        <f t="shared" si="131"/>
        <v>71.181855668879948</v>
      </c>
      <c r="U33" s="67">
        <f t="shared" si="131"/>
        <v>71.181855668879948</v>
      </c>
      <c r="V33" s="67">
        <f t="shared" si="131"/>
        <v>71.181855668879948</v>
      </c>
      <c r="W33" s="67">
        <f t="shared" si="131"/>
        <v>71.181855668879948</v>
      </c>
      <c r="X33" s="67">
        <f t="shared" si="131"/>
        <v>71.181855668879948</v>
      </c>
      <c r="Y33" s="67">
        <f t="shared" si="131"/>
        <v>71.181855668879948</v>
      </c>
      <c r="Z33" s="67">
        <f t="shared" si="131"/>
        <v>71.181855668879948</v>
      </c>
      <c r="AA33" s="67">
        <f t="shared" si="131"/>
        <v>71.181855668879948</v>
      </c>
      <c r="AB33" s="67">
        <f t="shared" si="131"/>
        <v>71.181855668879948</v>
      </c>
      <c r="AC33" s="67">
        <f t="shared" si="131"/>
        <v>71.181855668879948</v>
      </c>
      <c r="AD33" s="67">
        <f t="shared" si="131"/>
        <v>71.181855668879948</v>
      </c>
      <c r="AE33" s="67">
        <f t="shared" si="131"/>
        <v>71.181855668879948</v>
      </c>
      <c r="AF33" s="67">
        <f t="shared" si="131"/>
        <v>71.181855668879948</v>
      </c>
      <c r="AG33" s="67">
        <f t="shared" si="131"/>
        <v>71.181855668879948</v>
      </c>
      <c r="AH33" s="67">
        <f t="shared" si="131"/>
        <v>71.181855668879948</v>
      </c>
      <c r="AI33" s="67">
        <f t="shared" si="131"/>
        <v>71.181855668879948</v>
      </c>
      <c r="AJ33" s="67">
        <f t="shared" si="131"/>
        <v>71.181855668879948</v>
      </c>
      <c r="AK33" s="67">
        <f t="shared" si="131"/>
        <v>71.181855668879948</v>
      </c>
      <c r="AL33" s="67">
        <f t="shared" si="131"/>
        <v>71.181855668879948</v>
      </c>
      <c r="AM33" s="67">
        <f t="shared" si="131"/>
        <v>71.181855668879948</v>
      </c>
      <c r="AN33" s="67">
        <f t="shared" si="131"/>
        <v>71.181855668879948</v>
      </c>
      <c r="AO33" s="67">
        <f t="shared" si="131"/>
        <v>71.181855668879948</v>
      </c>
      <c r="AP33" s="67">
        <f t="shared" si="131"/>
        <v>71.181855668879948</v>
      </c>
      <c r="AQ33" s="67">
        <f t="shared" si="131"/>
        <v>71.181855668879948</v>
      </c>
      <c r="AR33" s="67">
        <f t="shared" si="131"/>
        <v>71.181855668879948</v>
      </c>
      <c r="AS33" s="67">
        <f t="shared" si="131"/>
        <v>71.181855668879948</v>
      </c>
    </row>
    <row r="34" spans="1:45" x14ac:dyDescent="0.35">
      <c r="A34" s="69" t="s">
        <v>61</v>
      </c>
      <c r="B34" s="71" t="s">
        <v>45</v>
      </c>
      <c r="C34" s="4" t="s">
        <v>60</v>
      </c>
      <c r="J34" s="66">
        <v>1.28</v>
      </c>
    </row>
    <row r="35" spans="1:45" x14ac:dyDescent="0.35">
      <c r="A35" s="69" t="s">
        <v>61</v>
      </c>
      <c r="B35" s="71" t="s">
        <v>59</v>
      </c>
      <c r="C35" s="4" t="s">
        <v>60</v>
      </c>
      <c r="J35" s="66">
        <v>1.28</v>
      </c>
    </row>
    <row r="36" spans="1:45" x14ac:dyDescent="0.35">
      <c r="A36" s="69" t="s">
        <v>61</v>
      </c>
      <c r="B36" s="71" t="s">
        <v>57</v>
      </c>
      <c r="C36" s="4" t="s">
        <v>60</v>
      </c>
      <c r="J36" s="66">
        <v>1.28</v>
      </c>
      <c r="O36" s="68"/>
    </row>
    <row r="37" spans="1:45" x14ac:dyDescent="0.35">
      <c r="A37" s="69" t="s">
        <v>61</v>
      </c>
      <c r="B37" s="71" t="s">
        <v>53</v>
      </c>
      <c r="C37" s="4" t="s">
        <v>60</v>
      </c>
      <c r="J37" s="66">
        <v>1.28</v>
      </c>
      <c r="O37" s="68"/>
    </row>
    <row r="38" spans="1:45" x14ac:dyDescent="0.35">
      <c r="A38" s="69" t="s">
        <v>61</v>
      </c>
      <c r="B38" s="71" t="s">
        <v>49</v>
      </c>
      <c r="C38" s="4" t="s">
        <v>60</v>
      </c>
      <c r="J38" s="66">
        <v>1.28</v>
      </c>
      <c r="O38" s="68"/>
    </row>
    <row r="39" spans="1:45" x14ac:dyDescent="0.35">
      <c r="A39" s="69" t="s">
        <v>61</v>
      </c>
      <c r="B39" s="71" t="s">
        <v>47</v>
      </c>
      <c r="C39" s="4" t="s">
        <v>60</v>
      </c>
      <c r="J39" s="66">
        <v>1.28</v>
      </c>
      <c r="O39" s="68"/>
    </row>
    <row r="40" spans="1:45" x14ac:dyDescent="0.35">
      <c r="A40" s="69" t="s">
        <v>61</v>
      </c>
      <c r="B40" s="71" t="s">
        <v>52</v>
      </c>
      <c r="C40" s="4" t="s">
        <v>60</v>
      </c>
      <c r="J40" s="66">
        <v>1.28</v>
      </c>
      <c r="O40" s="68"/>
    </row>
    <row r="41" spans="1:45" x14ac:dyDescent="0.35">
      <c r="A41" s="69" t="s">
        <v>61</v>
      </c>
      <c r="B41" s="72" t="s">
        <v>50</v>
      </c>
      <c r="C41" s="4" t="s">
        <v>60</v>
      </c>
      <c r="J41" s="66">
        <v>1.06</v>
      </c>
      <c r="O41" s="68"/>
    </row>
    <row r="42" spans="1:45" x14ac:dyDescent="0.35">
      <c r="A42" s="69" t="s">
        <v>61</v>
      </c>
      <c r="B42" s="72" t="s">
        <v>55</v>
      </c>
      <c r="C42" s="4" t="s">
        <v>60</v>
      </c>
      <c r="J42" s="66">
        <v>1.06</v>
      </c>
      <c r="O42" s="68"/>
    </row>
    <row r="43" spans="1:45" x14ac:dyDescent="0.35">
      <c r="A43" s="69" t="s">
        <v>61</v>
      </c>
      <c r="B43" s="72" t="s">
        <v>46</v>
      </c>
      <c r="C43" s="4" t="s">
        <v>60</v>
      </c>
      <c r="J43" s="66">
        <v>1.06</v>
      </c>
      <c r="O43" s="68"/>
    </row>
    <row r="44" spans="1:45" x14ac:dyDescent="0.35">
      <c r="A44" s="69" t="s">
        <v>61</v>
      </c>
      <c r="B44" s="72" t="s">
        <v>51</v>
      </c>
      <c r="C44" s="4" t="s">
        <v>60</v>
      </c>
      <c r="J44" s="66">
        <v>1.06</v>
      </c>
      <c r="O44" s="68"/>
    </row>
    <row r="45" spans="1:45" x14ac:dyDescent="0.35">
      <c r="A45" s="69" t="s">
        <v>61</v>
      </c>
      <c r="B45" s="70" t="s">
        <v>58</v>
      </c>
      <c r="C45" s="4" t="s">
        <v>60</v>
      </c>
      <c r="J45" s="66">
        <v>0.74</v>
      </c>
      <c r="O45" s="68"/>
    </row>
    <row r="46" spans="1:45" x14ac:dyDescent="0.35">
      <c r="A46" s="69" t="s">
        <v>61</v>
      </c>
      <c r="B46" s="70" t="s">
        <v>48</v>
      </c>
      <c r="C46" s="4" t="s">
        <v>60</v>
      </c>
      <c r="J46" s="66">
        <v>0.74</v>
      </c>
      <c r="O46" s="68"/>
    </row>
    <row r="47" spans="1:45" x14ac:dyDescent="0.35">
      <c r="A47" s="69" t="s">
        <v>61</v>
      </c>
      <c r="B47" s="70" t="s">
        <v>56</v>
      </c>
      <c r="C47" s="4" t="s">
        <v>60</v>
      </c>
      <c r="J47" s="66">
        <v>0.74</v>
      </c>
      <c r="O47" s="68"/>
    </row>
    <row r="48" spans="1:45" x14ac:dyDescent="0.35">
      <c r="A48" s="69" t="s">
        <v>61</v>
      </c>
      <c r="B48" s="70" t="s">
        <v>54</v>
      </c>
      <c r="C48" s="4" t="s">
        <v>60</v>
      </c>
      <c r="J48" s="66">
        <v>0.74</v>
      </c>
      <c r="O48" s="68"/>
    </row>
  </sheetData>
  <autoFilter ref="A1:C1" xr:uid="{00000000-0001-0000-0000-000000000000}"/>
  <phoneticPr fontId="7" type="noConversion"/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11"/>
  <sheetViews>
    <sheetView zoomScaleNormal="100" workbookViewId="0">
      <pane ySplit="1" topLeftCell="A8" activePane="bottomLeft" state="frozen"/>
      <selection activeCell="L1" sqref="L1"/>
      <selection pane="bottomLeft" activeCell="AI83" sqref="AI83"/>
    </sheetView>
  </sheetViews>
  <sheetFormatPr defaultColWidth="8.453125" defaultRowHeight="14.5" x14ac:dyDescent="0.35"/>
  <cols>
    <col min="1" max="1" width="17.453125" customWidth="1"/>
    <col min="2" max="2" width="19.6328125" customWidth="1"/>
    <col min="3" max="3" width="16" customWidth="1"/>
    <col min="4" max="9" width="10.08984375" hidden="1" customWidth="1"/>
    <col min="10" max="17" width="9.36328125" style="11" customWidth="1"/>
    <col min="18" max="18" width="8.36328125" style="11" customWidth="1"/>
    <col min="19" max="35" width="9.36328125" style="11" customWidth="1"/>
    <col min="36" max="36" width="8.453125" style="11"/>
    <col min="37" max="45" width="9.36328125" style="11" customWidth="1"/>
  </cols>
  <sheetData>
    <row r="1" spans="1:45" x14ac:dyDescent="0.35">
      <c r="A1" s="1" t="s">
        <v>0</v>
      </c>
      <c r="B1" s="1" t="s">
        <v>1</v>
      </c>
      <c r="C1" s="2" t="s">
        <v>2</v>
      </c>
      <c r="D1" s="2">
        <v>2019</v>
      </c>
      <c r="E1" s="2">
        <v>2020</v>
      </c>
      <c r="F1" s="2">
        <f t="shared" ref="F1:AS1" si="0">E1+1</f>
        <v>2021</v>
      </c>
      <c r="G1" s="2">
        <f t="shared" si="0"/>
        <v>2022</v>
      </c>
      <c r="H1" s="2">
        <f t="shared" si="0"/>
        <v>2023</v>
      </c>
      <c r="I1" s="2">
        <f t="shared" si="0"/>
        <v>2024</v>
      </c>
      <c r="J1" s="12">
        <f t="shared" si="0"/>
        <v>2025</v>
      </c>
      <c r="K1" s="12">
        <f t="shared" si="0"/>
        <v>2026</v>
      </c>
      <c r="L1" s="12">
        <f t="shared" si="0"/>
        <v>2027</v>
      </c>
      <c r="M1" s="12">
        <f t="shared" si="0"/>
        <v>2028</v>
      </c>
      <c r="N1" s="12">
        <f t="shared" si="0"/>
        <v>2029</v>
      </c>
      <c r="O1" s="12">
        <f t="shared" si="0"/>
        <v>2030</v>
      </c>
      <c r="P1" s="12">
        <f t="shared" si="0"/>
        <v>2031</v>
      </c>
      <c r="Q1" s="12">
        <f t="shared" si="0"/>
        <v>2032</v>
      </c>
      <c r="R1" s="12">
        <f t="shared" si="0"/>
        <v>2033</v>
      </c>
      <c r="S1" s="12">
        <f t="shared" si="0"/>
        <v>2034</v>
      </c>
      <c r="T1" s="12">
        <f t="shared" si="0"/>
        <v>2035</v>
      </c>
      <c r="U1" s="12">
        <f t="shared" si="0"/>
        <v>2036</v>
      </c>
      <c r="V1" s="12">
        <f t="shared" si="0"/>
        <v>2037</v>
      </c>
      <c r="W1" s="12">
        <f t="shared" si="0"/>
        <v>2038</v>
      </c>
      <c r="X1" s="12">
        <f t="shared" si="0"/>
        <v>2039</v>
      </c>
      <c r="Y1" s="12">
        <f t="shared" si="0"/>
        <v>2040</v>
      </c>
      <c r="Z1" s="12">
        <f t="shared" si="0"/>
        <v>2041</v>
      </c>
      <c r="AA1" s="12">
        <f t="shared" si="0"/>
        <v>2042</v>
      </c>
      <c r="AB1" s="12">
        <f t="shared" si="0"/>
        <v>2043</v>
      </c>
      <c r="AC1" s="12">
        <f t="shared" si="0"/>
        <v>2044</v>
      </c>
      <c r="AD1" s="12">
        <f t="shared" si="0"/>
        <v>2045</v>
      </c>
      <c r="AE1" s="12">
        <f t="shared" si="0"/>
        <v>2046</v>
      </c>
      <c r="AF1" s="12">
        <f t="shared" si="0"/>
        <v>2047</v>
      </c>
      <c r="AG1" s="12">
        <f t="shared" si="0"/>
        <v>2048</v>
      </c>
      <c r="AH1" s="12">
        <f t="shared" si="0"/>
        <v>2049</v>
      </c>
      <c r="AI1" s="12">
        <f t="shared" si="0"/>
        <v>2050</v>
      </c>
      <c r="AJ1" s="13">
        <f t="shared" si="0"/>
        <v>2051</v>
      </c>
      <c r="AK1" s="13">
        <f t="shared" si="0"/>
        <v>2052</v>
      </c>
      <c r="AL1" s="13">
        <f t="shared" si="0"/>
        <v>2053</v>
      </c>
      <c r="AM1" s="13">
        <f t="shared" si="0"/>
        <v>2054</v>
      </c>
      <c r="AN1" s="13">
        <f t="shared" si="0"/>
        <v>2055</v>
      </c>
      <c r="AO1" s="13">
        <f t="shared" si="0"/>
        <v>2056</v>
      </c>
      <c r="AP1" s="13">
        <f t="shared" si="0"/>
        <v>2057</v>
      </c>
      <c r="AQ1" s="13">
        <f t="shared" si="0"/>
        <v>2058</v>
      </c>
      <c r="AR1" s="13">
        <f t="shared" si="0"/>
        <v>2059</v>
      </c>
      <c r="AS1" s="13">
        <f t="shared" si="0"/>
        <v>2060</v>
      </c>
    </row>
    <row r="2" spans="1:45" x14ac:dyDescent="0.35">
      <c r="A2" s="76" t="s">
        <v>65</v>
      </c>
      <c r="B2" s="50" t="s">
        <v>8</v>
      </c>
      <c r="C2" s="50" t="s">
        <v>9</v>
      </c>
      <c r="D2" s="7">
        <v>667.51683700000001</v>
      </c>
      <c r="E2" s="7">
        <v>669.91817549999996</v>
      </c>
      <c r="F2" s="7">
        <v>670.59781769999995</v>
      </c>
      <c r="G2" s="7">
        <v>676.0350866</v>
      </c>
      <c r="H2" s="7">
        <v>680.6389484</v>
      </c>
      <c r="I2" s="7">
        <v>685.52926839999998</v>
      </c>
      <c r="J2" s="30">
        <v>429.64</v>
      </c>
      <c r="K2" s="30">
        <v>471.39</v>
      </c>
      <c r="L2" s="30">
        <v>513.07000000000005</v>
      </c>
      <c r="M2" s="30">
        <v>558.9</v>
      </c>
      <c r="N2" s="30">
        <v>606.11</v>
      </c>
      <c r="O2" s="30">
        <v>611.09</v>
      </c>
      <c r="P2" s="30">
        <v>616.36</v>
      </c>
      <c r="Q2" s="30">
        <v>615.87</v>
      </c>
      <c r="R2" s="30">
        <v>619.91</v>
      </c>
      <c r="S2" s="30">
        <v>627.52</v>
      </c>
      <c r="T2" s="30">
        <v>629.52</v>
      </c>
      <c r="U2" s="30">
        <v>629.79999999999995</v>
      </c>
      <c r="V2" s="30">
        <v>636.17999999999995</v>
      </c>
      <c r="W2" s="30">
        <v>629.96</v>
      </c>
      <c r="X2" s="30">
        <v>631.33000000000004</v>
      </c>
      <c r="Y2" s="30">
        <v>632.86</v>
      </c>
      <c r="Z2" s="30">
        <v>637.49</v>
      </c>
      <c r="AA2" s="30">
        <v>640.96</v>
      </c>
      <c r="AB2" s="30">
        <v>641.74</v>
      </c>
      <c r="AC2" s="30">
        <v>644.66999999999996</v>
      </c>
      <c r="AD2" s="30">
        <v>643.6</v>
      </c>
      <c r="AE2" s="30">
        <v>644.79</v>
      </c>
      <c r="AF2" s="30">
        <v>647.71</v>
      </c>
      <c r="AG2" s="30">
        <v>653.19000000000005</v>
      </c>
      <c r="AH2" s="30">
        <v>654.28</v>
      </c>
      <c r="AI2" s="30">
        <v>655.8</v>
      </c>
      <c r="AJ2" s="30">
        <v>655.8</v>
      </c>
      <c r="AK2" s="30">
        <v>655.8</v>
      </c>
      <c r="AL2" s="30">
        <v>655.8</v>
      </c>
      <c r="AM2" s="30">
        <v>655.8</v>
      </c>
      <c r="AN2" s="30">
        <v>655.8</v>
      </c>
      <c r="AO2" s="30">
        <v>655.8</v>
      </c>
      <c r="AP2" s="30">
        <v>655.8</v>
      </c>
      <c r="AQ2" s="30">
        <v>655.8</v>
      </c>
      <c r="AR2" s="30">
        <v>655.8</v>
      </c>
      <c r="AS2" s="30">
        <v>655.8</v>
      </c>
    </row>
    <row r="3" spans="1:45" x14ac:dyDescent="0.35">
      <c r="A3" s="76" t="str">
        <f>A2</f>
        <v>HIGH_PMR1</v>
      </c>
      <c r="B3" s="51" t="s">
        <v>10</v>
      </c>
      <c r="C3" s="51" t="s">
        <v>9</v>
      </c>
      <c r="D3" s="3">
        <v>667.51683700000001</v>
      </c>
      <c r="E3" s="3">
        <v>669.91817549999996</v>
      </c>
      <c r="F3" s="3">
        <v>670.59781769999995</v>
      </c>
      <c r="G3" s="3">
        <v>676.0350866</v>
      </c>
      <c r="H3" s="3">
        <v>680.6389484</v>
      </c>
      <c r="I3" s="3">
        <v>685.52926839999998</v>
      </c>
      <c r="J3" s="30">
        <v>429.64</v>
      </c>
      <c r="K3" s="30">
        <v>471.39</v>
      </c>
      <c r="L3" s="30">
        <v>513.07000000000005</v>
      </c>
      <c r="M3" s="30">
        <v>558.9</v>
      </c>
      <c r="N3" s="30">
        <v>606.11</v>
      </c>
      <c r="O3" s="30">
        <v>611.09</v>
      </c>
      <c r="P3" s="30">
        <v>616.36</v>
      </c>
      <c r="Q3" s="30">
        <v>615.87</v>
      </c>
      <c r="R3" s="30">
        <v>619.91</v>
      </c>
      <c r="S3" s="30">
        <v>627.52</v>
      </c>
      <c r="T3" s="30">
        <v>629.52</v>
      </c>
      <c r="U3" s="30">
        <v>629.79999999999995</v>
      </c>
      <c r="V3" s="30">
        <v>636.17999999999995</v>
      </c>
      <c r="W3" s="30">
        <v>629.96</v>
      </c>
      <c r="X3" s="30">
        <v>631.33000000000004</v>
      </c>
      <c r="Y3" s="30">
        <v>632.86</v>
      </c>
      <c r="Z3" s="30">
        <v>637.49</v>
      </c>
      <c r="AA3" s="30">
        <v>640.96</v>
      </c>
      <c r="AB3" s="30">
        <v>641.74</v>
      </c>
      <c r="AC3" s="30">
        <v>644.66999999999996</v>
      </c>
      <c r="AD3" s="30">
        <v>643.6</v>
      </c>
      <c r="AE3" s="30">
        <v>644.79</v>
      </c>
      <c r="AF3" s="30">
        <v>647.71</v>
      </c>
      <c r="AG3" s="30">
        <v>653.19000000000005</v>
      </c>
      <c r="AH3" s="30">
        <v>654.28</v>
      </c>
      <c r="AI3" s="30">
        <v>655.8</v>
      </c>
      <c r="AJ3" s="30">
        <v>655.8</v>
      </c>
      <c r="AK3" s="30">
        <v>655.8</v>
      </c>
      <c r="AL3" s="30">
        <v>655.8</v>
      </c>
      <c r="AM3" s="30">
        <v>655.8</v>
      </c>
      <c r="AN3" s="30">
        <v>655.8</v>
      </c>
      <c r="AO3" s="30">
        <v>655.8</v>
      </c>
      <c r="AP3" s="30">
        <v>655.8</v>
      </c>
      <c r="AQ3" s="30">
        <v>655.8</v>
      </c>
      <c r="AR3" s="30">
        <v>655.8</v>
      </c>
      <c r="AS3" s="30">
        <v>655.8</v>
      </c>
    </row>
    <row r="4" spans="1:45" x14ac:dyDescent="0.35">
      <c r="A4" s="76" t="str">
        <f t="shared" ref="A4:A13" si="1">A3</f>
        <v>HIGH_PMR1</v>
      </c>
      <c r="B4" s="50" t="s">
        <v>11</v>
      </c>
      <c r="C4" s="50" t="s">
        <v>9</v>
      </c>
      <c r="D4" s="7">
        <v>184</v>
      </c>
      <c r="E4" s="7">
        <v>184</v>
      </c>
      <c r="F4" s="7">
        <v>184</v>
      </c>
      <c r="G4" s="7">
        <v>184</v>
      </c>
      <c r="H4" s="7">
        <v>184</v>
      </c>
      <c r="I4" s="7">
        <v>184</v>
      </c>
      <c r="J4" s="15">
        <v>244.67</v>
      </c>
      <c r="K4" s="15">
        <v>271.33</v>
      </c>
      <c r="L4" s="15">
        <v>297.95</v>
      </c>
      <c r="M4" s="15">
        <v>327.22000000000003</v>
      </c>
      <c r="N4" s="15">
        <v>357.37</v>
      </c>
      <c r="O4" s="15">
        <v>360.55</v>
      </c>
      <c r="P4" s="15">
        <v>363.92</v>
      </c>
      <c r="Q4" s="15">
        <v>363.61</v>
      </c>
      <c r="R4" s="15">
        <v>366.18</v>
      </c>
      <c r="S4" s="15">
        <v>371.04</v>
      </c>
      <c r="T4" s="15">
        <v>372.32</v>
      </c>
      <c r="U4" s="15">
        <v>372.5</v>
      </c>
      <c r="V4" s="15">
        <v>376.58</v>
      </c>
      <c r="W4" s="15">
        <v>372.6</v>
      </c>
      <c r="X4" s="15">
        <v>373.48</v>
      </c>
      <c r="Y4" s="15">
        <v>374.46</v>
      </c>
      <c r="Z4" s="15">
        <v>377.41</v>
      </c>
      <c r="AA4" s="15">
        <v>379.63</v>
      </c>
      <c r="AB4" s="15">
        <v>380.13</v>
      </c>
      <c r="AC4" s="15">
        <v>382</v>
      </c>
      <c r="AD4" s="15">
        <v>381.32</v>
      </c>
      <c r="AE4" s="15">
        <v>382.08</v>
      </c>
      <c r="AF4" s="15">
        <v>383.94</v>
      </c>
      <c r="AG4" s="15">
        <v>387.44</v>
      </c>
      <c r="AH4" s="15">
        <v>388.14</v>
      </c>
      <c r="AI4" s="15">
        <v>389.1</v>
      </c>
      <c r="AJ4" s="15">
        <f>AI4</f>
        <v>389.1</v>
      </c>
      <c r="AK4" s="15">
        <f t="shared" ref="AK4:AS4" si="2">AJ4</f>
        <v>389.1</v>
      </c>
      <c r="AL4" s="15">
        <f t="shared" si="2"/>
        <v>389.1</v>
      </c>
      <c r="AM4" s="15">
        <f t="shared" si="2"/>
        <v>389.1</v>
      </c>
      <c r="AN4" s="15">
        <f t="shared" si="2"/>
        <v>389.1</v>
      </c>
      <c r="AO4" s="15">
        <f t="shared" si="2"/>
        <v>389.1</v>
      </c>
      <c r="AP4" s="15">
        <f t="shared" si="2"/>
        <v>389.1</v>
      </c>
      <c r="AQ4" s="15">
        <f t="shared" si="2"/>
        <v>389.1</v>
      </c>
      <c r="AR4" s="15">
        <f t="shared" si="2"/>
        <v>389.1</v>
      </c>
      <c r="AS4" s="15">
        <f t="shared" si="2"/>
        <v>389.1</v>
      </c>
    </row>
    <row r="5" spans="1:45" x14ac:dyDescent="0.35">
      <c r="A5" s="76" t="str">
        <f t="shared" si="1"/>
        <v>HIGH_PMR1</v>
      </c>
      <c r="B5" s="51" t="s">
        <v>12</v>
      </c>
      <c r="C5" s="51" t="s">
        <v>9</v>
      </c>
      <c r="D5" s="3">
        <v>184</v>
      </c>
      <c r="E5" s="3">
        <v>184</v>
      </c>
      <c r="F5" s="3">
        <v>184</v>
      </c>
      <c r="G5" s="3">
        <v>184</v>
      </c>
      <c r="H5" s="3">
        <v>184</v>
      </c>
      <c r="I5" s="3">
        <v>184</v>
      </c>
      <c r="J5" s="15">
        <f t="shared" ref="J5:X5" si="3">J4</f>
        <v>244.67</v>
      </c>
      <c r="K5" s="15">
        <f t="shared" si="3"/>
        <v>271.33</v>
      </c>
      <c r="L5" s="15">
        <f t="shared" si="3"/>
        <v>297.95</v>
      </c>
      <c r="M5" s="15">
        <f t="shared" si="3"/>
        <v>327.22000000000003</v>
      </c>
      <c r="N5" s="15">
        <f t="shared" si="3"/>
        <v>357.37</v>
      </c>
      <c r="O5" s="15">
        <f t="shared" si="3"/>
        <v>360.55</v>
      </c>
      <c r="P5" s="15">
        <f t="shared" si="3"/>
        <v>363.92</v>
      </c>
      <c r="Q5" s="15">
        <f t="shared" si="3"/>
        <v>363.61</v>
      </c>
      <c r="R5" s="15">
        <f t="shared" si="3"/>
        <v>366.18</v>
      </c>
      <c r="S5" s="15">
        <f t="shared" si="3"/>
        <v>371.04</v>
      </c>
      <c r="T5" s="15">
        <f t="shared" si="3"/>
        <v>372.32</v>
      </c>
      <c r="U5" s="15">
        <f t="shared" si="3"/>
        <v>372.5</v>
      </c>
      <c r="V5" s="15">
        <f t="shared" si="3"/>
        <v>376.58</v>
      </c>
      <c r="W5" s="15">
        <f t="shared" si="3"/>
        <v>372.6</v>
      </c>
      <c r="X5" s="15">
        <f t="shared" si="3"/>
        <v>373.48</v>
      </c>
      <c r="Y5" s="30">
        <f t="shared" ref="Y5:AS5" si="4">Y2</f>
        <v>632.86</v>
      </c>
      <c r="Z5" s="30">
        <f t="shared" si="4"/>
        <v>637.49</v>
      </c>
      <c r="AA5" s="30">
        <f t="shared" si="4"/>
        <v>640.96</v>
      </c>
      <c r="AB5" s="30">
        <f t="shared" si="4"/>
        <v>641.74</v>
      </c>
      <c r="AC5" s="30">
        <f t="shared" si="4"/>
        <v>644.66999999999996</v>
      </c>
      <c r="AD5" s="30">
        <f t="shared" si="4"/>
        <v>643.6</v>
      </c>
      <c r="AE5" s="30">
        <f t="shared" si="4"/>
        <v>644.79</v>
      </c>
      <c r="AF5" s="30">
        <f t="shared" si="4"/>
        <v>647.71</v>
      </c>
      <c r="AG5" s="30">
        <f t="shared" si="4"/>
        <v>653.19000000000005</v>
      </c>
      <c r="AH5" s="30">
        <f t="shared" si="4"/>
        <v>654.28</v>
      </c>
      <c r="AI5" s="30">
        <f t="shared" si="4"/>
        <v>655.8</v>
      </c>
      <c r="AJ5" s="30">
        <f t="shared" si="4"/>
        <v>655.8</v>
      </c>
      <c r="AK5" s="30">
        <f t="shared" si="4"/>
        <v>655.8</v>
      </c>
      <c r="AL5" s="30">
        <f t="shared" si="4"/>
        <v>655.8</v>
      </c>
      <c r="AM5" s="30">
        <f t="shared" si="4"/>
        <v>655.8</v>
      </c>
      <c r="AN5" s="30">
        <f t="shared" si="4"/>
        <v>655.8</v>
      </c>
      <c r="AO5" s="30">
        <f t="shared" si="4"/>
        <v>655.8</v>
      </c>
      <c r="AP5" s="30">
        <f t="shared" si="4"/>
        <v>655.8</v>
      </c>
      <c r="AQ5" s="30">
        <f t="shared" si="4"/>
        <v>655.8</v>
      </c>
      <c r="AR5" s="30">
        <f t="shared" si="4"/>
        <v>655.8</v>
      </c>
      <c r="AS5" s="30">
        <f t="shared" si="4"/>
        <v>655.8</v>
      </c>
    </row>
    <row r="6" spans="1:45" x14ac:dyDescent="0.35">
      <c r="A6" s="76" t="str">
        <f t="shared" si="1"/>
        <v>HIGH_PMR1</v>
      </c>
      <c r="B6" s="50" t="s">
        <v>13</v>
      </c>
      <c r="C6" s="50" t="s">
        <v>9</v>
      </c>
      <c r="D6" s="7">
        <v>184</v>
      </c>
      <c r="E6" s="7">
        <v>184</v>
      </c>
      <c r="F6" s="7">
        <v>184</v>
      </c>
      <c r="G6" s="7">
        <v>184</v>
      </c>
      <c r="H6" s="7">
        <v>184</v>
      </c>
      <c r="I6" s="7">
        <v>184</v>
      </c>
      <c r="J6" s="15">
        <f t="shared" ref="J6:AC6" si="5">J4</f>
        <v>244.67</v>
      </c>
      <c r="K6" s="15">
        <f t="shared" si="5"/>
        <v>271.33</v>
      </c>
      <c r="L6" s="15">
        <f t="shared" si="5"/>
        <v>297.95</v>
      </c>
      <c r="M6" s="15">
        <f t="shared" si="5"/>
        <v>327.22000000000003</v>
      </c>
      <c r="N6" s="15">
        <f t="shared" si="5"/>
        <v>357.37</v>
      </c>
      <c r="O6" s="15">
        <f t="shared" si="5"/>
        <v>360.55</v>
      </c>
      <c r="P6" s="15">
        <f t="shared" si="5"/>
        <v>363.92</v>
      </c>
      <c r="Q6" s="15">
        <f t="shared" si="5"/>
        <v>363.61</v>
      </c>
      <c r="R6" s="15">
        <f t="shared" si="5"/>
        <v>366.18</v>
      </c>
      <c r="S6" s="15">
        <f t="shared" si="5"/>
        <v>371.04</v>
      </c>
      <c r="T6" s="15">
        <f t="shared" si="5"/>
        <v>372.32</v>
      </c>
      <c r="U6" s="15">
        <f t="shared" si="5"/>
        <v>372.5</v>
      </c>
      <c r="V6" s="15">
        <f t="shared" si="5"/>
        <v>376.58</v>
      </c>
      <c r="W6" s="15">
        <f t="shared" si="5"/>
        <v>372.6</v>
      </c>
      <c r="X6" s="15">
        <f t="shared" si="5"/>
        <v>373.48</v>
      </c>
      <c r="Y6" s="15">
        <f t="shared" si="5"/>
        <v>374.46</v>
      </c>
      <c r="Z6" s="15">
        <f t="shared" si="5"/>
        <v>377.41</v>
      </c>
      <c r="AA6" s="15">
        <f t="shared" si="5"/>
        <v>379.63</v>
      </c>
      <c r="AB6" s="15">
        <f t="shared" si="5"/>
        <v>380.13</v>
      </c>
      <c r="AC6" s="15">
        <f t="shared" si="5"/>
        <v>382</v>
      </c>
      <c r="AD6" s="31">
        <f t="shared" ref="AD6:AS6" si="6">AD2</f>
        <v>643.6</v>
      </c>
      <c r="AE6" s="31">
        <f t="shared" si="6"/>
        <v>644.79</v>
      </c>
      <c r="AF6" s="31">
        <f t="shared" si="6"/>
        <v>647.71</v>
      </c>
      <c r="AG6" s="31">
        <f t="shared" si="6"/>
        <v>653.19000000000005</v>
      </c>
      <c r="AH6" s="31">
        <f t="shared" si="6"/>
        <v>654.28</v>
      </c>
      <c r="AI6" s="31">
        <f t="shared" si="6"/>
        <v>655.8</v>
      </c>
      <c r="AJ6" s="31">
        <f t="shared" si="6"/>
        <v>655.8</v>
      </c>
      <c r="AK6" s="31">
        <f t="shared" si="6"/>
        <v>655.8</v>
      </c>
      <c r="AL6" s="31">
        <f t="shared" si="6"/>
        <v>655.8</v>
      </c>
      <c r="AM6" s="31">
        <f t="shared" si="6"/>
        <v>655.8</v>
      </c>
      <c r="AN6" s="31">
        <f t="shared" si="6"/>
        <v>655.8</v>
      </c>
      <c r="AO6" s="31">
        <f t="shared" si="6"/>
        <v>655.8</v>
      </c>
      <c r="AP6" s="31">
        <f t="shared" si="6"/>
        <v>655.8</v>
      </c>
      <c r="AQ6" s="31">
        <f t="shared" si="6"/>
        <v>655.8</v>
      </c>
      <c r="AR6" s="31">
        <f t="shared" si="6"/>
        <v>655.8</v>
      </c>
      <c r="AS6" s="31">
        <f t="shared" si="6"/>
        <v>655.8</v>
      </c>
    </row>
    <row r="7" spans="1:45" x14ac:dyDescent="0.35">
      <c r="A7" s="76" t="str">
        <f t="shared" si="1"/>
        <v>HIGH_PMR1</v>
      </c>
      <c r="B7" s="51" t="s">
        <v>14</v>
      </c>
      <c r="C7" s="51" t="s">
        <v>9</v>
      </c>
      <c r="D7" s="3">
        <v>184</v>
      </c>
      <c r="E7" s="3">
        <v>184</v>
      </c>
      <c r="F7" s="3">
        <v>184</v>
      </c>
      <c r="G7" s="3">
        <v>184</v>
      </c>
      <c r="H7" s="3">
        <v>184</v>
      </c>
      <c r="I7" s="3">
        <v>184</v>
      </c>
      <c r="J7" s="15">
        <f t="shared" ref="J7:AH7" si="7">J4</f>
        <v>244.67</v>
      </c>
      <c r="K7" s="15">
        <f t="shared" si="7"/>
        <v>271.33</v>
      </c>
      <c r="L7" s="15">
        <f t="shared" si="7"/>
        <v>297.95</v>
      </c>
      <c r="M7" s="15">
        <f t="shared" si="7"/>
        <v>327.22000000000003</v>
      </c>
      <c r="N7" s="15">
        <f t="shared" si="7"/>
        <v>357.37</v>
      </c>
      <c r="O7" s="15">
        <f t="shared" si="7"/>
        <v>360.55</v>
      </c>
      <c r="P7" s="15">
        <f t="shared" si="7"/>
        <v>363.92</v>
      </c>
      <c r="Q7" s="15">
        <f t="shared" si="7"/>
        <v>363.61</v>
      </c>
      <c r="R7" s="15">
        <f t="shared" si="7"/>
        <v>366.18</v>
      </c>
      <c r="S7" s="15">
        <f t="shared" si="7"/>
        <v>371.04</v>
      </c>
      <c r="T7" s="15">
        <f t="shared" si="7"/>
        <v>372.32</v>
      </c>
      <c r="U7" s="15">
        <f t="shared" si="7"/>
        <v>372.5</v>
      </c>
      <c r="V7" s="15">
        <f t="shared" si="7"/>
        <v>376.58</v>
      </c>
      <c r="W7" s="15">
        <f t="shared" si="7"/>
        <v>372.6</v>
      </c>
      <c r="X7" s="15">
        <f t="shared" si="7"/>
        <v>373.48</v>
      </c>
      <c r="Y7" s="15">
        <f t="shared" si="7"/>
        <v>374.46</v>
      </c>
      <c r="Z7" s="15">
        <f t="shared" si="7"/>
        <v>377.41</v>
      </c>
      <c r="AA7" s="15">
        <f t="shared" si="7"/>
        <v>379.63</v>
      </c>
      <c r="AB7" s="15">
        <f t="shared" si="7"/>
        <v>380.13</v>
      </c>
      <c r="AC7" s="15">
        <f t="shared" si="7"/>
        <v>382</v>
      </c>
      <c r="AD7" s="15">
        <f t="shared" si="7"/>
        <v>381.32</v>
      </c>
      <c r="AE7" s="15">
        <f t="shared" si="7"/>
        <v>382.08</v>
      </c>
      <c r="AF7" s="15">
        <f t="shared" si="7"/>
        <v>383.94</v>
      </c>
      <c r="AG7" s="15">
        <f t="shared" si="7"/>
        <v>387.44</v>
      </c>
      <c r="AH7" s="15">
        <f t="shared" si="7"/>
        <v>388.14</v>
      </c>
      <c r="AI7" s="30">
        <f t="shared" ref="AI7:AS7" si="8">AI2</f>
        <v>655.8</v>
      </c>
      <c r="AJ7" s="30">
        <f t="shared" si="8"/>
        <v>655.8</v>
      </c>
      <c r="AK7" s="30">
        <f t="shared" si="8"/>
        <v>655.8</v>
      </c>
      <c r="AL7" s="30">
        <f t="shared" si="8"/>
        <v>655.8</v>
      </c>
      <c r="AM7" s="30">
        <f t="shared" si="8"/>
        <v>655.8</v>
      </c>
      <c r="AN7" s="30">
        <f t="shared" si="8"/>
        <v>655.8</v>
      </c>
      <c r="AO7" s="30">
        <f t="shared" si="8"/>
        <v>655.8</v>
      </c>
      <c r="AP7" s="30">
        <f t="shared" si="8"/>
        <v>655.8</v>
      </c>
      <c r="AQ7" s="30">
        <f t="shared" si="8"/>
        <v>655.8</v>
      </c>
      <c r="AR7" s="30">
        <f t="shared" si="8"/>
        <v>655.8</v>
      </c>
      <c r="AS7" s="30">
        <f t="shared" si="8"/>
        <v>655.8</v>
      </c>
    </row>
    <row r="8" spans="1:45" x14ac:dyDescent="0.35">
      <c r="A8" s="76" t="str">
        <f t="shared" si="1"/>
        <v>HIGH_PMR1</v>
      </c>
      <c r="B8" s="50" t="s">
        <v>15</v>
      </c>
      <c r="C8" s="50" t="s">
        <v>9</v>
      </c>
      <c r="D8" s="7">
        <v>184</v>
      </c>
      <c r="E8" s="7">
        <v>184</v>
      </c>
      <c r="F8" s="7">
        <v>184</v>
      </c>
      <c r="G8" s="7">
        <v>184</v>
      </c>
      <c r="H8" s="7">
        <v>184</v>
      </c>
      <c r="I8" s="7">
        <v>184</v>
      </c>
      <c r="J8" s="15">
        <f>J4</f>
        <v>244.67</v>
      </c>
      <c r="K8" s="15">
        <f t="shared" ref="K8:AM8" si="9">K4</f>
        <v>271.33</v>
      </c>
      <c r="L8" s="15">
        <f t="shared" si="9"/>
        <v>297.95</v>
      </c>
      <c r="M8" s="15">
        <f t="shared" si="9"/>
        <v>327.22000000000003</v>
      </c>
      <c r="N8" s="15">
        <f t="shared" si="9"/>
        <v>357.37</v>
      </c>
      <c r="O8" s="15">
        <f t="shared" si="9"/>
        <v>360.55</v>
      </c>
      <c r="P8" s="15">
        <f t="shared" si="9"/>
        <v>363.92</v>
      </c>
      <c r="Q8" s="15">
        <f t="shared" si="9"/>
        <v>363.61</v>
      </c>
      <c r="R8" s="15">
        <f t="shared" si="9"/>
        <v>366.18</v>
      </c>
      <c r="S8" s="15">
        <f t="shared" si="9"/>
        <v>371.04</v>
      </c>
      <c r="T8" s="15">
        <f t="shared" si="9"/>
        <v>372.32</v>
      </c>
      <c r="U8" s="15">
        <f t="shared" si="9"/>
        <v>372.5</v>
      </c>
      <c r="V8" s="15">
        <f t="shared" si="9"/>
        <v>376.58</v>
      </c>
      <c r="W8" s="15">
        <f t="shared" si="9"/>
        <v>372.6</v>
      </c>
      <c r="X8" s="15">
        <f t="shared" si="9"/>
        <v>373.48</v>
      </c>
      <c r="Y8" s="15">
        <f t="shared" si="9"/>
        <v>374.46</v>
      </c>
      <c r="Z8" s="15">
        <f t="shared" si="9"/>
        <v>377.41</v>
      </c>
      <c r="AA8" s="15">
        <f t="shared" si="9"/>
        <v>379.63</v>
      </c>
      <c r="AB8" s="15">
        <f t="shared" si="9"/>
        <v>380.13</v>
      </c>
      <c r="AC8" s="15">
        <f t="shared" si="9"/>
        <v>382</v>
      </c>
      <c r="AD8" s="15">
        <f t="shared" si="9"/>
        <v>381.32</v>
      </c>
      <c r="AE8" s="15">
        <f t="shared" si="9"/>
        <v>382.08</v>
      </c>
      <c r="AF8" s="15">
        <f t="shared" si="9"/>
        <v>383.94</v>
      </c>
      <c r="AG8" s="15">
        <f t="shared" si="9"/>
        <v>387.44</v>
      </c>
      <c r="AH8" s="15">
        <f t="shared" si="9"/>
        <v>388.14</v>
      </c>
      <c r="AI8" s="15">
        <f t="shared" si="9"/>
        <v>389.1</v>
      </c>
      <c r="AJ8" s="15">
        <f t="shared" si="9"/>
        <v>389.1</v>
      </c>
      <c r="AK8" s="15">
        <f t="shared" si="9"/>
        <v>389.1</v>
      </c>
      <c r="AL8" s="15">
        <f t="shared" si="9"/>
        <v>389.1</v>
      </c>
      <c r="AM8" s="15">
        <f t="shared" si="9"/>
        <v>389.1</v>
      </c>
      <c r="AN8" s="31">
        <f t="shared" ref="AN8:AS8" si="10">AN7</f>
        <v>655.8</v>
      </c>
      <c r="AO8" s="31">
        <f t="shared" si="10"/>
        <v>655.8</v>
      </c>
      <c r="AP8" s="31">
        <f t="shared" si="10"/>
        <v>655.8</v>
      </c>
      <c r="AQ8" s="31">
        <f t="shared" si="10"/>
        <v>655.8</v>
      </c>
      <c r="AR8" s="31">
        <f t="shared" si="10"/>
        <v>655.8</v>
      </c>
      <c r="AS8" s="31">
        <f t="shared" si="10"/>
        <v>655.8</v>
      </c>
    </row>
    <row r="9" spans="1:45" x14ac:dyDescent="0.35">
      <c r="A9" s="76" t="str">
        <f t="shared" si="1"/>
        <v>HIGH_PMR1</v>
      </c>
      <c r="B9" s="51" t="s">
        <v>16</v>
      </c>
      <c r="C9" s="51" t="s">
        <v>9</v>
      </c>
      <c r="D9" s="3">
        <v>184</v>
      </c>
      <c r="E9" s="3">
        <v>184</v>
      </c>
      <c r="F9" s="3">
        <v>184</v>
      </c>
      <c r="G9" s="3">
        <v>184</v>
      </c>
      <c r="H9" s="3">
        <v>184</v>
      </c>
      <c r="I9" s="3">
        <v>184</v>
      </c>
      <c r="J9" s="15">
        <f>J4</f>
        <v>244.67</v>
      </c>
      <c r="K9" s="15">
        <f t="shared" ref="K9:AR9" si="11">K4</f>
        <v>271.33</v>
      </c>
      <c r="L9" s="15">
        <f t="shared" si="11"/>
        <v>297.95</v>
      </c>
      <c r="M9" s="15">
        <f t="shared" si="11"/>
        <v>327.22000000000003</v>
      </c>
      <c r="N9" s="15">
        <f t="shared" si="11"/>
        <v>357.37</v>
      </c>
      <c r="O9" s="15">
        <f t="shared" si="11"/>
        <v>360.55</v>
      </c>
      <c r="P9" s="15">
        <f t="shared" si="11"/>
        <v>363.92</v>
      </c>
      <c r="Q9" s="15">
        <f t="shared" si="11"/>
        <v>363.61</v>
      </c>
      <c r="R9" s="15">
        <f t="shared" si="11"/>
        <v>366.18</v>
      </c>
      <c r="S9" s="15">
        <f t="shared" si="11"/>
        <v>371.04</v>
      </c>
      <c r="T9" s="15">
        <f t="shared" si="11"/>
        <v>372.32</v>
      </c>
      <c r="U9" s="15">
        <f t="shared" si="11"/>
        <v>372.5</v>
      </c>
      <c r="V9" s="15">
        <f t="shared" si="11"/>
        <v>376.58</v>
      </c>
      <c r="W9" s="15">
        <f t="shared" si="11"/>
        <v>372.6</v>
      </c>
      <c r="X9" s="15">
        <f t="shared" si="11"/>
        <v>373.48</v>
      </c>
      <c r="Y9" s="15">
        <f t="shared" si="11"/>
        <v>374.46</v>
      </c>
      <c r="Z9" s="15">
        <f t="shared" si="11"/>
        <v>377.41</v>
      </c>
      <c r="AA9" s="15">
        <f t="shared" si="11"/>
        <v>379.63</v>
      </c>
      <c r="AB9" s="15">
        <f t="shared" si="11"/>
        <v>380.13</v>
      </c>
      <c r="AC9" s="15">
        <f t="shared" si="11"/>
        <v>382</v>
      </c>
      <c r="AD9" s="15">
        <f t="shared" si="11"/>
        <v>381.32</v>
      </c>
      <c r="AE9" s="15">
        <f t="shared" si="11"/>
        <v>382.08</v>
      </c>
      <c r="AF9" s="15">
        <f t="shared" si="11"/>
        <v>383.94</v>
      </c>
      <c r="AG9" s="15">
        <f t="shared" si="11"/>
        <v>387.44</v>
      </c>
      <c r="AH9" s="15">
        <f t="shared" si="11"/>
        <v>388.14</v>
      </c>
      <c r="AI9" s="15">
        <f t="shared" si="11"/>
        <v>389.1</v>
      </c>
      <c r="AJ9" s="15">
        <f t="shared" si="11"/>
        <v>389.1</v>
      </c>
      <c r="AK9" s="15">
        <f t="shared" si="11"/>
        <v>389.1</v>
      </c>
      <c r="AL9" s="15">
        <f t="shared" si="11"/>
        <v>389.1</v>
      </c>
      <c r="AM9" s="15">
        <f t="shared" si="11"/>
        <v>389.1</v>
      </c>
      <c r="AN9" s="15">
        <f t="shared" si="11"/>
        <v>389.1</v>
      </c>
      <c r="AO9" s="15">
        <f t="shared" si="11"/>
        <v>389.1</v>
      </c>
      <c r="AP9" s="15">
        <f t="shared" si="11"/>
        <v>389.1</v>
      </c>
      <c r="AQ9" s="15">
        <f t="shared" si="11"/>
        <v>389.1</v>
      </c>
      <c r="AR9" s="15">
        <f t="shared" si="11"/>
        <v>389.1</v>
      </c>
      <c r="AS9" s="30">
        <f>AS7</f>
        <v>655.8</v>
      </c>
    </row>
    <row r="10" spans="1:45" x14ac:dyDescent="0.35">
      <c r="A10" s="76" t="str">
        <f t="shared" si="1"/>
        <v>HIGH_PMR1</v>
      </c>
      <c r="B10" s="51" t="s">
        <v>22</v>
      </c>
      <c r="C10" s="51" t="s">
        <v>9</v>
      </c>
      <c r="D10" s="3">
        <v>45.18</v>
      </c>
      <c r="E10" s="3">
        <v>45.18</v>
      </c>
      <c r="F10" s="3">
        <v>45.18</v>
      </c>
      <c r="G10" s="3">
        <v>45.18</v>
      </c>
      <c r="H10" s="3">
        <v>45.18</v>
      </c>
      <c r="I10" s="3">
        <v>45.18</v>
      </c>
      <c r="J10" s="55">
        <v>45.18</v>
      </c>
      <c r="K10" s="55">
        <v>45.18</v>
      </c>
      <c r="L10" s="55">
        <v>45.18</v>
      </c>
      <c r="M10" s="55">
        <v>45.18</v>
      </c>
      <c r="N10" s="55">
        <v>45.18</v>
      </c>
      <c r="O10" s="55">
        <v>45.18</v>
      </c>
      <c r="P10" s="55">
        <v>45.18</v>
      </c>
      <c r="Q10" s="55">
        <v>45.18</v>
      </c>
      <c r="R10" s="55">
        <v>45.18</v>
      </c>
      <c r="S10" s="55">
        <v>45.18</v>
      </c>
      <c r="T10" s="55">
        <v>45.18</v>
      </c>
      <c r="U10" s="55">
        <v>45.18</v>
      </c>
      <c r="V10" s="55">
        <v>45.18</v>
      </c>
      <c r="W10" s="55">
        <v>45.18</v>
      </c>
      <c r="X10" s="55">
        <v>45.18</v>
      </c>
      <c r="Y10" s="55">
        <v>45.18</v>
      </c>
      <c r="Z10" s="55">
        <v>45.18</v>
      </c>
      <c r="AA10" s="55">
        <v>45.18</v>
      </c>
      <c r="AB10" s="55">
        <v>45.18</v>
      </c>
      <c r="AC10" s="55">
        <v>45.18</v>
      </c>
      <c r="AD10" s="55">
        <v>45.18</v>
      </c>
      <c r="AE10" s="55">
        <v>45.18</v>
      </c>
      <c r="AF10" s="55">
        <v>45.18</v>
      </c>
      <c r="AG10" s="55">
        <v>45.18</v>
      </c>
      <c r="AH10" s="55">
        <v>45.18</v>
      </c>
      <c r="AI10" s="55">
        <v>45.18</v>
      </c>
      <c r="AJ10" s="55">
        <f t="shared" ref="AJ10:AJ13" si="12">AI10</f>
        <v>45.18</v>
      </c>
      <c r="AK10" s="55">
        <v>45</v>
      </c>
      <c r="AL10" s="55">
        <v>45</v>
      </c>
      <c r="AM10" s="55">
        <v>45</v>
      </c>
      <c r="AN10" s="55">
        <v>45</v>
      </c>
      <c r="AO10" s="55">
        <v>45</v>
      </c>
      <c r="AP10" s="55">
        <v>45</v>
      </c>
      <c r="AQ10" s="55">
        <v>45</v>
      </c>
      <c r="AR10" s="55">
        <v>45</v>
      </c>
      <c r="AS10" s="55">
        <v>45</v>
      </c>
    </row>
    <row r="11" spans="1:45" x14ac:dyDescent="0.35">
      <c r="A11" s="76" t="str">
        <f t="shared" si="1"/>
        <v>HIGH_PMR1</v>
      </c>
      <c r="B11" s="50" t="s">
        <v>23</v>
      </c>
      <c r="C11" s="50" t="s">
        <v>9</v>
      </c>
      <c r="D11" s="7">
        <v>18</v>
      </c>
      <c r="E11" s="7">
        <v>18</v>
      </c>
      <c r="F11" s="7">
        <v>18</v>
      </c>
      <c r="G11" s="7">
        <v>18</v>
      </c>
      <c r="H11" s="7">
        <v>18</v>
      </c>
      <c r="I11" s="7">
        <v>18</v>
      </c>
      <c r="J11" s="56">
        <v>18</v>
      </c>
      <c r="K11" s="56">
        <v>18</v>
      </c>
      <c r="L11" s="56">
        <v>18</v>
      </c>
      <c r="M11" s="56">
        <v>18</v>
      </c>
      <c r="N11" s="56">
        <v>18</v>
      </c>
      <c r="O11" s="56">
        <v>18</v>
      </c>
      <c r="P11" s="56">
        <v>18</v>
      </c>
      <c r="Q11" s="56">
        <v>18</v>
      </c>
      <c r="R11" s="56">
        <v>18</v>
      </c>
      <c r="S11" s="56">
        <v>18</v>
      </c>
      <c r="T11" s="56">
        <v>18</v>
      </c>
      <c r="U11" s="56">
        <v>18</v>
      </c>
      <c r="V11" s="56">
        <v>18</v>
      </c>
      <c r="W11" s="56">
        <v>18</v>
      </c>
      <c r="X11" s="56">
        <v>18</v>
      </c>
      <c r="Y11" s="56">
        <v>18</v>
      </c>
      <c r="Z11" s="56">
        <v>18</v>
      </c>
      <c r="AA11" s="56">
        <v>18</v>
      </c>
      <c r="AB11" s="56">
        <v>18</v>
      </c>
      <c r="AC11" s="56">
        <v>18</v>
      </c>
      <c r="AD11" s="56">
        <v>18</v>
      </c>
      <c r="AE11" s="56">
        <v>18</v>
      </c>
      <c r="AF11" s="56">
        <v>18</v>
      </c>
      <c r="AG11" s="56">
        <v>18</v>
      </c>
      <c r="AH11" s="56">
        <v>18</v>
      </c>
      <c r="AI11" s="56">
        <v>18</v>
      </c>
      <c r="AJ11" s="56">
        <f t="shared" si="12"/>
        <v>18</v>
      </c>
      <c r="AK11" s="56">
        <f t="shared" ref="AK11:AS11" si="13">AJ11</f>
        <v>18</v>
      </c>
      <c r="AL11" s="56">
        <f t="shared" si="13"/>
        <v>18</v>
      </c>
      <c r="AM11" s="56">
        <f t="shared" si="13"/>
        <v>18</v>
      </c>
      <c r="AN11" s="56">
        <f t="shared" si="13"/>
        <v>18</v>
      </c>
      <c r="AO11" s="56">
        <f t="shared" si="13"/>
        <v>18</v>
      </c>
      <c r="AP11" s="56">
        <f t="shared" si="13"/>
        <v>18</v>
      </c>
      <c r="AQ11" s="56">
        <f t="shared" si="13"/>
        <v>18</v>
      </c>
      <c r="AR11" s="56">
        <f t="shared" si="13"/>
        <v>18</v>
      </c>
      <c r="AS11" s="56">
        <f t="shared" si="13"/>
        <v>18</v>
      </c>
    </row>
    <row r="12" spans="1:45" x14ac:dyDescent="0.35">
      <c r="A12" s="76" t="str">
        <f t="shared" si="1"/>
        <v>HIGH_PMR1</v>
      </c>
      <c r="B12" s="51" t="s">
        <v>24</v>
      </c>
      <c r="C12" s="51" t="s">
        <v>9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55">
        <v>0</v>
      </c>
      <c r="K12" s="55">
        <v>0</v>
      </c>
      <c r="L12" s="55">
        <v>0</v>
      </c>
      <c r="M12" s="55">
        <v>0</v>
      </c>
      <c r="N12" s="55">
        <v>0</v>
      </c>
      <c r="O12" s="55">
        <v>0</v>
      </c>
      <c r="P12" s="55">
        <v>0</v>
      </c>
      <c r="Q12" s="55">
        <v>0</v>
      </c>
      <c r="R12" s="55">
        <v>0</v>
      </c>
      <c r="S12" s="55">
        <v>0</v>
      </c>
      <c r="T12" s="55">
        <v>0</v>
      </c>
      <c r="U12" s="55">
        <v>0</v>
      </c>
      <c r="V12" s="55">
        <v>0</v>
      </c>
      <c r="W12" s="55">
        <v>0</v>
      </c>
      <c r="X12" s="55">
        <v>0</v>
      </c>
      <c r="Y12" s="55">
        <v>0</v>
      </c>
      <c r="Z12" s="55">
        <v>0</v>
      </c>
      <c r="AA12" s="55">
        <v>0</v>
      </c>
      <c r="AB12" s="55">
        <v>0</v>
      </c>
      <c r="AC12" s="55">
        <v>0</v>
      </c>
      <c r="AD12" s="55">
        <v>0</v>
      </c>
      <c r="AE12" s="55">
        <v>0</v>
      </c>
      <c r="AF12" s="55">
        <v>0</v>
      </c>
      <c r="AG12" s="55">
        <v>0</v>
      </c>
      <c r="AH12" s="55">
        <v>0</v>
      </c>
      <c r="AI12" s="55">
        <v>0</v>
      </c>
      <c r="AJ12" s="55">
        <f t="shared" si="12"/>
        <v>0</v>
      </c>
      <c r="AK12" s="55">
        <v>0</v>
      </c>
      <c r="AL12" s="55">
        <v>0</v>
      </c>
      <c r="AM12" s="55">
        <v>0</v>
      </c>
      <c r="AN12" s="55">
        <v>0</v>
      </c>
      <c r="AO12" s="55">
        <v>0</v>
      </c>
      <c r="AP12" s="55">
        <v>0</v>
      </c>
      <c r="AQ12" s="55">
        <v>0</v>
      </c>
      <c r="AR12" s="55">
        <v>0</v>
      </c>
      <c r="AS12" s="55">
        <v>0</v>
      </c>
    </row>
    <row r="13" spans="1:45" x14ac:dyDescent="0.35">
      <c r="A13" s="76" t="str">
        <f t="shared" si="1"/>
        <v>HIGH_PMR1</v>
      </c>
      <c r="B13" s="52" t="s">
        <v>17</v>
      </c>
      <c r="C13" s="52" t="s">
        <v>9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57">
        <v>0</v>
      </c>
      <c r="K13" s="57">
        <v>0</v>
      </c>
      <c r="L13" s="57">
        <v>0</v>
      </c>
      <c r="M13" s="57">
        <v>0</v>
      </c>
      <c r="N13" s="57">
        <v>0</v>
      </c>
      <c r="O13" s="57">
        <v>0</v>
      </c>
      <c r="P13" s="57">
        <v>0</v>
      </c>
      <c r="Q13" s="57">
        <v>0</v>
      </c>
      <c r="R13" s="57">
        <v>0</v>
      </c>
      <c r="S13" s="57">
        <v>0</v>
      </c>
      <c r="T13" s="57">
        <v>0</v>
      </c>
      <c r="U13" s="57">
        <v>0</v>
      </c>
      <c r="V13" s="57">
        <v>0</v>
      </c>
      <c r="W13" s="57">
        <v>0</v>
      </c>
      <c r="X13" s="57">
        <v>0</v>
      </c>
      <c r="Y13" s="57">
        <v>0</v>
      </c>
      <c r="Z13" s="57">
        <v>0</v>
      </c>
      <c r="AA13" s="57">
        <v>0</v>
      </c>
      <c r="AB13" s="57">
        <v>0</v>
      </c>
      <c r="AC13" s="57">
        <v>0</v>
      </c>
      <c r="AD13" s="57">
        <v>0</v>
      </c>
      <c r="AE13" s="57">
        <v>0</v>
      </c>
      <c r="AF13" s="57">
        <v>0</v>
      </c>
      <c r="AG13" s="57">
        <v>0</v>
      </c>
      <c r="AH13" s="57">
        <v>0</v>
      </c>
      <c r="AI13" s="57">
        <v>0</v>
      </c>
      <c r="AJ13" s="57">
        <f t="shared" si="12"/>
        <v>0</v>
      </c>
      <c r="AK13" s="57">
        <v>0</v>
      </c>
      <c r="AL13" s="57">
        <v>0</v>
      </c>
      <c r="AM13" s="57">
        <v>0</v>
      </c>
      <c r="AN13" s="57">
        <v>0</v>
      </c>
      <c r="AO13" s="57">
        <v>0</v>
      </c>
      <c r="AP13" s="57">
        <v>0</v>
      </c>
      <c r="AQ13" s="57">
        <v>0</v>
      </c>
      <c r="AR13" s="57">
        <v>0</v>
      </c>
      <c r="AS13" s="57">
        <v>0</v>
      </c>
    </row>
    <row r="14" spans="1:45" x14ac:dyDescent="0.35">
      <c r="A14" s="77" t="s">
        <v>66</v>
      </c>
      <c r="B14" s="51" t="s">
        <v>8</v>
      </c>
      <c r="C14" s="51" t="s">
        <v>9</v>
      </c>
      <c r="D14" s="3">
        <v>506.07771300000002</v>
      </c>
      <c r="E14" s="3">
        <v>509.25356820000002</v>
      </c>
      <c r="F14" s="3">
        <v>510.86624319999999</v>
      </c>
      <c r="G14" s="3">
        <v>513.04640219999999</v>
      </c>
      <c r="H14" s="3">
        <v>515.2993778</v>
      </c>
      <c r="I14" s="3">
        <v>517.93450080000002</v>
      </c>
      <c r="J14" s="32">
        <v>396.72</v>
      </c>
      <c r="K14" s="32">
        <v>405.87</v>
      </c>
      <c r="L14" s="32">
        <v>415.35</v>
      </c>
      <c r="M14" s="32">
        <v>425.96</v>
      </c>
      <c r="N14" s="32">
        <v>437.53</v>
      </c>
      <c r="O14" s="32">
        <v>440.21</v>
      </c>
      <c r="P14" s="32">
        <v>442.39</v>
      </c>
      <c r="Q14" s="32">
        <v>445.58</v>
      </c>
      <c r="R14" s="32">
        <v>447.37</v>
      </c>
      <c r="S14" s="32">
        <v>450.04</v>
      </c>
      <c r="T14" s="32">
        <v>453.37</v>
      </c>
      <c r="U14" s="32">
        <v>455.66</v>
      </c>
      <c r="V14" s="32">
        <v>458.2</v>
      </c>
      <c r="W14" s="32">
        <v>460.28</v>
      </c>
      <c r="X14" s="32">
        <v>462.36</v>
      </c>
      <c r="Y14" s="32">
        <v>464.39</v>
      </c>
      <c r="Z14" s="32">
        <v>466.51</v>
      </c>
      <c r="AA14" s="32">
        <v>468.23</v>
      </c>
      <c r="AB14" s="32">
        <v>469.7</v>
      </c>
      <c r="AC14" s="32">
        <v>471.57</v>
      </c>
      <c r="AD14" s="32">
        <v>472.95</v>
      </c>
      <c r="AE14" s="32">
        <v>475.98</v>
      </c>
      <c r="AF14" s="32">
        <v>477.6</v>
      </c>
      <c r="AG14" s="32">
        <v>479.89</v>
      </c>
      <c r="AH14" s="32">
        <v>482.55</v>
      </c>
      <c r="AI14" s="32">
        <v>483.6</v>
      </c>
      <c r="AJ14" s="33">
        <v>483.6</v>
      </c>
      <c r="AK14" s="33">
        <v>483.6</v>
      </c>
      <c r="AL14" s="33">
        <v>483.6</v>
      </c>
      <c r="AM14" s="33">
        <v>483.6</v>
      </c>
      <c r="AN14" s="33">
        <v>483.6</v>
      </c>
      <c r="AO14" s="33">
        <v>483.6</v>
      </c>
      <c r="AP14" s="33">
        <v>483.6</v>
      </c>
      <c r="AQ14" s="33">
        <v>483.6</v>
      </c>
      <c r="AR14" s="33">
        <v>483.6</v>
      </c>
      <c r="AS14" s="33">
        <v>483.6</v>
      </c>
    </row>
    <row r="15" spans="1:45" x14ac:dyDescent="0.35">
      <c r="A15" s="77" t="str">
        <f>A14</f>
        <v>BASE_PMR1</v>
      </c>
      <c r="B15" s="50" t="s">
        <v>10</v>
      </c>
      <c r="C15" s="50" t="s">
        <v>9</v>
      </c>
      <c r="D15" s="7">
        <v>506.07771300000002</v>
      </c>
      <c r="E15" s="7">
        <v>509.25356820000002</v>
      </c>
      <c r="F15" s="7">
        <v>510.86624319999999</v>
      </c>
      <c r="G15" s="7">
        <v>513.04640219999999</v>
      </c>
      <c r="H15" s="7">
        <v>515.2993778</v>
      </c>
      <c r="I15" s="7">
        <v>517.93450080000002</v>
      </c>
      <c r="J15" s="32">
        <v>396.72</v>
      </c>
      <c r="K15" s="32">
        <v>405.87</v>
      </c>
      <c r="L15" s="32">
        <v>415.35</v>
      </c>
      <c r="M15" s="32">
        <v>425.96</v>
      </c>
      <c r="N15" s="32">
        <v>437.53</v>
      </c>
      <c r="O15" s="32">
        <v>440.21</v>
      </c>
      <c r="P15" s="32">
        <v>442.39</v>
      </c>
      <c r="Q15" s="32">
        <v>445.58</v>
      </c>
      <c r="R15" s="32">
        <v>447.37</v>
      </c>
      <c r="S15" s="32">
        <v>450.04</v>
      </c>
      <c r="T15" s="32">
        <v>453.37</v>
      </c>
      <c r="U15" s="32">
        <v>455.66</v>
      </c>
      <c r="V15" s="32">
        <v>458.2</v>
      </c>
      <c r="W15" s="32">
        <v>460.28</v>
      </c>
      <c r="X15" s="32">
        <v>462.36</v>
      </c>
      <c r="Y15" s="32">
        <v>464.39</v>
      </c>
      <c r="Z15" s="32">
        <v>466.51</v>
      </c>
      <c r="AA15" s="32">
        <v>468.23</v>
      </c>
      <c r="AB15" s="32">
        <v>469.7</v>
      </c>
      <c r="AC15" s="32">
        <v>471.57</v>
      </c>
      <c r="AD15" s="32">
        <v>472.95</v>
      </c>
      <c r="AE15" s="32">
        <v>475.98</v>
      </c>
      <c r="AF15" s="32">
        <v>477.6</v>
      </c>
      <c r="AG15" s="32">
        <v>479.89</v>
      </c>
      <c r="AH15" s="32">
        <v>482.55</v>
      </c>
      <c r="AI15" s="32">
        <v>483.6</v>
      </c>
      <c r="AJ15" s="33">
        <v>483.6</v>
      </c>
      <c r="AK15" s="33">
        <v>483.6</v>
      </c>
      <c r="AL15" s="33">
        <v>483.6</v>
      </c>
      <c r="AM15" s="33">
        <v>483.6</v>
      </c>
      <c r="AN15" s="33">
        <v>483.6</v>
      </c>
      <c r="AO15" s="33">
        <v>483.6</v>
      </c>
      <c r="AP15" s="33">
        <v>483.6</v>
      </c>
      <c r="AQ15" s="33">
        <v>483.6</v>
      </c>
      <c r="AR15" s="33">
        <v>483.6</v>
      </c>
      <c r="AS15" s="33">
        <v>483.6</v>
      </c>
    </row>
    <row r="16" spans="1:45" x14ac:dyDescent="0.35">
      <c r="A16" s="77" t="str">
        <f t="shared" ref="A16:A25" si="14">A15</f>
        <v>BASE_PMR1</v>
      </c>
      <c r="B16" s="51" t="s">
        <v>11</v>
      </c>
      <c r="C16" s="51" t="s">
        <v>9</v>
      </c>
      <c r="D16" s="3">
        <v>272</v>
      </c>
      <c r="E16" s="3">
        <v>272</v>
      </c>
      <c r="F16" s="3">
        <v>272</v>
      </c>
      <c r="G16" s="3">
        <v>272</v>
      </c>
      <c r="H16" s="3">
        <v>272</v>
      </c>
      <c r="I16" s="3">
        <v>272</v>
      </c>
      <c r="J16" s="53">
        <v>223.65</v>
      </c>
      <c r="K16" s="53">
        <v>229.49</v>
      </c>
      <c r="L16" s="53">
        <v>235.54</v>
      </c>
      <c r="M16" s="53">
        <v>242.32</v>
      </c>
      <c r="N16" s="53">
        <v>249.71</v>
      </c>
      <c r="O16" s="53">
        <v>251.42</v>
      </c>
      <c r="P16" s="53">
        <v>252.81</v>
      </c>
      <c r="Q16" s="53">
        <v>254.85</v>
      </c>
      <c r="R16" s="53">
        <v>255.99</v>
      </c>
      <c r="S16" s="53">
        <v>257.7</v>
      </c>
      <c r="T16" s="53">
        <v>259.83</v>
      </c>
      <c r="U16" s="53">
        <v>261.29000000000002</v>
      </c>
      <c r="V16" s="53">
        <v>262.91000000000003</v>
      </c>
      <c r="W16" s="53">
        <v>264.24</v>
      </c>
      <c r="X16" s="53">
        <v>265.56</v>
      </c>
      <c r="Y16" s="53">
        <v>266.86</v>
      </c>
      <c r="Z16" s="53">
        <v>268.22000000000003</v>
      </c>
      <c r="AA16" s="53">
        <v>269.32</v>
      </c>
      <c r="AB16" s="53">
        <v>270.25</v>
      </c>
      <c r="AC16" s="53">
        <v>271.45</v>
      </c>
      <c r="AD16" s="53">
        <v>272.33</v>
      </c>
      <c r="AE16" s="53">
        <v>274.26</v>
      </c>
      <c r="AF16" s="53">
        <v>275.3</v>
      </c>
      <c r="AG16" s="53">
        <v>276.76</v>
      </c>
      <c r="AH16" s="53">
        <v>278.45999999999998</v>
      </c>
      <c r="AI16" s="53">
        <v>279.13</v>
      </c>
      <c r="AJ16" s="53">
        <f>AI16</f>
        <v>279.13</v>
      </c>
      <c r="AK16" s="53">
        <f t="shared" ref="AK16:AS16" si="15">AJ16</f>
        <v>279.13</v>
      </c>
      <c r="AL16" s="53">
        <f t="shared" si="15"/>
        <v>279.13</v>
      </c>
      <c r="AM16" s="53">
        <f t="shared" si="15"/>
        <v>279.13</v>
      </c>
      <c r="AN16" s="53">
        <f t="shared" si="15"/>
        <v>279.13</v>
      </c>
      <c r="AO16" s="53">
        <f t="shared" si="15"/>
        <v>279.13</v>
      </c>
      <c r="AP16" s="53">
        <f t="shared" si="15"/>
        <v>279.13</v>
      </c>
      <c r="AQ16" s="53">
        <f t="shared" si="15"/>
        <v>279.13</v>
      </c>
      <c r="AR16" s="53">
        <f t="shared" si="15"/>
        <v>279.13</v>
      </c>
      <c r="AS16" s="53">
        <f t="shared" si="15"/>
        <v>279.13</v>
      </c>
    </row>
    <row r="17" spans="1:45" x14ac:dyDescent="0.35">
      <c r="A17" s="77" t="str">
        <f t="shared" si="14"/>
        <v>BASE_PMR1</v>
      </c>
      <c r="B17" s="50" t="s">
        <v>12</v>
      </c>
      <c r="C17" s="50" t="s">
        <v>9</v>
      </c>
      <c r="D17" s="7">
        <v>272</v>
      </c>
      <c r="E17" s="7">
        <v>272</v>
      </c>
      <c r="F17" s="7">
        <v>272</v>
      </c>
      <c r="G17" s="7">
        <v>272</v>
      </c>
      <c r="H17" s="7">
        <v>272</v>
      </c>
      <c r="I17" s="7">
        <v>272</v>
      </c>
      <c r="J17" s="54">
        <f>J16</f>
        <v>223.65</v>
      </c>
      <c r="K17" s="54">
        <f t="shared" ref="K17:X17" si="16">K16</f>
        <v>229.49</v>
      </c>
      <c r="L17" s="54">
        <f t="shared" si="16"/>
        <v>235.54</v>
      </c>
      <c r="M17" s="54">
        <f t="shared" si="16"/>
        <v>242.32</v>
      </c>
      <c r="N17" s="54">
        <f t="shared" si="16"/>
        <v>249.71</v>
      </c>
      <c r="O17" s="54">
        <f t="shared" si="16"/>
        <v>251.42</v>
      </c>
      <c r="P17" s="54">
        <f t="shared" si="16"/>
        <v>252.81</v>
      </c>
      <c r="Q17" s="54">
        <f t="shared" si="16"/>
        <v>254.85</v>
      </c>
      <c r="R17" s="54">
        <f t="shared" si="16"/>
        <v>255.99</v>
      </c>
      <c r="S17" s="54">
        <f t="shared" si="16"/>
        <v>257.7</v>
      </c>
      <c r="T17" s="54">
        <f t="shared" si="16"/>
        <v>259.83</v>
      </c>
      <c r="U17" s="54">
        <f t="shared" si="16"/>
        <v>261.29000000000002</v>
      </c>
      <c r="V17" s="54">
        <f t="shared" si="16"/>
        <v>262.91000000000003</v>
      </c>
      <c r="W17" s="54">
        <f t="shared" si="16"/>
        <v>264.24</v>
      </c>
      <c r="X17" s="54">
        <f t="shared" si="16"/>
        <v>265.56</v>
      </c>
      <c r="Y17" s="33">
        <f t="shared" ref="Y17:AS17" si="17">Y14</f>
        <v>464.39</v>
      </c>
      <c r="Z17" s="33">
        <f t="shared" si="17"/>
        <v>466.51</v>
      </c>
      <c r="AA17" s="33">
        <f t="shared" si="17"/>
        <v>468.23</v>
      </c>
      <c r="AB17" s="33">
        <f t="shared" si="17"/>
        <v>469.7</v>
      </c>
      <c r="AC17" s="33">
        <f t="shared" si="17"/>
        <v>471.57</v>
      </c>
      <c r="AD17" s="33">
        <f t="shared" si="17"/>
        <v>472.95</v>
      </c>
      <c r="AE17" s="33">
        <f t="shared" si="17"/>
        <v>475.98</v>
      </c>
      <c r="AF17" s="33">
        <f t="shared" si="17"/>
        <v>477.6</v>
      </c>
      <c r="AG17" s="33">
        <f t="shared" si="17"/>
        <v>479.89</v>
      </c>
      <c r="AH17" s="33">
        <f t="shared" si="17"/>
        <v>482.55</v>
      </c>
      <c r="AI17" s="33">
        <f t="shared" si="17"/>
        <v>483.6</v>
      </c>
      <c r="AJ17" s="33">
        <f t="shared" si="17"/>
        <v>483.6</v>
      </c>
      <c r="AK17" s="33">
        <f t="shared" si="17"/>
        <v>483.6</v>
      </c>
      <c r="AL17" s="33">
        <f t="shared" si="17"/>
        <v>483.6</v>
      </c>
      <c r="AM17" s="33">
        <f t="shared" si="17"/>
        <v>483.6</v>
      </c>
      <c r="AN17" s="33">
        <f t="shared" si="17"/>
        <v>483.6</v>
      </c>
      <c r="AO17" s="33">
        <f t="shared" si="17"/>
        <v>483.6</v>
      </c>
      <c r="AP17" s="33">
        <f t="shared" si="17"/>
        <v>483.6</v>
      </c>
      <c r="AQ17" s="33">
        <f t="shared" si="17"/>
        <v>483.6</v>
      </c>
      <c r="AR17" s="33">
        <f t="shared" si="17"/>
        <v>483.6</v>
      </c>
      <c r="AS17" s="33">
        <f t="shared" si="17"/>
        <v>483.6</v>
      </c>
    </row>
    <row r="18" spans="1:45" x14ac:dyDescent="0.35">
      <c r="A18" s="77" t="str">
        <f t="shared" si="14"/>
        <v>BASE_PMR1</v>
      </c>
      <c r="B18" s="51" t="s">
        <v>13</v>
      </c>
      <c r="C18" s="51" t="s">
        <v>9</v>
      </c>
      <c r="D18" s="3">
        <v>272</v>
      </c>
      <c r="E18" s="3">
        <v>272</v>
      </c>
      <c r="F18" s="3">
        <v>272</v>
      </c>
      <c r="G18" s="3">
        <v>272</v>
      </c>
      <c r="H18" s="3">
        <v>272</v>
      </c>
      <c r="I18" s="3">
        <v>272</v>
      </c>
      <c r="J18" s="53">
        <f>J16</f>
        <v>223.65</v>
      </c>
      <c r="K18" s="53">
        <f t="shared" ref="K18:AC18" si="18">K16</f>
        <v>229.49</v>
      </c>
      <c r="L18" s="53">
        <f t="shared" si="18"/>
        <v>235.54</v>
      </c>
      <c r="M18" s="53">
        <f t="shared" si="18"/>
        <v>242.32</v>
      </c>
      <c r="N18" s="53">
        <f t="shared" si="18"/>
        <v>249.71</v>
      </c>
      <c r="O18" s="53">
        <f t="shared" si="18"/>
        <v>251.42</v>
      </c>
      <c r="P18" s="53">
        <f t="shared" si="18"/>
        <v>252.81</v>
      </c>
      <c r="Q18" s="53">
        <f t="shared" si="18"/>
        <v>254.85</v>
      </c>
      <c r="R18" s="53">
        <f t="shared" si="18"/>
        <v>255.99</v>
      </c>
      <c r="S18" s="53">
        <f t="shared" si="18"/>
        <v>257.7</v>
      </c>
      <c r="T18" s="53">
        <f t="shared" si="18"/>
        <v>259.83</v>
      </c>
      <c r="U18" s="53">
        <f t="shared" si="18"/>
        <v>261.29000000000002</v>
      </c>
      <c r="V18" s="53">
        <f t="shared" si="18"/>
        <v>262.91000000000003</v>
      </c>
      <c r="W18" s="53">
        <f t="shared" si="18"/>
        <v>264.24</v>
      </c>
      <c r="X18" s="53">
        <f t="shared" si="18"/>
        <v>265.56</v>
      </c>
      <c r="Y18" s="53">
        <f t="shared" si="18"/>
        <v>266.86</v>
      </c>
      <c r="Z18" s="53">
        <f t="shared" si="18"/>
        <v>268.22000000000003</v>
      </c>
      <c r="AA18" s="53">
        <f t="shared" si="18"/>
        <v>269.32</v>
      </c>
      <c r="AB18" s="53">
        <f t="shared" si="18"/>
        <v>270.25</v>
      </c>
      <c r="AC18" s="53">
        <f t="shared" si="18"/>
        <v>271.45</v>
      </c>
      <c r="AD18" s="32">
        <f t="shared" ref="AD18:AS18" si="19">AD14</f>
        <v>472.95</v>
      </c>
      <c r="AE18" s="32">
        <f t="shared" si="19"/>
        <v>475.98</v>
      </c>
      <c r="AF18" s="32">
        <f t="shared" si="19"/>
        <v>477.6</v>
      </c>
      <c r="AG18" s="32">
        <f t="shared" si="19"/>
        <v>479.89</v>
      </c>
      <c r="AH18" s="32">
        <f t="shared" si="19"/>
        <v>482.55</v>
      </c>
      <c r="AI18" s="32">
        <f t="shared" si="19"/>
        <v>483.6</v>
      </c>
      <c r="AJ18" s="32">
        <f t="shared" si="19"/>
        <v>483.6</v>
      </c>
      <c r="AK18" s="32">
        <f t="shared" si="19"/>
        <v>483.6</v>
      </c>
      <c r="AL18" s="32">
        <f t="shared" si="19"/>
        <v>483.6</v>
      </c>
      <c r="AM18" s="32">
        <f t="shared" si="19"/>
        <v>483.6</v>
      </c>
      <c r="AN18" s="32">
        <f t="shared" si="19"/>
        <v>483.6</v>
      </c>
      <c r="AO18" s="32">
        <f t="shared" si="19"/>
        <v>483.6</v>
      </c>
      <c r="AP18" s="32">
        <f t="shared" si="19"/>
        <v>483.6</v>
      </c>
      <c r="AQ18" s="32">
        <f t="shared" si="19"/>
        <v>483.6</v>
      </c>
      <c r="AR18" s="32">
        <f t="shared" si="19"/>
        <v>483.6</v>
      </c>
      <c r="AS18" s="32">
        <f t="shared" si="19"/>
        <v>483.6</v>
      </c>
    </row>
    <row r="19" spans="1:45" x14ac:dyDescent="0.35">
      <c r="A19" s="77" t="str">
        <f t="shared" si="14"/>
        <v>BASE_PMR1</v>
      </c>
      <c r="B19" s="50" t="s">
        <v>14</v>
      </c>
      <c r="C19" s="50" t="s">
        <v>9</v>
      </c>
      <c r="D19" s="7">
        <v>272</v>
      </c>
      <c r="E19" s="7">
        <v>272</v>
      </c>
      <c r="F19" s="7">
        <v>272</v>
      </c>
      <c r="G19" s="7">
        <v>272</v>
      </c>
      <c r="H19" s="7">
        <v>272</v>
      </c>
      <c r="I19" s="7">
        <v>272</v>
      </c>
      <c r="J19" s="54">
        <f>J16</f>
        <v>223.65</v>
      </c>
      <c r="K19" s="54">
        <f t="shared" ref="K19:AH19" si="20">K16</f>
        <v>229.49</v>
      </c>
      <c r="L19" s="54">
        <f t="shared" si="20"/>
        <v>235.54</v>
      </c>
      <c r="M19" s="54">
        <f t="shared" si="20"/>
        <v>242.32</v>
      </c>
      <c r="N19" s="54">
        <f t="shared" si="20"/>
        <v>249.71</v>
      </c>
      <c r="O19" s="54">
        <f t="shared" si="20"/>
        <v>251.42</v>
      </c>
      <c r="P19" s="54">
        <f t="shared" si="20"/>
        <v>252.81</v>
      </c>
      <c r="Q19" s="54">
        <f t="shared" si="20"/>
        <v>254.85</v>
      </c>
      <c r="R19" s="54">
        <f t="shared" si="20"/>
        <v>255.99</v>
      </c>
      <c r="S19" s="54">
        <f t="shared" si="20"/>
        <v>257.7</v>
      </c>
      <c r="T19" s="54">
        <f t="shared" si="20"/>
        <v>259.83</v>
      </c>
      <c r="U19" s="54">
        <f t="shared" si="20"/>
        <v>261.29000000000002</v>
      </c>
      <c r="V19" s="54">
        <f t="shared" si="20"/>
        <v>262.91000000000003</v>
      </c>
      <c r="W19" s="54">
        <f t="shared" si="20"/>
        <v>264.24</v>
      </c>
      <c r="X19" s="54">
        <f t="shared" si="20"/>
        <v>265.56</v>
      </c>
      <c r="Y19" s="54">
        <f t="shared" si="20"/>
        <v>266.86</v>
      </c>
      <c r="Z19" s="54">
        <f t="shared" si="20"/>
        <v>268.22000000000003</v>
      </c>
      <c r="AA19" s="54">
        <f t="shared" si="20"/>
        <v>269.32</v>
      </c>
      <c r="AB19" s="54">
        <f t="shared" si="20"/>
        <v>270.25</v>
      </c>
      <c r="AC19" s="54">
        <f t="shared" si="20"/>
        <v>271.45</v>
      </c>
      <c r="AD19" s="15">
        <f t="shared" si="20"/>
        <v>272.33</v>
      </c>
      <c r="AE19" s="15">
        <f t="shared" si="20"/>
        <v>274.26</v>
      </c>
      <c r="AF19" s="15">
        <f t="shared" si="20"/>
        <v>275.3</v>
      </c>
      <c r="AG19" s="15">
        <f t="shared" si="20"/>
        <v>276.76</v>
      </c>
      <c r="AH19" s="15">
        <f t="shared" si="20"/>
        <v>278.45999999999998</v>
      </c>
      <c r="AI19" s="32">
        <f t="shared" ref="AI19:AS19" si="21">AI14</f>
        <v>483.6</v>
      </c>
      <c r="AJ19" s="32">
        <f t="shared" si="21"/>
        <v>483.6</v>
      </c>
      <c r="AK19" s="32">
        <f t="shared" si="21"/>
        <v>483.6</v>
      </c>
      <c r="AL19" s="32">
        <f t="shared" si="21"/>
        <v>483.6</v>
      </c>
      <c r="AM19" s="32">
        <f t="shared" si="21"/>
        <v>483.6</v>
      </c>
      <c r="AN19" s="32">
        <f t="shared" si="21"/>
        <v>483.6</v>
      </c>
      <c r="AO19" s="32">
        <f t="shared" si="21"/>
        <v>483.6</v>
      </c>
      <c r="AP19" s="32">
        <f t="shared" si="21"/>
        <v>483.6</v>
      </c>
      <c r="AQ19" s="32">
        <f t="shared" si="21"/>
        <v>483.6</v>
      </c>
      <c r="AR19" s="32">
        <f t="shared" si="21"/>
        <v>483.6</v>
      </c>
      <c r="AS19" s="32">
        <f t="shared" si="21"/>
        <v>483.6</v>
      </c>
    </row>
    <row r="20" spans="1:45" x14ac:dyDescent="0.35">
      <c r="A20" s="77" t="str">
        <f t="shared" si="14"/>
        <v>BASE_PMR1</v>
      </c>
      <c r="B20" s="51" t="s">
        <v>15</v>
      </c>
      <c r="C20" s="51" t="s">
        <v>9</v>
      </c>
      <c r="D20" s="3">
        <v>272</v>
      </c>
      <c r="E20" s="3">
        <v>272</v>
      </c>
      <c r="F20" s="3">
        <v>272</v>
      </c>
      <c r="G20" s="3">
        <v>272</v>
      </c>
      <c r="H20" s="3">
        <v>272</v>
      </c>
      <c r="I20" s="3">
        <v>272</v>
      </c>
      <c r="J20" s="53">
        <f>J16</f>
        <v>223.65</v>
      </c>
      <c r="K20" s="53">
        <f t="shared" ref="K20:AM20" si="22">K16</f>
        <v>229.49</v>
      </c>
      <c r="L20" s="53">
        <f t="shared" si="22"/>
        <v>235.54</v>
      </c>
      <c r="M20" s="53">
        <f t="shared" si="22"/>
        <v>242.32</v>
      </c>
      <c r="N20" s="53">
        <f t="shared" si="22"/>
        <v>249.71</v>
      </c>
      <c r="O20" s="53">
        <f t="shared" si="22"/>
        <v>251.42</v>
      </c>
      <c r="P20" s="53">
        <f t="shared" si="22"/>
        <v>252.81</v>
      </c>
      <c r="Q20" s="53">
        <f t="shared" si="22"/>
        <v>254.85</v>
      </c>
      <c r="R20" s="53">
        <f t="shared" si="22"/>
        <v>255.99</v>
      </c>
      <c r="S20" s="53">
        <f t="shared" si="22"/>
        <v>257.7</v>
      </c>
      <c r="T20" s="53">
        <f t="shared" si="22"/>
        <v>259.83</v>
      </c>
      <c r="U20" s="53">
        <f t="shared" si="22"/>
        <v>261.29000000000002</v>
      </c>
      <c r="V20" s="53">
        <f t="shared" si="22"/>
        <v>262.91000000000003</v>
      </c>
      <c r="W20" s="53">
        <f t="shared" si="22"/>
        <v>264.24</v>
      </c>
      <c r="X20" s="53">
        <f t="shared" si="22"/>
        <v>265.56</v>
      </c>
      <c r="Y20" s="53">
        <f t="shared" si="22"/>
        <v>266.86</v>
      </c>
      <c r="Z20" s="53">
        <f t="shared" si="22"/>
        <v>268.22000000000003</v>
      </c>
      <c r="AA20" s="53">
        <f t="shared" si="22"/>
        <v>269.32</v>
      </c>
      <c r="AB20" s="53">
        <f t="shared" si="22"/>
        <v>270.25</v>
      </c>
      <c r="AC20" s="53">
        <f t="shared" si="22"/>
        <v>271.45</v>
      </c>
      <c r="AD20" s="53">
        <f t="shared" si="22"/>
        <v>272.33</v>
      </c>
      <c r="AE20" s="53">
        <f t="shared" si="22"/>
        <v>274.26</v>
      </c>
      <c r="AF20" s="53">
        <f t="shared" si="22"/>
        <v>275.3</v>
      </c>
      <c r="AG20" s="53">
        <f t="shared" si="22"/>
        <v>276.76</v>
      </c>
      <c r="AH20" s="53">
        <f t="shared" si="22"/>
        <v>278.45999999999998</v>
      </c>
      <c r="AI20" s="53">
        <f t="shared" si="22"/>
        <v>279.13</v>
      </c>
      <c r="AJ20" s="53">
        <f t="shared" si="22"/>
        <v>279.13</v>
      </c>
      <c r="AK20" s="53">
        <f t="shared" si="22"/>
        <v>279.13</v>
      </c>
      <c r="AL20" s="53">
        <f t="shared" si="22"/>
        <v>279.13</v>
      </c>
      <c r="AM20" s="53">
        <f t="shared" si="22"/>
        <v>279.13</v>
      </c>
      <c r="AN20" s="32">
        <f t="shared" ref="AN20:AS20" si="23">AN19</f>
        <v>483.6</v>
      </c>
      <c r="AO20" s="32">
        <f t="shared" si="23"/>
        <v>483.6</v>
      </c>
      <c r="AP20" s="32">
        <f t="shared" si="23"/>
        <v>483.6</v>
      </c>
      <c r="AQ20" s="32">
        <f t="shared" si="23"/>
        <v>483.6</v>
      </c>
      <c r="AR20" s="32">
        <f t="shared" si="23"/>
        <v>483.6</v>
      </c>
      <c r="AS20" s="32">
        <f t="shared" si="23"/>
        <v>483.6</v>
      </c>
    </row>
    <row r="21" spans="1:45" x14ac:dyDescent="0.35">
      <c r="A21" s="77" t="str">
        <f t="shared" si="14"/>
        <v>BASE_PMR1</v>
      </c>
      <c r="B21" s="50" t="s">
        <v>16</v>
      </c>
      <c r="C21" s="50" t="s">
        <v>9</v>
      </c>
      <c r="D21" s="7">
        <v>272</v>
      </c>
      <c r="E21" s="7">
        <v>272</v>
      </c>
      <c r="F21" s="7">
        <v>272</v>
      </c>
      <c r="G21" s="7">
        <v>272</v>
      </c>
      <c r="H21" s="7">
        <v>272</v>
      </c>
      <c r="I21" s="7">
        <v>272</v>
      </c>
      <c r="J21" s="54">
        <f>J16</f>
        <v>223.65</v>
      </c>
      <c r="K21" s="54">
        <f t="shared" ref="K21:AR21" si="24">K16</f>
        <v>229.49</v>
      </c>
      <c r="L21" s="54">
        <f t="shared" si="24"/>
        <v>235.54</v>
      </c>
      <c r="M21" s="54">
        <f t="shared" si="24"/>
        <v>242.32</v>
      </c>
      <c r="N21" s="54">
        <f t="shared" si="24"/>
        <v>249.71</v>
      </c>
      <c r="O21" s="54">
        <f t="shared" si="24"/>
        <v>251.42</v>
      </c>
      <c r="P21" s="54">
        <f t="shared" si="24"/>
        <v>252.81</v>
      </c>
      <c r="Q21" s="54">
        <f t="shared" si="24"/>
        <v>254.85</v>
      </c>
      <c r="R21" s="54">
        <f t="shared" si="24"/>
        <v>255.99</v>
      </c>
      <c r="S21" s="54">
        <f t="shared" si="24"/>
        <v>257.7</v>
      </c>
      <c r="T21" s="54">
        <f t="shared" si="24"/>
        <v>259.83</v>
      </c>
      <c r="U21" s="54">
        <f t="shared" si="24"/>
        <v>261.29000000000002</v>
      </c>
      <c r="V21" s="54">
        <f t="shared" si="24"/>
        <v>262.91000000000003</v>
      </c>
      <c r="W21" s="54">
        <f t="shared" si="24"/>
        <v>264.24</v>
      </c>
      <c r="X21" s="54">
        <f t="shared" si="24"/>
        <v>265.56</v>
      </c>
      <c r="Y21" s="54">
        <f t="shared" si="24"/>
        <v>266.86</v>
      </c>
      <c r="Z21" s="54">
        <f t="shared" si="24"/>
        <v>268.22000000000003</v>
      </c>
      <c r="AA21" s="54">
        <f t="shared" si="24"/>
        <v>269.32</v>
      </c>
      <c r="AB21" s="54">
        <f t="shared" si="24"/>
        <v>270.25</v>
      </c>
      <c r="AC21" s="54">
        <f t="shared" si="24"/>
        <v>271.45</v>
      </c>
      <c r="AD21" s="54">
        <f t="shared" si="24"/>
        <v>272.33</v>
      </c>
      <c r="AE21" s="54">
        <f t="shared" si="24"/>
        <v>274.26</v>
      </c>
      <c r="AF21" s="54">
        <f t="shared" si="24"/>
        <v>275.3</v>
      </c>
      <c r="AG21" s="54">
        <f t="shared" si="24"/>
        <v>276.76</v>
      </c>
      <c r="AH21" s="54">
        <f t="shared" si="24"/>
        <v>278.45999999999998</v>
      </c>
      <c r="AI21" s="54">
        <f t="shared" si="24"/>
        <v>279.13</v>
      </c>
      <c r="AJ21" s="54">
        <f t="shared" si="24"/>
        <v>279.13</v>
      </c>
      <c r="AK21" s="54">
        <f t="shared" si="24"/>
        <v>279.13</v>
      </c>
      <c r="AL21" s="54">
        <f t="shared" si="24"/>
        <v>279.13</v>
      </c>
      <c r="AM21" s="54">
        <f t="shared" si="24"/>
        <v>279.13</v>
      </c>
      <c r="AN21" s="54">
        <f t="shared" si="24"/>
        <v>279.13</v>
      </c>
      <c r="AO21" s="54">
        <f t="shared" si="24"/>
        <v>279.13</v>
      </c>
      <c r="AP21" s="54">
        <f t="shared" si="24"/>
        <v>279.13</v>
      </c>
      <c r="AQ21" s="54">
        <f t="shared" si="24"/>
        <v>279.13</v>
      </c>
      <c r="AR21" s="54">
        <f t="shared" si="24"/>
        <v>279.13</v>
      </c>
      <c r="AS21" s="32">
        <f>AS14</f>
        <v>483.6</v>
      </c>
    </row>
    <row r="22" spans="1:45" x14ac:dyDescent="0.35">
      <c r="A22" s="77" t="str">
        <f t="shared" si="14"/>
        <v>BASE_PMR1</v>
      </c>
      <c r="B22" s="51" t="s">
        <v>22</v>
      </c>
      <c r="C22" s="51" t="s">
        <v>9</v>
      </c>
      <c r="D22" s="3">
        <v>45.18</v>
      </c>
      <c r="E22" s="3">
        <v>45.18</v>
      </c>
      <c r="F22" s="3">
        <v>45.18</v>
      </c>
      <c r="G22" s="3">
        <v>45.18</v>
      </c>
      <c r="H22" s="3">
        <v>45.18</v>
      </c>
      <c r="I22" s="3">
        <v>45.18</v>
      </c>
      <c r="J22" s="55">
        <v>45.18</v>
      </c>
      <c r="K22" s="55">
        <v>45.18</v>
      </c>
      <c r="L22" s="55">
        <v>45.18</v>
      </c>
      <c r="M22" s="55">
        <v>45.18</v>
      </c>
      <c r="N22" s="55">
        <v>45.18</v>
      </c>
      <c r="O22" s="55">
        <v>45.18</v>
      </c>
      <c r="P22" s="55">
        <v>45.18</v>
      </c>
      <c r="Q22" s="55">
        <v>45.18</v>
      </c>
      <c r="R22" s="55">
        <v>45.18</v>
      </c>
      <c r="S22" s="55">
        <v>45.18</v>
      </c>
      <c r="T22" s="55">
        <v>45.18</v>
      </c>
      <c r="U22" s="55">
        <v>45.18</v>
      </c>
      <c r="V22" s="55">
        <v>45.18</v>
      </c>
      <c r="W22" s="55">
        <v>45.18</v>
      </c>
      <c r="X22" s="55">
        <v>45.18</v>
      </c>
      <c r="Y22" s="55">
        <v>45.18</v>
      </c>
      <c r="Z22" s="55">
        <v>45.18</v>
      </c>
      <c r="AA22" s="55">
        <v>45.18</v>
      </c>
      <c r="AB22" s="55">
        <v>45.18</v>
      </c>
      <c r="AC22" s="55">
        <v>45.18</v>
      </c>
      <c r="AD22" s="55">
        <v>45.18</v>
      </c>
      <c r="AE22" s="55">
        <v>45.18</v>
      </c>
      <c r="AF22" s="55">
        <v>45.18</v>
      </c>
      <c r="AG22" s="55">
        <v>45.18</v>
      </c>
      <c r="AH22" s="55">
        <v>45.18</v>
      </c>
      <c r="AI22" s="55">
        <v>45.18</v>
      </c>
      <c r="AJ22" s="55">
        <f t="shared" ref="AJ22:AJ25" si="25">AI22</f>
        <v>45.18</v>
      </c>
      <c r="AK22" s="55">
        <f t="shared" ref="AK22:AS22" si="26">AJ22</f>
        <v>45.18</v>
      </c>
      <c r="AL22" s="55">
        <f t="shared" si="26"/>
        <v>45.18</v>
      </c>
      <c r="AM22" s="55">
        <f t="shared" si="26"/>
        <v>45.18</v>
      </c>
      <c r="AN22" s="55">
        <f t="shared" si="26"/>
        <v>45.18</v>
      </c>
      <c r="AO22" s="55">
        <f t="shared" si="26"/>
        <v>45.18</v>
      </c>
      <c r="AP22" s="55">
        <f t="shared" si="26"/>
        <v>45.18</v>
      </c>
      <c r="AQ22" s="55">
        <f t="shared" si="26"/>
        <v>45.18</v>
      </c>
      <c r="AR22" s="55">
        <f t="shared" si="26"/>
        <v>45.18</v>
      </c>
      <c r="AS22" s="55">
        <f t="shared" si="26"/>
        <v>45.18</v>
      </c>
    </row>
    <row r="23" spans="1:45" x14ac:dyDescent="0.35">
      <c r="A23" s="77" t="str">
        <f t="shared" si="14"/>
        <v>BASE_PMR1</v>
      </c>
      <c r="B23" s="50" t="s">
        <v>23</v>
      </c>
      <c r="C23" s="50" t="s">
        <v>9</v>
      </c>
      <c r="D23" s="7">
        <v>18</v>
      </c>
      <c r="E23" s="7">
        <v>18</v>
      </c>
      <c r="F23" s="7">
        <v>18</v>
      </c>
      <c r="G23" s="7">
        <v>18</v>
      </c>
      <c r="H23" s="7">
        <v>18</v>
      </c>
      <c r="I23" s="7">
        <v>18</v>
      </c>
      <c r="J23" s="56">
        <v>18</v>
      </c>
      <c r="K23" s="56">
        <v>18</v>
      </c>
      <c r="L23" s="56">
        <v>18</v>
      </c>
      <c r="M23" s="56">
        <v>18</v>
      </c>
      <c r="N23" s="56">
        <v>18</v>
      </c>
      <c r="O23" s="56">
        <v>18</v>
      </c>
      <c r="P23" s="56">
        <v>18</v>
      </c>
      <c r="Q23" s="56">
        <v>18</v>
      </c>
      <c r="R23" s="56">
        <v>18</v>
      </c>
      <c r="S23" s="56">
        <v>18</v>
      </c>
      <c r="T23" s="56">
        <v>18</v>
      </c>
      <c r="U23" s="56">
        <v>18</v>
      </c>
      <c r="V23" s="56">
        <v>18</v>
      </c>
      <c r="W23" s="56">
        <v>18</v>
      </c>
      <c r="X23" s="56">
        <v>18</v>
      </c>
      <c r="Y23" s="56">
        <v>18</v>
      </c>
      <c r="Z23" s="56">
        <v>18</v>
      </c>
      <c r="AA23" s="56">
        <v>18</v>
      </c>
      <c r="AB23" s="56">
        <v>18</v>
      </c>
      <c r="AC23" s="56">
        <v>18</v>
      </c>
      <c r="AD23" s="56">
        <v>18</v>
      </c>
      <c r="AE23" s="56">
        <v>18</v>
      </c>
      <c r="AF23" s="56">
        <v>18</v>
      </c>
      <c r="AG23" s="56">
        <v>18</v>
      </c>
      <c r="AH23" s="56">
        <v>18</v>
      </c>
      <c r="AI23" s="56">
        <v>18</v>
      </c>
      <c r="AJ23" s="56">
        <f t="shared" si="25"/>
        <v>18</v>
      </c>
      <c r="AK23" s="56">
        <f t="shared" ref="AK23:AS23" si="27">AJ23</f>
        <v>18</v>
      </c>
      <c r="AL23" s="56">
        <f t="shared" si="27"/>
        <v>18</v>
      </c>
      <c r="AM23" s="56">
        <f t="shared" si="27"/>
        <v>18</v>
      </c>
      <c r="AN23" s="56">
        <f t="shared" si="27"/>
        <v>18</v>
      </c>
      <c r="AO23" s="56">
        <f t="shared" si="27"/>
        <v>18</v>
      </c>
      <c r="AP23" s="56">
        <f t="shared" si="27"/>
        <v>18</v>
      </c>
      <c r="AQ23" s="56">
        <f t="shared" si="27"/>
        <v>18</v>
      </c>
      <c r="AR23" s="56">
        <f t="shared" si="27"/>
        <v>18</v>
      </c>
      <c r="AS23" s="56">
        <f t="shared" si="27"/>
        <v>18</v>
      </c>
    </row>
    <row r="24" spans="1:45" x14ac:dyDescent="0.35">
      <c r="A24" s="77" t="str">
        <f t="shared" si="14"/>
        <v>BASE_PMR1</v>
      </c>
      <c r="B24" s="51" t="s">
        <v>24</v>
      </c>
      <c r="C24" s="51" t="s">
        <v>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Z24" s="55">
        <v>0</v>
      </c>
      <c r="AA24" s="55">
        <v>0</v>
      </c>
      <c r="AB24" s="55">
        <v>0</v>
      </c>
      <c r="AC24" s="55">
        <v>0</v>
      </c>
      <c r="AD24" s="55">
        <v>0</v>
      </c>
      <c r="AE24" s="55">
        <v>0</v>
      </c>
      <c r="AF24" s="55">
        <v>0</v>
      </c>
      <c r="AG24" s="55">
        <v>0</v>
      </c>
      <c r="AH24" s="55">
        <v>0</v>
      </c>
      <c r="AI24" s="55">
        <v>0</v>
      </c>
      <c r="AJ24" s="55">
        <f t="shared" si="25"/>
        <v>0</v>
      </c>
      <c r="AK24" s="55">
        <v>0</v>
      </c>
      <c r="AL24" s="55">
        <v>0</v>
      </c>
      <c r="AM24" s="55">
        <v>0</v>
      </c>
      <c r="AN24" s="55">
        <v>0</v>
      </c>
      <c r="AO24" s="55">
        <v>0</v>
      </c>
      <c r="AP24" s="55">
        <v>0</v>
      </c>
      <c r="AQ24" s="55">
        <v>0</v>
      </c>
      <c r="AR24" s="55">
        <v>0</v>
      </c>
      <c r="AS24" s="55">
        <v>0</v>
      </c>
    </row>
    <row r="25" spans="1:45" x14ac:dyDescent="0.35">
      <c r="A25" s="77" t="str">
        <f t="shared" si="14"/>
        <v>BASE_PMR1</v>
      </c>
      <c r="B25" s="52" t="s">
        <v>17</v>
      </c>
      <c r="C25" s="52" t="s">
        <v>9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57">
        <v>0</v>
      </c>
      <c r="K25" s="57">
        <v>0</v>
      </c>
      <c r="L25" s="57">
        <v>0</v>
      </c>
      <c r="M25" s="57">
        <v>0</v>
      </c>
      <c r="N25" s="57">
        <v>0</v>
      </c>
      <c r="O25" s="57">
        <v>0</v>
      </c>
      <c r="P25" s="57">
        <v>0</v>
      </c>
      <c r="Q25" s="57">
        <v>0</v>
      </c>
      <c r="R25" s="57">
        <v>0</v>
      </c>
      <c r="S25" s="57">
        <v>0</v>
      </c>
      <c r="T25" s="57">
        <v>0</v>
      </c>
      <c r="U25" s="57">
        <v>0</v>
      </c>
      <c r="V25" s="57">
        <v>0</v>
      </c>
      <c r="W25" s="57">
        <v>0</v>
      </c>
      <c r="X25" s="57">
        <v>0</v>
      </c>
      <c r="Y25" s="57">
        <v>0</v>
      </c>
      <c r="Z25" s="57">
        <v>0</v>
      </c>
      <c r="AA25" s="57">
        <v>0</v>
      </c>
      <c r="AB25" s="57">
        <v>0</v>
      </c>
      <c r="AC25" s="57">
        <v>0</v>
      </c>
      <c r="AD25" s="57">
        <v>0</v>
      </c>
      <c r="AE25" s="57">
        <v>0</v>
      </c>
      <c r="AF25" s="57">
        <v>0</v>
      </c>
      <c r="AG25" s="57">
        <v>0</v>
      </c>
      <c r="AH25" s="57">
        <v>0</v>
      </c>
      <c r="AI25" s="57">
        <v>0</v>
      </c>
      <c r="AJ25" s="57">
        <f t="shared" si="25"/>
        <v>0</v>
      </c>
      <c r="AK25" s="57">
        <v>0</v>
      </c>
      <c r="AL25" s="57">
        <v>0</v>
      </c>
      <c r="AM25" s="57">
        <v>0</v>
      </c>
      <c r="AN25" s="57">
        <v>0</v>
      </c>
      <c r="AO25" s="57">
        <v>0</v>
      </c>
      <c r="AP25" s="57">
        <v>0</v>
      </c>
      <c r="AQ25" s="57">
        <v>0</v>
      </c>
      <c r="AR25" s="57">
        <v>0</v>
      </c>
      <c r="AS25" s="57">
        <v>0</v>
      </c>
    </row>
    <row r="26" spans="1:45" x14ac:dyDescent="0.35">
      <c r="A26" s="78" t="s">
        <v>67</v>
      </c>
      <c r="B26" s="51" t="s">
        <v>8</v>
      </c>
      <c r="C26" s="51" t="s">
        <v>9</v>
      </c>
      <c r="D26" s="3">
        <v>400.69668080000002</v>
      </c>
      <c r="E26" s="3">
        <v>402.46947069999999</v>
      </c>
      <c r="F26" s="3">
        <v>402.49143750000002</v>
      </c>
      <c r="G26" s="3">
        <v>405.597127</v>
      </c>
      <c r="H26" s="3">
        <v>406.51069790000003</v>
      </c>
      <c r="I26" s="3">
        <v>408.73353279999998</v>
      </c>
      <c r="J26" s="34">
        <v>380.19</v>
      </c>
      <c r="K26" s="34">
        <v>372.37</v>
      </c>
      <c r="L26" s="34">
        <v>364.35</v>
      </c>
      <c r="M26" s="34">
        <v>358.54</v>
      </c>
      <c r="N26" s="34">
        <v>352.2</v>
      </c>
      <c r="O26" s="34">
        <v>354.57</v>
      </c>
      <c r="P26" s="34">
        <v>356.83</v>
      </c>
      <c r="Q26" s="34">
        <v>359.66</v>
      </c>
      <c r="R26" s="34">
        <v>361.8</v>
      </c>
      <c r="S26" s="34">
        <v>363.06</v>
      </c>
      <c r="T26" s="34">
        <v>365.73</v>
      </c>
      <c r="U26" s="34">
        <v>368.19</v>
      </c>
      <c r="V26" s="34">
        <v>370.21</v>
      </c>
      <c r="W26" s="34">
        <v>371.39</v>
      </c>
      <c r="X26" s="34">
        <v>373.3</v>
      </c>
      <c r="Y26" s="34">
        <v>372.78</v>
      </c>
      <c r="Z26" s="34">
        <v>373.9</v>
      </c>
      <c r="AA26" s="34">
        <v>374.81</v>
      </c>
      <c r="AB26" s="34">
        <v>375.57</v>
      </c>
      <c r="AC26" s="34">
        <v>377.42</v>
      </c>
      <c r="AD26" s="34">
        <v>378.15</v>
      </c>
      <c r="AE26" s="34">
        <v>381.35</v>
      </c>
      <c r="AF26" s="34">
        <v>381</v>
      </c>
      <c r="AG26" s="34">
        <v>383.49</v>
      </c>
      <c r="AH26" s="34">
        <v>384.2</v>
      </c>
      <c r="AI26" s="34">
        <v>386.45</v>
      </c>
      <c r="AJ26" s="35">
        <v>386.45</v>
      </c>
      <c r="AK26" s="35">
        <v>386.45</v>
      </c>
      <c r="AL26" s="35">
        <v>386.45</v>
      </c>
      <c r="AM26" s="35">
        <v>386.45</v>
      </c>
      <c r="AN26" s="35">
        <v>386.45</v>
      </c>
      <c r="AO26" s="35">
        <v>386.45</v>
      </c>
      <c r="AP26" s="35">
        <v>386.45</v>
      </c>
      <c r="AQ26" s="35">
        <v>386.45</v>
      </c>
      <c r="AR26" s="35">
        <v>386.45</v>
      </c>
      <c r="AS26" s="35">
        <v>386.45</v>
      </c>
    </row>
    <row r="27" spans="1:45" x14ac:dyDescent="0.35">
      <c r="A27" s="78" t="str">
        <f>A26</f>
        <v>LOW_PMR1</v>
      </c>
      <c r="B27" s="50" t="s">
        <v>10</v>
      </c>
      <c r="C27" s="50" t="s">
        <v>9</v>
      </c>
      <c r="D27" s="7">
        <v>400.69668080000002</v>
      </c>
      <c r="E27" s="7">
        <v>402.46947069999999</v>
      </c>
      <c r="F27" s="7">
        <v>402.49143750000002</v>
      </c>
      <c r="G27" s="7">
        <v>405.597127</v>
      </c>
      <c r="H27" s="7">
        <v>406.51069790000003</v>
      </c>
      <c r="I27" s="7">
        <v>408.73353279999998</v>
      </c>
      <c r="J27" s="34">
        <v>380.19</v>
      </c>
      <c r="K27" s="34">
        <v>372.37</v>
      </c>
      <c r="L27" s="34">
        <v>364.35</v>
      </c>
      <c r="M27" s="34">
        <v>358.54</v>
      </c>
      <c r="N27" s="34">
        <v>352.2</v>
      </c>
      <c r="O27" s="34">
        <v>354.57</v>
      </c>
      <c r="P27" s="34">
        <v>356.83</v>
      </c>
      <c r="Q27" s="34">
        <v>359.66</v>
      </c>
      <c r="R27" s="34">
        <v>361.8</v>
      </c>
      <c r="S27" s="34">
        <v>363.06</v>
      </c>
      <c r="T27" s="34">
        <v>365.73</v>
      </c>
      <c r="U27" s="34">
        <v>368.19</v>
      </c>
      <c r="V27" s="34">
        <v>370.21</v>
      </c>
      <c r="W27" s="34">
        <v>371.39</v>
      </c>
      <c r="X27" s="34">
        <v>373.3</v>
      </c>
      <c r="Y27" s="34">
        <v>372.78</v>
      </c>
      <c r="Z27" s="34">
        <v>373.9</v>
      </c>
      <c r="AA27" s="34">
        <v>374.81</v>
      </c>
      <c r="AB27" s="34">
        <v>375.57</v>
      </c>
      <c r="AC27" s="34">
        <v>377.42</v>
      </c>
      <c r="AD27" s="34">
        <v>378.15</v>
      </c>
      <c r="AE27" s="34">
        <v>381.35</v>
      </c>
      <c r="AF27" s="34">
        <v>381</v>
      </c>
      <c r="AG27" s="34">
        <v>383.49</v>
      </c>
      <c r="AH27" s="34">
        <v>384.2</v>
      </c>
      <c r="AI27" s="34">
        <v>386.45</v>
      </c>
      <c r="AJ27" s="35">
        <v>386.45</v>
      </c>
      <c r="AK27" s="35">
        <v>386.45</v>
      </c>
      <c r="AL27" s="35">
        <v>386.45</v>
      </c>
      <c r="AM27" s="35">
        <v>386.45</v>
      </c>
      <c r="AN27" s="35">
        <v>386.45</v>
      </c>
      <c r="AO27" s="35">
        <v>386.45</v>
      </c>
      <c r="AP27" s="35">
        <v>386.45</v>
      </c>
      <c r="AQ27" s="35">
        <v>386.45</v>
      </c>
      <c r="AR27" s="35">
        <v>386.45</v>
      </c>
      <c r="AS27" s="35">
        <v>386.45</v>
      </c>
    </row>
    <row r="28" spans="1:45" x14ac:dyDescent="0.35">
      <c r="A28" s="78" t="str">
        <f t="shared" ref="A28:A37" si="28">A27</f>
        <v>LOW_PMR1</v>
      </c>
      <c r="B28" s="51" t="s">
        <v>11</v>
      </c>
      <c r="C28" s="51" t="s">
        <v>9</v>
      </c>
      <c r="D28" s="3">
        <v>272</v>
      </c>
      <c r="E28" s="3">
        <v>272</v>
      </c>
      <c r="F28" s="3">
        <v>272</v>
      </c>
      <c r="G28" s="3">
        <v>272</v>
      </c>
      <c r="H28" s="3">
        <v>272</v>
      </c>
      <c r="I28" s="3">
        <v>272</v>
      </c>
      <c r="J28" s="53">
        <v>202.87</v>
      </c>
      <c r="K28" s="53">
        <v>197.88</v>
      </c>
      <c r="L28" s="53">
        <v>192.76</v>
      </c>
      <c r="M28" s="53">
        <v>189.04</v>
      </c>
      <c r="N28" s="53">
        <v>185</v>
      </c>
      <c r="O28" s="53">
        <v>186.51</v>
      </c>
      <c r="P28" s="53">
        <v>187.95</v>
      </c>
      <c r="Q28" s="53">
        <v>189.76</v>
      </c>
      <c r="R28" s="53">
        <v>191.13</v>
      </c>
      <c r="S28" s="53">
        <v>191.93</v>
      </c>
      <c r="T28" s="53">
        <v>193.64</v>
      </c>
      <c r="U28" s="53">
        <v>195.21</v>
      </c>
      <c r="V28" s="53">
        <v>196.5</v>
      </c>
      <c r="W28" s="53">
        <v>197.25</v>
      </c>
      <c r="X28" s="53">
        <v>198.47</v>
      </c>
      <c r="Y28" s="53">
        <v>198.14</v>
      </c>
      <c r="Z28" s="53">
        <v>198.86</v>
      </c>
      <c r="AA28" s="53">
        <v>199.43</v>
      </c>
      <c r="AB28" s="53">
        <v>199.92</v>
      </c>
      <c r="AC28" s="53">
        <v>201.1</v>
      </c>
      <c r="AD28" s="53">
        <v>201.57</v>
      </c>
      <c r="AE28" s="53">
        <v>203.61</v>
      </c>
      <c r="AF28" s="53">
        <v>203.39</v>
      </c>
      <c r="AG28" s="53">
        <v>204.98</v>
      </c>
      <c r="AH28" s="53">
        <v>205.43</v>
      </c>
      <c r="AI28" s="53">
        <v>206.87</v>
      </c>
      <c r="AJ28" s="53">
        <f>AI28</f>
        <v>206.87</v>
      </c>
      <c r="AK28" s="53">
        <f t="shared" ref="AK28:AS28" si="29">AJ28</f>
        <v>206.87</v>
      </c>
      <c r="AL28" s="53">
        <f t="shared" si="29"/>
        <v>206.87</v>
      </c>
      <c r="AM28" s="53">
        <f t="shared" si="29"/>
        <v>206.87</v>
      </c>
      <c r="AN28" s="53">
        <f t="shared" si="29"/>
        <v>206.87</v>
      </c>
      <c r="AO28" s="53">
        <f t="shared" si="29"/>
        <v>206.87</v>
      </c>
      <c r="AP28" s="53">
        <f t="shared" si="29"/>
        <v>206.87</v>
      </c>
      <c r="AQ28" s="53">
        <f t="shared" si="29"/>
        <v>206.87</v>
      </c>
      <c r="AR28" s="53">
        <f t="shared" si="29"/>
        <v>206.87</v>
      </c>
      <c r="AS28" s="53">
        <f t="shared" si="29"/>
        <v>206.87</v>
      </c>
    </row>
    <row r="29" spans="1:45" x14ac:dyDescent="0.35">
      <c r="A29" s="78" t="str">
        <f t="shared" si="28"/>
        <v>LOW_PMR1</v>
      </c>
      <c r="B29" s="50" t="s">
        <v>12</v>
      </c>
      <c r="C29" s="50" t="s">
        <v>9</v>
      </c>
      <c r="D29" s="7">
        <v>272</v>
      </c>
      <c r="E29" s="7">
        <v>272</v>
      </c>
      <c r="F29" s="7">
        <v>272</v>
      </c>
      <c r="G29" s="7">
        <v>272</v>
      </c>
      <c r="H29" s="7">
        <v>272</v>
      </c>
      <c r="I29" s="7">
        <v>272</v>
      </c>
      <c r="J29" s="54">
        <f t="shared" ref="J29:X29" si="30">J28</f>
        <v>202.87</v>
      </c>
      <c r="K29" s="54">
        <f t="shared" si="30"/>
        <v>197.88</v>
      </c>
      <c r="L29" s="54">
        <f t="shared" si="30"/>
        <v>192.76</v>
      </c>
      <c r="M29" s="54">
        <f t="shared" si="30"/>
        <v>189.04</v>
      </c>
      <c r="N29" s="54">
        <f t="shared" si="30"/>
        <v>185</v>
      </c>
      <c r="O29" s="54">
        <f t="shared" si="30"/>
        <v>186.51</v>
      </c>
      <c r="P29" s="54">
        <f t="shared" si="30"/>
        <v>187.95</v>
      </c>
      <c r="Q29" s="54">
        <f t="shared" si="30"/>
        <v>189.76</v>
      </c>
      <c r="R29" s="54">
        <f t="shared" si="30"/>
        <v>191.13</v>
      </c>
      <c r="S29" s="54">
        <f t="shared" si="30"/>
        <v>191.93</v>
      </c>
      <c r="T29" s="54">
        <f t="shared" si="30"/>
        <v>193.64</v>
      </c>
      <c r="U29" s="54">
        <f t="shared" si="30"/>
        <v>195.21</v>
      </c>
      <c r="V29" s="54">
        <f t="shared" si="30"/>
        <v>196.5</v>
      </c>
      <c r="W29" s="54">
        <f t="shared" si="30"/>
        <v>197.25</v>
      </c>
      <c r="X29" s="54">
        <f t="shared" si="30"/>
        <v>198.47</v>
      </c>
      <c r="Y29" s="35">
        <f t="shared" ref="Y29:AS29" si="31">Y26</f>
        <v>372.78</v>
      </c>
      <c r="Z29" s="35">
        <f t="shared" si="31"/>
        <v>373.9</v>
      </c>
      <c r="AA29" s="35">
        <f t="shared" si="31"/>
        <v>374.81</v>
      </c>
      <c r="AB29" s="35">
        <f t="shared" si="31"/>
        <v>375.57</v>
      </c>
      <c r="AC29" s="35">
        <f t="shared" si="31"/>
        <v>377.42</v>
      </c>
      <c r="AD29" s="35">
        <f t="shared" si="31"/>
        <v>378.15</v>
      </c>
      <c r="AE29" s="35">
        <f t="shared" si="31"/>
        <v>381.35</v>
      </c>
      <c r="AF29" s="35">
        <f t="shared" si="31"/>
        <v>381</v>
      </c>
      <c r="AG29" s="35">
        <f t="shared" si="31"/>
        <v>383.49</v>
      </c>
      <c r="AH29" s="35">
        <f t="shared" si="31"/>
        <v>384.2</v>
      </c>
      <c r="AI29" s="35">
        <f t="shared" si="31"/>
        <v>386.45</v>
      </c>
      <c r="AJ29" s="35">
        <f t="shared" si="31"/>
        <v>386.45</v>
      </c>
      <c r="AK29" s="35">
        <f t="shared" si="31"/>
        <v>386.45</v>
      </c>
      <c r="AL29" s="35">
        <f t="shared" si="31"/>
        <v>386.45</v>
      </c>
      <c r="AM29" s="35">
        <f t="shared" si="31"/>
        <v>386.45</v>
      </c>
      <c r="AN29" s="35">
        <f t="shared" si="31"/>
        <v>386.45</v>
      </c>
      <c r="AO29" s="35">
        <f t="shared" si="31"/>
        <v>386.45</v>
      </c>
      <c r="AP29" s="35">
        <f t="shared" si="31"/>
        <v>386.45</v>
      </c>
      <c r="AQ29" s="35">
        <f t="shared" si="31"/>
        <v>386.45</v>
      </c>
      <c r="AR29" s="35">
        <f t="shared" si="31"/>
        <v>386.45</v>
      </c>
      <c r="AS29" s="35">
        <f t="shared" si="31"/>
        <v>386.45</v>
      </c>
    </row>
    <row r="30" spans="1:45" x14ac:dyDescent="0.35">
      <c r="A30" s="78" t="str">
        <f t="shared" si="28"/>
        <v>LOW_PMR1</v>
      </c>
      <c r="B30" s="51" t="s">
        <v>13</v>
      </c>
      <c r="C30" s="51" t="s">
        <v>9</v>
      </c>
      <c r="D30" s="3">
        <v>272</v>
      </c>
      <c r="E30" s="3">
        <v>272</v>
      </c>
      <c r="F30" s="3">
        <v>272</v>
      </c>
      <c r="G30" s="3">
        <v>272</v>
      </c>
      <c r="H30" s="3">
        <v>272</v>
      </c>
      <c r="I30" s="3">
        <v>272</v>
      </c>
      <c r="J30" s="53">
        <f t="shared" ref="J30:AC30" si="32">J28</f>
        <v>202.87</v>
      </c>
      <c r="K30" s="53">
        <f t="shared" si="32"/>
        <v>197.88</v>
      </c>
      <c r="L30" s="53">
        <f t="shared" si="32"/>
        <v>192.76</v>
      </c>
      <c r="M30" s="53">
        <f t="shared" si="32"/>
        <v>189.04</v>
      </c>
      <c r="N30" s="53">
        <f t="shared" si="32"/>
        <v>185</v>
      </c>
      <c r="O30" s="53">
        <f t="shared" si="32"/>
        <v>186.51</v>
      </c>
      <c r="P30" s="53">
        <f t="shared" si="32"/>
        <v>187.95</v>
      </c>
      <c r="Q30" s="53">
        <f t="shared" si="32"/>
        <v>189.76</v>
      </c>
      <c r="R30" s="53">
        <f t="shared" si="32"/>
        <v>191.13</v>
      </c>
      <c r="S30" s="53">
        <f t="shared" si="32"/>
        <v>191.93</v>
      </c>
      <c r="T30" s="53">
        <f t="shared" si="32"/>
        <v>193.64</v>
      </c>
      <c r="U30" s="53">
        <f t="shared" si="32"/>
        <v>195.21</v>
      </c>
      <c r="V30" s="53">
        <f t="shared" si="32"/>
        <v>196.5</v>
      </c>
      <c r="W30" s="53">
        <f t="shared" si="32"/>
        <v>197.25</v>
      </c>
      <c r="X30" s="53">
        <f t="shared" si="32"/>
        <v>198.47</v>
      </c>
      <c r="Y30" s="53">
        <f t="shared" si="32"/>
        <v>198.14</v>
      </c>
      <c r="Z30" s="53">
        <f t="shared" si="32"/>
        <v>198.86</v>
      </c>
      <c r="AA30" s="53">
        <f t="shared" si="32"/>
        <v>199.43</v>
      </c>
      <c r="AB30" s="53">
        <f t="shared" si="32"/>
        <v>199.92</v>
      </c>
      <c r="AC30" s="53">
        <f t="shared" si="32"/>
        <v>201.1</v>
      </c>
      <c r="AD30" s="34">
        <f t="shared" ref="AD30:AS30" si="33">AD26</f>
        <v>378.15</v>
      </c>
      <c r="AE30" s="34">
        <f t="shared" si="33"/>
        <v>381.35</v>
      </c>
      <c r="AF30" s="34">
        <f t="shared" si="33"/>
        <v>381</v>
      </c>
      <c r="AG30" s="34">
        <f t="shared" si="33"/>
        <v>383.49</v>
      </c>
      <c r="AH30" s="34">
        <f t="shared" si="33"/>
        <v>384.2</v>
      </c>
      <c r="AI30" s="34">
        <f t="shared" si="33"/>
        <v>386.45</v>
      </c>
      <c r="AJ30" s="34">
        <f t="shared" si="33"/>
        <v>386.45</v>
      </c>
      <c r="AK30" s="34">
        <f t="shared" si="33"/>
        <v>386.45</v>
      </c>
      <c r="AL30" s="34">
        <f t="shared" si="33"/>
        <v>386.45</v>
      </c>
      <c r="AM30" s="34">
        <f t="shared" si="33"/>
        <v>386.45</v>
      </c>
      <c r="AN30" s="34">
        <f t="shared" si="33"/>
        <v>386.45</v>
      </c>
      <c r="AO30" s="34">
        <f t="shared" si="33"/>
        <v>386.45</v>
      </c>
      <c r="AP30" s="34">
        <f t="shared" si="33"/>
        <v>386.45</v>
      </c>
      <c r="AQ30" s="34">
        <f t="shared" si="33"/>
        <v>386.45</v>
      </c>
      <c r="AR30" s="34">
        <f t="shared" si="33"/>
        <v>386.45</v>
      </c>
      <c r="AS30" s="34">
        <f t="shared" si="33"/>
        <v>386.45</v>
      </c>
    </row>
    <row r="31" spans="1:45" x14ac:dyDescent="0.35">
      <c r="A31" s="78" t="str">
        <f t="shared" si="28"/>
        <v>LOW_PMR1</v>
      </c>
      <c r="B31" s="50" t="s">
        <v>14</v>
      </c>
      <c r="C31" s="50" t="s">
        <v>9</v>
      </c>
      <c r="D31" s="7">
        <v>272</v>
      </c>
      <c r="E31" s="7">
        <v>272</v>
      </c>
      <c r="F31" s="7">
        <v>272</v>
      </c>
      <c r="G31" s="7">
        <v>272</v>
      </c>
      <c r="H31" s="7">
        <v>272</v>
      </c>
      <c r="I31" s="7">
        <v>272</v>
      </c>
      <c r="J31" s="54">
        <f t="shared" ref="J31:AH31" si="34">J28</f>
        <v>202.87</v>
      </c>
      <c r="K31" s="54">
        <f t="shared" si="34"/>
        <v>197.88</v>
      </c>
      <c r="L31" s="54">
        <f t="shared" si="34"/>
        <v>192.76</v>
      </c>
      <c r="M31" s="54">
        <f t="shared" si="34"/>
        <v>189.04</v>
      </c>
      <c r="N31" s="54">
        <f t="shared" si="34"/>
        <v>185</v>
      </c>
      <c r="O31" s="54">
        <f t="shared" si="34"/>
        <v>186.51</v>
      </c>
      <c r="P31" s="54">
        <f t="shared" si="34"/>
        <v>187.95</v>
      </c>
      <c r="Q31" s="54">
        <f t="shared" si="34"/>
        <v>189.76</v>
      </c>
      <c r="R31" s="54">
        <f t="shared" si="34"/>
        <v>191.13</v>
      </c>
      <c r="S31" s="54">
        <f t="shared" si="34"/>
        <v>191.93</v>
      </c>
      <c r="T31" s="54">
        <f t="shared" si="34"/>
        <v>193.64</v>
      </c>
      <c r="U31" s="54">
        <f t="shared" si="34"/>
        <v>195.21</v>
      </c>
      <c r="V31" s="54">
        <f t="shared" si="34"/>
        <v>196.5</v>
      </c>
      <c r="W31" s="54">
        <f t="shared" si="34"/>
        <v>197.25</v>
      </c>
      <c r="X31" s="54">
        <f t="shared" si="34"/>
        <v>198.47</v>
      </c>
      <c r="Y31" s="54">
        <f t="shared" si="34"/>
        <v>198.14</v>
      </c>
      <c r="Z31" s="54">
        <f t="shared" si="34"/>
        <v>198.86</v>
      </c>
      <c r="AA31" s="54">
        <f t="shared" si="34"/>
        <v>199.43</v>
      </c>
      <c r="AB31" s="54">
        <f t="shared" si="34"/>
        <v>199.92</v>
      </c>
      <c r="AC31" s="54">
        <f t="shared" si="34"/>
        <v>201.1</v>
      </c>
      <c r="AD31" s="15">
        <f t="shared" si="34"/>
        <v>201.57</v>
      </c>
      <c r="AE31" s="15">
        <f t="shared" si="34"/>
        <v>203.61</v>
      </c>
      <c r="AF31" s="15">
        <f t="shared" si="34"/>
        <v>203.39</v>
      </c>
      <c r="AG31" s="15">
        <f t="shared" si="34"/>
        <v>204.98</v>
      </c>
      <c r="AH31" s="15">
        <f t="shared" si="34"/>
        <v>205.43</v>
      </c>
      <c r="AI31" s="35">
        <f t="shared" ref="AI31:AS31" si="35">AI26</f>
        <v>386.45</v>
      </c>
      <c r="AJ31" s="35">
        <f t="shared" si="35"/>
        <v>386.45</v>
      </c>
      <c r="AK31" s="35">
        <f t="shared" si="35"/>
        <v>386.45</v>
      </c>
      <c r="AL31" s="35">
        <f t="shared" si="35"/>
        <v>386.45</v>
      </c>
      <c r="AM31" s="35">
        <f t="shared" si="35"/>
        <v>386.45</v>
      </c>
      <c r="AN31" s="35">
        <f t="shared" si="35"/>
        <v>386.45</v>
      </c>
      <c r="AO31" s="35">
        <f t="shared" si="35"/>
        <v>386.45</v>
      </c>
      <c r="AP31" s="35">
        <f t="shared" si="35"/>
        <v>386.45</v>
      </c>
      <c r="AQ31" s="35">
        <f t="shared" si="35"/>
        <v>386.45</v>
      </c>
      <c r="AR31" s="35">
        <f t="shared" si="35"/>
        <v>386.45</v>
      </c>
      <c r="AS31" s="35">
        <f t="shared" si="35"/>
        <v>386.45</v>
      </c>
    </row>
    <row r="32" spans="1:45" x14ac:dyDescent="0.35">
      <c r="A32" s="78" t="str">
        <f t="shared" si="28"/>
        <v>LOW_PMR1</v>
      </c>
      <c r="B32" s="51" t="s">
        <v>15</v>
      </c>
      <c r="C32" s="51" t="s">
        <v>9</v>
      </c>
      <c r="D32" s="3">
        <v>272</v>
      </c>
      <c r="E32" s="3">
        <v>272</v>
      </c>
      <c r="F32" s="3">
        <v>272</v>
      </c>
      <c r="G32" s="3">
        <v>272</v>
      </c>
      <c r="H32" s="3">
        <v>272</v>
      </c>
      <c r="I32" s="3">
        <v>272</v>
      </c>
      <c r="J32" s="53">
        <f t="shared" ref="J32:AB32" si="36">J30</f>
        <v>202.87</v>
      </c>
      <c r="K32" s="53">
        <f t="shared" si="36"/>
        <v>197.88</v>
      </c>
      <c r="L32" s="53">
        <f t="shared" si="36"/>
        <v>192.76</v>
      </c>
      <c r="M32" s="53">
        <f t="shared" si="36"/>
        <v>189.04</v>
      </c>
      <c r="N32" s="53">
        <f t="shared" si="36"/>
        <v>185</v>
      </c>
      <c r="O32" s="53">
        <f t="shared" si="36"/>
        <v>186.51</v>
      </c>
      <c r="P32" s="53">
        <f t="shared" si="36"/>
        <v>187.95</v>
      </c>
      <c r="Q32" s="53">
        <f t="shared" si="36"/>
        <v>189.76</v>
      </c>
      <c r="R32" s="53">
        <f t="shared" si="36"/>
        <v>191.13</v>
      </c>
      <c r="S32" s="53">
        <f t="shared" si="36"/>
        <v>191.93</v>
      </c>
      <c r="T32" s="53">
        <f t="shared" si="36"/>
        <v>193.64</v>
      </c>
      <c r="U32" s="53">
        <f t="shared" si="36"/>
        <v>195.21</v>
      </c>
      <c r="V32" s="53">
        <f t="shared" si="36"/>
        <v>196.5</v>
      </c>
      <c r="W32" s="53">
        <f t="shared" si="36"/>
        <v>197.25</v>
      </c>
      <c r="X32" s="53">
        <f t="shared" si="36"/>
        <v>198.47</v>
      </c>
      <c r="Y32" s="53">
        <f t="shared" si="36"/>
        <v>198.14</v>
      </c>
      <c r="Z32" s="53">
        <f t="shared" si="36"/>
        <v>198.86</v>
      </c>
      <c r="AA32" s="53">
        <f t="shared" si="36"/>
        <v>199.43</v>
      </c>
      <c r="AB32" s="53">
        <f t="shared" si="36"/>
        <v>199.92</v>
      </c>
      <c r="AC32" s="53">
        <f t="shared" ref="AC32:AM32" si="37">AC28</f>
        <v>201.1</v>
      </c>
      <c r="AD32" s="53">
        <f t="shared" si="37"/>
        <v>201.57</v>
      </c>
      <c r="AE32" s="53">
        <f t="shared" si="37"/>
        <v>203.61</v>
      </c>
      <c r="AF32" s="53">
        <f t="shared" si="37"/>
        <v>203.39</v>
      </c>
      <c r="AG32" s="53">
        <f t="shared" si="37"/>
        <v>204.98</v>
      </c>
      <c r="AH32" s="53">
        <f t="shared" si="37"/>
        <v>205.43</v>
      </c>
      <c r="AI32" s="53">
        <f t="shared" si="37"/>
        <v>206.87</v>
      </c>
      <c r="AJ32" s="53">
        <f t="shared" si="37"/>
        <v>206.87</v>
      </c>
      <c r="AK32" s="53">
        <f t="shared" si="37"/>
        <v>206.87</v>
      </c>
      <c r="AL32" s="53">
        <f t="shared" si="37"/>
        <v>206.87</v>
      </c>
      <c r="AM32" s="53">
        <f t="shared" si="37"/>
        <v>206.87</v>
      </c>
      <c r="AN32" s="34">
        <f t="shared" ref="AN32:AS32" si="38">AN30</f>
        <v>386.45</v>
      </c>
      <c r="AO32" s="34">
        <f t="shared" si="38"/>
        <v>386.45</v>
      </c>
      <c r="AP32" s="34">
        <f t="shared" si="38"/>
        <v>386.45</v>
      </c>
      <c r="AQ32" s="34">
        <f t="shared" si="38"/>
        <v>386.45</v>
      </c>
      <c r="AR32" s="34">
        <f t="shared" si="38"/>
        <v>386.45</v>
      </c>
      <c r="AS32" s="34">
        <f t="shared" si="38"/>
        <v>386.45</v>
      </c>
    </row>
    <row r="33" spans="1:45" x14ac:dyDescent="0.35">
      <c r="A33" s="78" t="str">
        <f t="shared" si="28"/>
        <v>LOW_PMR1</v>
      </c>
      <c r="B33" s="50" t="s">
        <v>16</v>
      </c>
      <c r="C33" s="50" t="s">
        <v>9</v>
      </c>
      <c r="D33" s="7">
        <v>272</v>
      </c>
      <c r="E33" s="7">
        <v>272</v>
      </c>
      <c r="F33" s="7">
        <v>272</v>
      </c>
      <c r="G33" s="7">
        <v>272</v>
      </c>
      <c r="H33" s="7">
        <v>272</v>
      </c>
      <c r="I33" s="7">
        <v>272</v>
      </c>
      <c r="J33" s="54">
        <f t="shared" ref="J33:AB33" si="39">J30</f>
        <v>202.87</v>
      </c>
      <c r="K33" s="54">
        <f t="shared" si="39"/>
        <v>197.88</v>
      </c>
      <c r="L33" s="54">
        <f t="shared" si="39"/>
        <v>192.76</v>
      </c>
      <c r="M33" s="54">
        <f t="shared" si="39"/>
        <v>189.04</v>
      </c>
      <c r="N33" s="54">
        <f t="shared" si="39"/>
        <v>185</v>
      </c>
      <c r="O33" s="54">
        <f t="shared" si="39"/>
        <v>186.51</v>
      </c>
      <c r="P33" s="54">
        <f t="shared" si="39"/>
        <v>187.95</v>
      </c>
      <c r="Q33" s="54">
        <f t="shared" si="39"/>
        <v>189.76</v>
      </c>
      <c r="R33" s="54">
        <f t="shared" si="39"/>
        <v>191.13</v>
      </c>
      <c r="S33" s="54">
        <f t="shared" si="39"/>
        <v>191.93</v>
      </c>
      <c r="T33" s="54">
        <f t="shared" si="39"/>
        <v>193.64</v>
      </c>
      <c r="U33" s="54">
        <f t="shared" si="39"/>
        <v>195.21</v>
      </c>
      <c r="V33" s="54">
        <f t="shared" si="39"/>
        <v>196.5</v>
      </c>
      <c r="W33" s="54">
        <f t="shared" si="39"/>
        <v>197.25</v>
      </c>
      <c r="X33" s="54">
        <f t="shared" si="39"/>
        <v>198.47</v>
      </c>
      <c r="Y33" s="54">
        <f t="shared" si="39"/>
        <v>198.14</v>
      </c>
      <c r="Z33" s="54">
        <f t="shared" si="39"/>
        <v>198.86</v>
      </c>
      <c r="AA33" s="54">
        <f t="shared" si="39"/>
        <v>199.43</v>
      </c>
      <c r="AB33" s="54">
        <f t="shared" si="39"/>
        <v>199.92</v>
      </c>
      <c r="AC33" s="54">
        <f t="shared" ref="AC33:AR33" si="40">AC28</f>
        <v>201.1</v>
      </c>
      <c r="AD33" s="15">
        <f t="shared" si="40"/>
        <v>201.57</v>
      </c>
      <c r="AE33" s="15">
        <f t="shared" si="40"/>
        <v>203.61</v>
      </c>
      <c r="AF33" s="15">
        <f t="shared" si="40"/>
        <v>203.39</v>
      </c>
      <c r="AG33" s="15">
        <f t="shared" si="40"/>
        <v>204.98</v>
      </c>
      <c r="AH33" s="15">
        <f t="shared" si="40"/>
        <v>205.43</v>
      </c>
      <c r="AI33" s="15">
        <f t="shared" si="40"/>
        <v>206.87</v>
      </c>
      <c r="AJ33" s="15">
        <f t="shared" si="40"/>
        <v>206.87</v>
      </c>
      <c r="AK33" s="15">
        <f t="shared" si="40"/>
        <v>206.87</v>
      </c>
      <c r="AL33" s="15">
        <f t="shared" si="40"/>
        <v>206.87</v>
      </c>
      <c r="AM33" s="15">
        <f t="shared" si="40"/>
        <v>206.87</v>
      </c>
      <c r="AN33" s="15">
        <f t="shared" si="40"/>
        <v>206.87</v>
      </c>
      <c r="AO33" s="15">
        <f t="shared" si="40"/>
        <v>206.87</v>
      </c>
      <c r="AP33" s="15">
        <f t="shared" si="40"/>
        <v>206.87</v>
      </c>
      <c r="AQ33" s="15">
        <f t="shared" si="40"/>
        <v>206.87</v>
      </c>
      <c r="AR33" s="15">
        <f t="shared" si="40"/>
        <v>206.87</v>
      </c>
      <c r="AS33" s="35">
        <f>AS26</f>
        <v>386.45</v>
      </c>
    </row>
    <row r="34" spans="1:45" x14ac:dyDescent="0.35">
      <c r="A34" s="78" t="str">
        <f t="shared" si="28"/>
        <v>LOW_PMR1</v>
      </c>
      <c r="B34" s="51" t="s">
        <v>22</v>
      </c>
      <c r="C34" s="51" t="s">
        <v>9</v>
      </c>
      <c r="D34" s="3">
        <v>45.18</v>
      </c>
      <c r="E34" s="3">
        <v>45.18</v>
      </c>
      <c r="F34" s="3">
        <v>45.18</v>
      </c>
      <c r="G34" s="3">
        <v>45.18</v>
      </c>
      <c r="H34" s="3">
        <v>45.18</v>
      </c>
      <c r="I34" s="3">
        <v>45.18</v>
      </c>
      <c r="J34" s="55">
        <v>45.18</v>
      </c>
      <c r="K34" s="55">
        <v>45.18</v>
      </c>
      <c r="L34" s="55">
        <v>45.18</v>
      </c>
      <c r="M34" s="55">
        <v>45.18</v>
      </c>
      <c r="N34" s="55">
        <v>45.18</v>
      </c>
      <c r="O34" s="55">
        <v>45.18</v>
      </c>
      <c r="P34" s="55">
        <v>45.18</v>
      </c>
      <c r="Q34" s="55">
        <v>45.18</v>
      </c>
      <c r="R34" s="55">
        <v>45.18</v>
      </c>
      <c r="S34" s="55">
        <v>45.18</v>
      </c>
      <c r="T34" s="55">
        <v>45.18</v>
      </c>
      <c r="U34" s="55">
        <v>45.18</v>
      </c>
      <c r="V34" s="55">
        <v>45.18</v>
      </c>
      <c r="W34" s="55">
        <v>45.18</v>
      </c>
      <c r="X34" s="55">
        <v>45.18</v>
      </c>
      <c r="Y34" s="55">
        <v>45.18</v>
      </c>
      <c r="Z34" s="55">
        <v>45.18</v>
      </c>
      <c r="AA34" s="55">
        <v>45.18</v>
      </c>
      <c r="AB34" s="55">
        <v>45.18</v>
      </c>
      <c r="AC34" s="55">
        <v>45.18</v>
      </c>
      <c r="AD34" s="55">
        <v>45.18</v>
      </c>
      <c r="AE34" s="55">
        <v>45.18</v>
      </c>
      <c r="AF34" s="55">
        <v>45.18</v>
      </c>
      <c r="AG34" s="55">
        <v>45.18</v>
      </c>
      <c r="AH34" s="55">
        <v>45.18</v>
      </c>
      <c r="AI34" s="55">
        <v>45.18</v>
      </c>
      <c r="AJ34" s="55">
        <f t="shared" ref="AJ34:AS34" si="41">AI34</f>
        <v>45.18</v>
      </c>
      <c r="AK34" s="55">
        <f t="shared" si="41"/>
        <v>45.18</v>
      </c>
      <c r="AL34" s="55">
        <f t="shared" si="41"/>
        <v>45.18</v>
      </c>
      <c r="AM34" s="55">
        <f t="shared" si="41"/>
        <v>45.18</v>
      </c>
      <c r="AN34" s="55">
        <f t="shared" si="41"/>
        <v>45.18</v>
      </c>
      <c r="AO34" s="55">
        <f t="shared" si="41"/>
        <v>45.18</v>
      </c>
      <c r="AP34" s="55">
        <f t="shared" si="41"/>
        <v>45.18</v>
      </c>
      <c r="AQ34" s="55">
        <f t="shared" si="41"/>
        <v>45.18</v>
      </c>
      <c r="AR34" s="55">
        <f t="shared" si="41"/>
        <v>45.18</v>
      </c>
      <c r="AS34" s="55">
        <f t="shared" si="41"/>
        <v>45.18</v>
      </c>
    </row>
    <row r="35" spans="1:45" x14ac:dyDescent="0.35">
      <c r="A35" s="78" t="str">
        <f t="shared" si="28"/>
        <v>LOW_PMR1</v>
      </c>
      <c r="B35" s="50" t="s">
        <v>23</v>
      </c>
      <c r="C35" s="50" t="s">
        <v>9</v>
      </c>
      <c r="D35" s="7">
        <v>18</v>
      </c>
      <c r="E35" s="7">
        <v>18</v>
      </c>
      <c r="F35" s="7">
        <v>18</v>
      </c>
      <c r="G35" s="7">
        <v>18</v>
      </c>
      <c r="H35" s="7">
        <v>18</v>
      </c>
      <c r="I35" s="7">
        <v>18</v>
      </c>
      <c r="J35" s="56">
        <v>18</v>
      </c>
      <c r="K35" s="56">
        <v>18</v>
      </c>
      <c r="L35" s="56">
        <v>18</v>
      </c>
      <c r="M35" s="56">
        <v>18</v>
      </c>
      <c r="N35" s="56">
        <v>18</v>
      </c>
      <c r="O35" s="56">
        <v>18</v>
      </c>
      <c r="P35" s="56">
        <v>18</v>
      </c>
      <c r="Q35" s="56">
        <v>18</v>
      </c>
      <c r="R35" s="56">
        <v>18</v>
      </c>
      <c r="S35" s="56">
        <v>18</v>
      </c>
      <c r="T35" s="56">
        <v>18</v>
      </c>
      <c r="U35" s="56">
        <v>18</v>
      </c>
      <c r="V35" s="56">
        <v>18</v>
      </c>
      <c r="W35" s="56">
        <v>18</v>
      </c>
      <c r="X35" s="56">
        <v>18</v>
      </c>
      <c r="Y35" s="56">
        <v>18</v>
      </c>
      <c r="Z35" s="56">
        <v>18</v>
      </c>
      <c r="AA35" s="56">
        <v>18</v>
      </c>
      <c r="AB35" s="56">
        <v>18</v>
      </c>
      <c r="AC35" s="56">
        <v>18</v>
      </c>
      <c r="AD35" s="56">
        <v>18</v>
      </c>
      <c r="AE35" s="56">
        <v>18</v>
      </c>
      <c r="AF35" s="56">
        <v>18</v>
      </c>
      <c r="AG35" s="56">
        <v>18</v>
      </c>
      <c r="AH35" s="56">
        <v>18</v>
      </c>
      <c r="AI35" s="56">
        <v>18</v>
      </c>
      <c r="AJ35" s="56">
        <f t="shared" ref="AJ35:AS35" si="42">AI35</f>
        <v>18</v>
      </c>
      <c r="AK35" s="56">
        <f t="shared" si="42"/>
        <v>18</v>
      </c>
      <c r="AL35" s="56">
        <f t="shared" si="42"/>
        <v>18</v>
      </c>
      <c r="AM35" s="56">
        <f t="shared" si="42"/>
        <v>18</v>
      </c>
      <c r="AN35" s="56">
        <f t="shared" si="42"/>
        <v>18</v>
      </c>
      <c r="AO35" s="56">
        <f t="shared" si="42"/>
        <v>18</v>
      </c>
      <c r="AP35" s="56">
        <f t="shared" si="42"/>
        <v>18</v>
      </c>
      <c r="AQ35" s="56">
        <f t="shared" si="42"/>
        <v>18</v>
      </c>
      <c r="AR35" s="56">
        <f t="shared" si="42"/>
        <v>18</v>
      </c>
      <c r="AS35" s="56">
        <f t="shared" si="42"/>
        <v>18</v>
      </c>
    </row>
    <row r="36" spans="1:45" x14ac:dyDescent="0.35">
      <c r="A36" s="78" t="str">
        <f t="shared" si="28"/>
        <v>LOW_PMR1</v>
      </c>
      <c r="B36" s="51" t="s">
        <v>24</v>
      </c>
      <c r="C36" s="51" t="s">
        <v>9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55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  <c r="AG36" s="55">
        <v>0</v>
      </c>
      <c r="AH36" s="55">
        <v>0</v>
      </c>
      <c r="AI36" s="55">
        <v>0</v>
      </c>
      <c r="AJ36" s="55">
        <f t="shared" ref="AJ36:AS36" si="43">AI36</f>
        <v>0</v>
      </c>
      <c r="AK36" s="55">
        <f t="shared" si="43"/>
        <v>0</v>
      </c>
      <c r="AL36" s="55">
        <f t="shared" si="43"/>
        <v>0</v>
      </c>
      <c r="AM36" s="55">
        <f t="shared" si="43"/>
        <v>0</v>
      </c>
      <c r="AN36" s="55">
        <f t="shared" si="43"/>
        <v>0</v>
      </c>
      <c r="AO36" s="55">
        <f t="shared" si="43"/>
        <v>0</v>
      </c>
      <c r="AP36" s="55">
        <f t="shared" si="43"/>
        <v>0</v>
      </c>
      <c r="AQ36" s="55">
        <f t="shared" si="43"/>
        <v>0</v>
      </c>
      <c r="AR36" s="55">
        <f t="shared" si="43"/>
        <v>0</v>
      </c>
      <c r="AS36" s="55">
        <f t="shared" si="43"/>
        <v>0</v>
      </c>
    </row>
    <row r="37" spans="1:45" x14ac:dyDescent="0.35">
      <c r="A37" s="78" t="str">
        <f t="shared" si="28"/>
        <v>LOW_PMR1</v>
      </c>
      <c r="B37" s="52" t="s">
        <v>17</v>
      </c>
      <c r="C37" s="52" t="s">
        <v>9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57">
        <v>0</v>
      </c>
      <c r="K37" s="57">
        <v>0</v>
      </c>
      <c r="L37" s="57">
        <v>0</v>
      </c>
      <c r="M37" s="57">
        <v>0</v>
      </c>
      <c r="N37" s="57">
        <v>0</v>
      </c>
      <c r="O37" s="57">
        <v>0</v>
      </c>
      <c r="P37" s="57">
        <v>0</v>
      </c>
      <c r="Q37" s="57">
        <v>0</v>
      </c>
      <c r="R37" s="57">
        <v>0</v>
      </c>
      <c r="S37" s="57">
        <v>0</v>
      </c>
      <c r="T37" s="57">
        <v>0</v>
      </c>
      <c r="U37" s="57">
        <v>0</v>
      </c>
      <c r="V37" s="57">
        <v>0</v>
      </c>
      <c r="W37" s="57">
        <v>0</v>
      </c>
      <c r="X37" s="57">
        <v>0</v>
      </c>
      <c r="Y37" s="57">
        <v>0</v>
      </c>
      <c r="Z37" s="57">
        <v>0</v>
      </c>
      <c r="AA37" s="57">
        <v>0</v>
      </c>
      <c r="AB37" s="57">
        <v>0</v>
      </c>
      <c r="AC37" s="57">
        <v>0</v>
      </c>
      <c r="AD37" s="57">
        <v>0</v>
      </c>
      <c r="AE37" s="57">
        <v>0</v>
      </c>
      <c r="AF37" s="57">
        <v>0</v>
      </c>
      <c r="AG37" s="57">
        <v>0</v>
      </c>
      <c r="AH37" s="57">
        <v>0</v>
      </c>
      <c r="AI37" s="57">
        <v>0</v>
      </c>
      <c r="AJ37" s="57">
        <f t="shared" ref="AJ37:AS37" si="44">AI37</f>
        <v>0</v>
      </c>
      <c r="AK37" s="57">
        <f t="shared" si="44"/>
        <v>0</v>
      </c>
      <c r="AL37" s="57">
        <f t="shared" si="44"/>
        <v>0</v>
      </c>
      <c r="AM37" s="57">
        <f t="shared" si="44"/>
        <v>0</v>
      </c>
      <c r="AN37" s="57">
        <f t="shared" si="44"/>
        <v>0</v>
      </c>
      <c r="AO37" s="57">
        <f t="shared" si="44"/>
        <v>0</v>
      </c>
      <c r="AP37" s="57">
        <f t="shared" si="44"/>
        <v>0</v>
      </c>
      <c r="AQ37" s="57">
        <f t="shared" si="44"/>
        <v>0</v>
      </c>
      <c r="AR37" s="57">
        <f t="shared" si="44"/>
        <v>0</v>
      </c>
      <c r="AS37" s="57">
        <f t="shared" si="44"/>
        <v>0</v>
      </c>
    </row>
    <row r="38" spans="1:45" x14ac:dyDescent="0.35">
      <c r="A38" s="10" t="s">
        <v>7</v>
      </c>
      <c r="B38" s="51" t="s">
        <v>8</v>
      </c>
      <c r="C38" s="51" t="s">
        <v>9</v>
      </c>
      <c r="D38" s="3">
        <v>400.69668080000002</v>
      </c>
      <c r="E38" s="3">
        <v>402.46947069999999</v>
      </c>
      <c r="F38" s="3">
        <v>402.49143750000002</v>
      </c>
      <c r="G38" s="3">
        <v>405.597127</v>
      </c>
      <c r="H38" s="3">
        <v>406.51069790000003</v>
      </c>
      <c r="I38" s="3">
        <v>408.73353279999998</v>
      </c>
      <c r="J38" s="58">
        <v>560</v>
      </c>
      <c r="K38" s="58">
        <v>560</v>
      </c>
      <c r="L38" s="58">
        <v>560</v>
      </c>
      <c r="M38" s="58">
        <v>560</v>
      </c>
      <c r="N38" s="58">
        <v>560</v>
      </c>
      <c r="O38" s="58">
        <v>560</v>
      </c>
      <c r="P38" s="58">
        <v>560</v>
      </c>
      <c r="Q38" s="58">
        <v>560</v>
      </c>
      <c r="R38" s="58">
        <v>560</v>
      </c>
      <c r="S38" s="58">
        <v>560</v>
      </c>
      <c r="T38" s="58">
        <v>560</v>
      </c>
      <c r="U38" s="58">
        <v>560</v>
      </c>
      <c r="V38" s="58">
        <v>560</v>
      </c>
      <c r="W38" s="58">
        <v>560</v>
      </c>
      <c r="X38" s="58">
        <v>560</v>
      </c>
      <c r="Y38" s="58">
        <v>560</v>
      </c>
      <c r="Z38" s="58">
        <v>560</v>
      </c>
      <c r="AA38" s="58">
        <v>560</v>
      </c>
      <c r="AB38" s="58">
        <v>560</v>
      </c>
      <c r="AC38" s="58">
        <v>560</v>
      </c>
      <c r="AD38" s="58">
        <v>560</v>
      </c>
      <c r="AE38" s="58">
        <v>560</v>
      </c>
      <c r="AF38" s="58">
        <v>560</v>
      </c>
      <c r="AG38" s="58">
        <v>560</v>
      </c>
      <c r="AH38" s="58">
        <v>560</v>
      </c>
      <c r="AI38" s="58">
        <v>560</v>
      </c>
      <c r="AJ38" s="58">
        <v>560</v>
      </c>
      <c r="AK38" s="58">
        <v>560</v>
      </c>
      <c r="AL38" s="58">
        <v>560</v>
      </c>
      <c r="AM38" s="58">
        <v>560</v>
      </c>
      <c r="AN38" s="58">
        <v>560</v>
      </c>
      <c r="AO38" s="58">
        <v>560</v>
      </c>
      <c r="AP38" s="58">
        <v>560</v>
      </c>
      <c r="AQ38" s="58">
        <v>560</v>
      </c>
      <c r="AR38" s="58">
        <v>560</v>
      </c>
      <c r="AS38" s="58">
        <v>560</v>
      </c>
    </row>
    <row r="39" spans="1:45" x14ac:dyDescent="0.35">
      <c r="A39" s="10" t="str">
        <f t="shared" ref="A39:A49" si="45">A38</f>
        <v>IRP23</v>
      </c>
      <c r="B39" s="50" t="s">
        <v>10</v>
      </c>
      <c r="C39" s="50" t="s">
        <v>9</v>
      </c>
      <c r="D39" s="7">
        <v>400.69668080000002</v>
      </c>
      <c r="E39" s="7">
        <v>402.46947069999999</v>
      </c>
      <c r="F39" s="7">
        <v>402.49143750000002</v>
      </c>
      <c r="G39" s="7">
        <v>405.597127</v>
      </c>
      <c r="H39" s="7">
        <v>406.51069790000003</v>
      </c>
      <c r="I39" s="7">
        <v>408.73353279999998</v>
      </c>
      <c r="J39" s="59">
        <v>560</v>
      </c>
      <c r="K39" s="59">
        <v>560</v>
      </c>
      <c r="L39" s="59">
        <v>560</v>
      </c>
      <c r="M39" s="59">
        <v>560</v>
      </c>
      <c r="N39" s="59">
        <v>560</v>
      </c>
      <c r="O39" s="59">
        <v>560</v>
      </c>
      <c r="P39" s="59">
        <v>560</v>
      </c>
      <c r="Q39" s="59">
        <v>560</v>
      </c>
      <c r="R39" s="59">
        <v>560</v>
      </c>
      <c r="S39" s="59">
        <v>560</v>
      </c>
      <c r="T39" s="59">
        <v>560</v>
      </c>
      <c r="U39" s="59">
        <v>560</v>
      </c>
      <c r="V39" s="59">
        <v>560</v>
      </c>
      <c r="W39" s="59">
        <v>560</v>
      </c>
      <c r="X39" s="59">
        <v>560</v>
      </c>
      <c r="Y39" s="59">
        <v>560</v>
      </c>
      <c r="Z39" s="59">
        <v>560</v>
      </c>
      <c r="AA39" s="59">
        <v>560</v>
      </c>
      <c r="AB39" s="59">
        <v>560</v>
      </c>
      <c r="AC39" s="59">
        <v>560</v>
      </c>
      <c r="AD39" s="59">
        <v>560</v>
      </c>
      <c r="AE39" s="59">
        <v>560</v>
      </c>
      <c r="AF39" s="59">
        <v>560</v>
      </c>
      <c r="AG39" s="59">
        <v>560</v>
      </c>
      <c r="AH39" s="59">
        <v>560</v>
      </c>
      <c r="AI39" s="59">
        <v>560</v>
      </c>
      <c r="AJ39" s="59">
        <v>560</v>
      </c>
      <c r="AK39" s="59">
        <v>560</v>
      </c>
      <c r="AL39" s="59">
        <v>560</v>
      </c>
      <c r="AM39" s="59">
        <v>560</v>
      </c>
      <c r="AN39" s="59">
        <v>560</v>
      </c>
      <c r="AO39" s="59">
        <v>560</v>
      </c>
      <c r="AP39" s="59">
        <v>560</v>
      </c>
      <c r="AQ39" s="59">
        <v>560</v>
      </c>
      <c r="AR39" s="59">
        <v>560</v>
      </c>
      <c r="AS39" s="59">
        <v>560</v>
      </c>
    </row>
    <row r="40" spans="1:45" x14ac:dyDescent="0.35">
      <c r="A40" s="10" t="str">
        <f t="shared" si="45"/>
        <v>IRP23</v>
      </c>
      <c r="B40" s="51" t="s">
        <v>11</v>
      </c>
      <c r="C40" s="51" t="s">
        <v>9</v>
      </c>
      <c r="D40" s="3">
        <v>272</v>
      </c>
      <c r="E40" s="3">
        <v>272</v>
      </c>
      <c r="F40" s="3">
        <v>272</v>
      </c>
      <c r="G40" s="3">
        <v>272</v>
      </c>
      <c r="H40" s="3">
        <v>272</v>
      </c>
      <c r="I40" s="3">
        <v>272</v>
      </c>
      <c r="J40" s="53">
        <v>280</v>
      </c>
      <c r="K40" s="53">
        <v>280</v>
      </c>
      <c r="L40" s="53">
        <v>280</v>
      </c>
      <c r="M40" s="53">
        <v>280</v>
      </c>
      <c r="N40" s="53">
        <v>280</v>
      </c>
      <c r="O40" s="53">
        <v>280</v>
      </c>
      <c r="P40" s="53">
        <v>280</v>
      </c>
      <c r="Q40" s="53">
        <v>280</v>
      </c>
      <c r="R40" s="53">
        <v>280</v>
      </c>
      <c r="S40" s="53">
        <v>280</v>
      </c>
      <c r="T40" s="53">
        <v>280</v>
      </c>
      <c r="U40" s="53">
        <v>280</v>
      </c>
      <c r="V40" s="53">
        <v>280</v>
      </c>
      <c r="W40" s="53">
        <v>280</v>
      </c>
      <c r="X40" s="53">
        <v>280</v>
      </c>
      <c r="Y40" s="53">
        <v>280</v>
      </c>
      <c r="Z40" s="53">
        <v>280</v>
      </c>
      <c r="AA40" s="53">
        <v>280</v>
      </c>
      <c r="AB40" s="53">
        <v>280</v>
      </c>
      <c r="AC40" s="53">
        <v>280</v>
      </c>
      <c r="AD40" s="53">
        <v>280</v>
      </c>
      <c r="AE40" s="53">
        <v>280</v>
      </c>
      <c r="AF40" s="53">
        <v>280</v>
      </c>
      <c r="AG40" s="53">
        <v>280</v>
      </c>
      <c r="AH40" s="53">
        <v>280</v>
      </c>
      <c r="AI40" s="53">
        <v>280</v>
      </c>
      <c r="AJ40" s="53">
        <v>280</v>
      </c>
      <c r="AK40" s="53">
        <v>280</v>
      </c>
      <c r="AL40" s="53">
        <v>280</v>
      </c>
      <c r="AM40" s="53">
        <v>280</v>
      </c>
      <c r="AN40" s="53">
        <v>280</v>
      </c>
      <c r="AO40" s="53">
        <v>280</v>
      </c>
      <c r="AP40" s="53">
        <v>280</v>
      </c>
      <c r="AQ40" s="53">
        <v>280</v>
      </c>
      <c r="AR40" s="53">
        <v>280</v>
      </c>
      <c r="AS40" s="53">
        <v>280</v>
      </c>
    </row>
    <row r="41" spans="1:45" x14ac:dyDescent="0.35">
      <c r="A41" s="10" t="str">
        <f t="shared" si="45"/>
        <v>IRP23</v>
      </c>
      <c r="B41" s="50" t="s">
        <v>12</v>
      </c>
      <c r="C41" s="50" t="s">
        <v>9</v>
      </c>
      <c r="D41" s="7">
        <v>272</v>
      </c>
      <c r="E41" s="7">
        <v>272</v>
      </c>
      <c r="F41" s="7">
        <v>272</v>
      </c>
      <c r="G41" s="7">
        <v>272</v>
      </c>
      <c r="H41" s="7">
        <v>272</v>
      </c>
      <c r="I41" s="7">
        <v>272</v>
      </c>
      <c r="J41" s="15">
        <f t="shared" ref="J41:X41" si="46">J40</f>
        <v>280</v>
      </c>
      <c r="K41" s="15">
        <f t="shared" si="46"/>
        <v>280</v>
      </c>
      <c r="L41" s="15">
        <f t="shared" si="46"/>
        <v>280</v>
      </c>
      <c r="M41" s="15">
        <f t="shared" si="46"/>
        <v>280</v>
      </c>
      <c r="N41" s="15">
        <f t="shared" si="46"/>
        <v>280</v>
      </c>
      <c r="O41" s="15">
        <f t="shared" si="46"/>
        <v>280</v>
      </c>
      <c r="P41" s="15">
        <f t="shared" si="46"/>
        <v>280</v>
      </c>
      <c r="Q41" s="15">
        <f t="shared" si="46"/>
        <v>280</v>
      </c>
      <c r="R41" s="15">
        <f t="shared" si="46"/>
        <v>280</v>
      </c>
      <c r="S41" s="15">
        <f t="shared" si="46"/>
        <v>280</v>
      </c>
      <c r="T41" s="15">
        <f t="shared" si="46"/>
        <v>280</v>
      </c>
      <c r="U41" s="15">
        <f t="shared" si="46"/>
        <v>280</v>
      </c>
      <c r="V41" s="15">
        <f t="shared" si="46"/>
        <v>280</v>
      </c>
      <c r="W41" s="15">
        <f t="shared" si="46"/>
        <v>280</v>
      </c>
      <c r="X41" s="15">
        <f t="shared" si="46"/>
        <v>280</v>
      </c>
      <c r="Y41" s="59">
        <f t="shared" ref="Y41:AS41" si="47">Y38</f>
        <v>560</v>
      </c>
      <c r="Z41" s="59">
        <f t="shared" si="47"/>
        <v>560</v>
      </c>
      <c r="AA41" s="59">
        <f t="shared" si="47"/>
        <v>560</v>
      </c>
      <c r="AB41" s="59">
        <f t="shared" si="47"/>
        <v>560</v>
      </c>
      <c r="AC41" s="59">
        <f t="shared" si="47"/>
        <v>560</v>
      </c>
      <c r="AD41" s="59">
        <f t="shared" si="47"/>
        <v>560</v>
      </c>
      <c r="AE41" s="59">
        <f t="shared" si="47"/>
        <v>560</v>
      </c>
      <c r="AF41" s="59">
        <f t="shared" si="47"/>
        <v>560</v>
      </c>
      <c r="AG41" s="59">
        <f t="shared" si="47"/>
        <v>560</v>
      </c>
      <c r="AH41" s="59">
        <f t="shared" si="47"/>
        <v>560</v>
      </c>
      <c r="AI41" s="59">
        <f t="shared" si="47"/>
        <v>560</v>
      </c>
      <c r="AJ41" s="59">
        <f t="shared" si="47"/>
        <v>560</v>
      </c>
      <c r="AK41" s="59">
        <f t="shared" si="47"/>
        <v>560</v>
      </c>
      <c r="AL41" s="59">
        <f t="shared" si="47"/>
        <v>560</v>
      </c>
      <c r="AM41" s="59">
        <f t="shared" si="47"/>
        <v>560</v>
      </c>
      <c r="AN41" s="59">
        <f t="shared" si="47"/>
        <v>560</v>
      </c>
      <c r="AO41" s="59">
        <f t="shared" si="47"/>
        <v>560</v>
      </c>
      <c r="AP41" s="59">
        <f t="shared" si="47"/>
        <v>560</v>
      </c>
      <c r="AQ41" s="59">
        <f t="shared" si="47"/>
        <v>560</v>
      </c>
      <c r="AR41" s="59">
        <f t="shared" si="47"/>
        <v>560</v>
      </c>
      <c r="AS41" s="59">
        <f t="shared" si="47"/>
        <v>560</v>
      </c>
    </row>
    <row r="42" spans="1:45" x14ac:dyDescent="0.35">
      <c r="A42" s="10" t="str">
        <f t="shared" si="45"/>
        <v>IRP23</v>
      </c>
      <c r="B42" s="51" t="s">
        <v>13</v>
      </c>
      <c r="C42" s="51" t="s">
        <v>9</v>
      </c>
      <c r="D42" s="3">
        <v>272</v>
      </c>
      <c r="E42" s="3">
        <v>272</v>
      </c>
      <c r="F42" s="3">
        <v>272</v>
      </c>
      <c r="G42" s="3">
        <v>272</v>
      </c>
      <c r="H42" s="3">
        <v>272</v>
      </c>
      <c r="I42" s="3">
        <v>272</v>
      </c>
      <c r="J42" s="53">
        <f t="shared" ref="J42:AC42" si="48">J40</f>
        <v>280</v>
      </c>
      <c r="K42" s="53">
        <f t="shared" si="48"/>
        <v>280</v>
      </c>
      <c r="L42" s="53">
        <f t="shared" si="48"/>
        <v>280</v>
      </c>
      <c r="M42" s="53">
        <f t="shared" si="48"/>
        <v>280</v>
      </c>
      <c r="N42" s="53">
        <f t="shared" si="48"/>
        <v>280</v>
      </c>
      <c r="O42" s="53">
        <f t="shared" si="48"/>
        <v>280</v>
      </c>
      <c r="P42" s="53">
        <f t="shared" si="48"/>
        <v>280</v>
      </c>
      <c r="Q42" s="53">
        <f t="shared" si="48"/>
        <v>280</v>
      </c>
      <c r="R42" s="53">
        <f t="shared" si="48"/>
        <v>280</v>
      </c>
      <c r="S42" s="53">
        <f t="shared" si="48"/>
        <v>280</v>
      </c>
      <c r="T42" s="53">
        <f t="shared" si="48"/>
        <v>280</v>
      </c>
      <c r="U42" s="53">
        <f t="shared" si="48"/>
        <v>280</v>
      </c>
      <c r="V42" s="53">
        <f t="shared" si="48"/>
        <v>280</v>
      </c>
      <c r="W42" s="53">
        <f t="shared" si="48"/>
        <v>280</v>
      </c>
      <c r="X42" s="53">
        <f t="shared" si="48"/>
        <v>280</v>
      </c>
      <c r="Y42" s="53">
        <f t="shared" si="48"/>
        <v>280</v>
      </c>
      <c r="Z42" s="53">
        <f t="shared" si="48"/>
        <v>280</v>
      </c>
      <c r="AA42" s="53">
        <f t="shared" si="48"/>
        <v>280</v>
      </c>
      <c r="AB42" s="53">
        <f t="shared" si="48"/>
        <v>280</v>
      </c>
      <c r="AC42" s="53">
        <f t="shared" si="48"/>
        <v>280</v>
      </c>
      <c r="AD42" s="58">
        <f t="shared" ref="AD42:AS42" si="49">AD38</f>
        <v>560</v>
      </c>
      <c r="AE42" s="58">
        <f t="shared" si="49"/>
        <v>560</v>
      </c>
      <c r="AF42" s="58">
        <f t="shared" si="49"/>
        <v>560</v>
      </c>
      <c r="AG42" s="58">
        <f t="shared" si="49"/>
        <v>560</v>
      </c>
      <c r="AH42" s="58">
        <f t="shared" si="49"/>
        <v>560</v>
      </c>
      <c r="AI42" s="58">
        <f t="shared" si="49"/>
        <v>560</v>
      </c>
      <c r="AJ42" s="58">
        <f t="shared" si="49"/>
        <v>560</v>
      </c>
      <c r="AK42" s="58">
        <f t="shared" si="49"/>
        <v>560</v>
      </c>
      <c r="AL42" s="58">
        <f t="shared" si="49"/>
        <v>560</v>
      </c>
      <c r="AM42" s="58">
        <f t="shared" si="49"/>
        <v>560</v>
      </c>
      <c r="AN42" s="58">
        <f t="shared" si="49"/>
        <v>560</v>
      </c>
      <c r="AO42" s="58">
        <f t="shared" si="49"/>
        <v>560</v>
      </c>
      <c r="AP42" s="58">
        <f t="shared" si="49"/>
        <v>560</v>
      </c>
      <c r="AQ42" s="58">
        <f t="shared" si="49"/>
        <v>560</v>
      </c>
      <c r="AR42" s="58">
        <f t="shared" si="49"/>
        <v>560</v>
      </c>
      <c r="AS42" s="58">
        <f t="shared" si="49"/>
        <v>560</v>
      </c>
    </row>
    <row r="43" spans="1:45" x14ac:dyDescent="0.35">
      <c r="A43" s="10" t="str">
        <f t="shared" si="45"/>
        <v>IRP23</v>
      </c>
      <c r="B43" s="50" t="s">
        <v>14</v>
      </c>
      <c r="C43" s="50" t="s">
        <v>9</v>
      </c>
      <c r="D43" s="7">
        <v>272</v>
      </c>
      <c r="E43" s="7">
        <v>272</v>
      </c>
      <c r="F43" s="7">
        <v>272</v>
      </c>
      <c r="G43" s="7">
        <v>272</v>
      </c>
      <c r="H43" s="7">
        <v>272</v>
      </c>
      <c r="I43" s="7">
        <v>272</v>
      </c>
      <c r="J43" s="54">
        <f t="shared" ref="J43:AH43" si="50">J40</f>
        <v>280</v>
      </c>
      <c r="K43" s="54">
        <f t="shared" si="50"/>
        <v>280</v>
      </c>
      <c r="L43" s="54">
        <f t="shared" si="50"/>
        <v>280</v>
      </c>
      <c r="M43" s="54">
        <f t="shared" si="50"/>
        <v>280</v>
      </c>
      <c r="N43" s="54">
        <f t="shared" si="50"/>
        <v>280</v>
      </c>
      <c r="O43" s="54">
        <f t="shared" si="50"/>
        <v>280</v>
      </c>
      <c r="P43" s="54">
        <f t="shared" si="50"/>
        <v>280</v>
      </c>
      <c r="Q43" s="54">
        <f t="shared" si="50"/>
        <v>280</v>
      </c>
      <c r="R43" s="54">
        <f t="shared" si="50"/>
        <v>280</v>
      </c>
      <c r="S43" s="54">
        <f t="shared" si="50"/>
        <v>280</v>
      </c>
      <c r="T43" s="54">
        <f t="shared" si="50"/>
        <v>280</v>
      </c>
      <c r="U43" s="54">
        <f t="shared" si="50"/>
        <v>280</v>
      </c>
      <c r="V43" s="54">
        <f t="shared" si="50"/>
        <v>280</v>
      </c>
      <c r="W43" s="54">
        <f t="shared" si="50"/>
        <v>280</v>
      </c>
      <c r="X43" s="54">
        <f t="shared" si="50"/>
        <v>280</v>
      </c>
      <c r="Y43" s="54">
        <f t="shared" si="50"/>
        <v>280</v>
      </c>
      <c r="Z43" s="54">
        <f t="shared" si="50"/>
        <v>280</v>
      </c>
      <c r="AA43" s="54">
        <f t="shared" si="50"/>
        <v>280</v>
      </c>
      <c r="AB43" s="54">
        <f t="shared" si="50"/>
        <v>280</v>
      </c>
      <c r="AC43" s="54">
        <f t="shared" si="50"/>
        <v>280</v>
      </c>
      <c r="AD43" s="15">
        <f t="shared" si="50"/>
        <v>280</v>
      </c>
      <c r="AE43" s="15">
        <f t="shared" si="50"/>
        <v>280</v>
      </c>
      <c r="AF43" s="15">
        <f t="shared" si="50"/>
        <v>280</v>
      </c>
      <c r="AG43" s="15">
        <f t="shared" si="50"/>
        <v>280</v>
      </c>
      <c r="AH43" s="15">
        <f t="shared" si="50"/>
        <v>280</v>
      </c>
      <c r="AI43" s="59">
        <f t="shared" ref="AI43:AS43" si="51">AI38</f>
        <v>560</v>
      </c>
      <c r="AJ43" s="59">
        <f t="shared" si="51"/>
        <v>560</v>
      </c>
      <c r="AK43" s="59">
        <f t="shared" si="51"/>
        <v>560</v>
      </c>
      <c r="AL43" s="59">
        <f t="shared" si="51"/>
        <v>560</v>
      </c>
      <c r="AM43" s="59">
        <f t="shared" si="51"/>
        <v>560</v>
      </c>
      <c r="AN43" s="59">
        <f t="shared" si="51"/>
        <v>560</v>
      </c>
      <c r="AO43" s="59">
        <f t="shared" si="51"/>
        <v>560</v>
      </c>
      <c r="AP43" s="59">
        <f t="shared" si="51"/>
        <v>560</v>
      </c>
      <c r="AQ43" s="59">
        <f t="shared" si="51"/>
        <v>560</v>
      </c>
      <c r="AR43" s="59">
        <f t="shared" si="51"/>
        <v>560</v>
      </c>
      <c r="AS43" s="59">
        <f t="shared" si="51"/>
        <v>560</v>
      </c>
    </row>
    <row r="44" spans="1:45" x14ac:dyDescent="0.35">
      <c r="A44" s="10" t="str">
        <f t="shared" si="45"/>
        <v>IRP23</v>
      </c>
      <c r="B44" s="51" t="s">
        <v>15</v>
      </c>
      <c r="C44" s="51" t="s">
        <v>9</v>
      </c>
      <c r="D44" s="3">
        <v>272</v>
      </c>
      <c r="E44" s="3">
        <v>272</v>
      </c>
      <c r="F44" s="3">
        <v>272</v>
      </c>
      <c r="G44" s="3">
        <v>272</v>
      </c>
      <c r="H44" s="3">
        <v>272</v>
      </c>
      <c r="I44" s="3">
        <v>272</v>
      </c>
      <c r="J44" s="53">
        <f t="shared" ref="J44:AC44" si="52">J42</f>
        <v>280</v>
      </c>
      <c r="K44" s="53">
        <f t="shared" si="52"/>
        <v>280</v>
      </c>
      <c r="L44" s="53">
        <f t="shared" si="52"/>
        <v>280</v>
      </c>
      <c r="M44" s="53">
        <f t="shared" si="52"/>
        <v>280</v>
      </c>
      <c r="N44" s="53">
        <f t="shared" si="52"/>
        <v>280</v>
      </c>
      <c r="O44" s="53">
        <f t="shared" si="52"/>
        <v>280</v>
      </c>
      <c r="P44" s="53">
        <f t="shared" si="52"/>
        <v>280</v>
      </c>
      <c r="Q44" s="53">
        <f t="shared" si="52"/>
        <v>280</v>
      </c>
      <c r="R44" s="53">
        <f t="shared" si="52"/>
        <v>280</v>
      </c>
      <c r="S44" s="53">
        <f t="shared" si="52"/>
        <v>280</v>
      </c>
      <c r="T44" s="53">
        <f t="shared" si="52"/>
        <v>280</v>
      </c>
      <c r="U44" s="53">
        <f t="shared" si="52"/>
        <v>280</v>
      </c>
      <c r="V44" s="53">
        <f t="shared" si="52"/>
        <v>280</v>
      </c>
      <c r="W44" s="53">
        <f t="shared" si="52"/>
        <v>280</v>
      </c>
      <c r="X44" s="53">
        <f t="shared" si="52"/>
        <v>280</v>
      </c>
      <c r="Y44" s="53">
        <f t="shared" si="52"/>
        <v>280</v>
      </c>
      <c r="Z44" s="53">
        <f t="shared" si="52"/>
        <v>280</v>
      </c>
      <c r="AA44" s="53">
        <f t="shared" si="52"/>
        <v>280</v>
      </c>
      <c r="AB44" s="53">
        <f t="shared" si="52"/>
        <v>280</v>
      </c>
      <c r="AC44" s="53">
        <f t="shared" si="52"/>
        <v>280</v>
      </c>
      <c r="AD44" s="53">
        <f t="shared" ref="AD44:AS44" si="53">AD40</f>
        <v>280</v>
      </c>
      <c r="AE44" s="53">
        <f t="shared" si="53"/>
        <v>280</v>
      </c>
      <c r="AF44" s="53">
        <f t="shared" si="53"/>
        <v>280</v>
      </c>
      <c r="AG44" s="53">
        <f t="shared" si="53"/>
        <v>280</v>
      </c>
      <c r="AH44" s="53">
        <f t="shared" si="53"/>
        <v>280</v>
      </c>
      <c r="AI44" s="53">
        <f t="shared" si="53"/>
        <v>280</v>
      </c>
      <c r="AJ44" s="53">
        <f t="shared" si="53"/>
        <v>280</v>
      </c>
      <c r="AK44" s="53">
        <f t="shared" si="53"/>
        <v>280</v>
      </c>
      <c r="AL44" s="53">
        <f t="shared" si="53"/>
        <v>280</v>
      </c>
      <c r="AM44" s="53">
        <f t="shared" si="53"/>
        <v>280</v>
      </c>
      <c r="AN44" s="58">
        <f t="shared" si="53"/>
        <v>280</v>
      </c>
      <c r="AO44" s="58">
        <f t="shared" si="53"/>
        <v>280</v>
      </c>
      <c r="AP44" s="58">
        <f t="shared" si="53"/>
        <v>280</v>
      </c>
      <c r="AQ44" s="58">
        <f t="shared" si="53"/>
        <v>280</v>
      </c>
      <c r="AR44" s="58">
        <f t="shared" si="53"/>
        <v>280</v>
      </c>
      <c r="AS44" s="58">
        <f t="shared" si="53"/>
        <v>280</v>
      </c>
    </row>
    <row r="45" spans="1:45" x14ac:dyDescent="0.35">
      <c r="A45" s="10" t="str">
        <f t="shared" si="45"/>
        <v>IRP23</v>
      </c>
      <c r="B45" s="50" t="s">
        <v>16</v>
      </c>
      <c r="C45" s="50" t="s">
        <v>9</v>
      </c>
      <c r="D45" s="7">
        <v>272</v>
      </c>
      <c r="E45" s="7">
        <v>272</v>
      </c>
      <c r="F45" s="7">
        <v>272</v>
      </c>
      <c r="G45" s="7">
        <v>272</v>
      </c>
      <c r="H45" s="7">
        <v>272</v>
      </c>
      <c r="I45" s="7">
        <v>272</v>
      </c>
      <c r="J45" s="54">
        <f t="shared" ref="J45:AH45" si="54">J42</f>
        <v>280</v>
      </c>
      <c r="K45" s="54">
        <f t="shared" si="54"/>
        <v>280</v>
      </c>
      <c r="L45" s="54">
        <f t="shared" si="54"/>
        <v>280</v>
      </c>
      <c r="M45" s="54">
        <f t="shared" si="54"/>
        <v>280</v>
      </c>
      <c r="N45" s="54">
        <f t="shared" si="54"/>
        <v>280</v>
      </c>
      <c r="O45" s="54">
        <f t="shared" si="54"/>
        <v>280</v>
      </c>
      <c r="P45" s="54">
        <f t="shared" si="54"/>
        <v>280</v>
      </c>
      <c r="Q45" s="54">
        <f t="shared" si="54"/>
        <v>280</v>
      </c>
      <c r="R45" s="54">
        <f t="shared" si="54"/>
        <v>280</v>
      </c>
      <c r="S45" s="54">
        <f t="shared" si="54"/>
        <v>280</v>
      </c>
      <c r="T45" s="54">
        <f t="shared" si="54"/>
        <v>280</v>
      </c>
      <c r="U45" s="54">
        <f t="shared" si="54"/>
        <v>280</v>
      </c>
      <c r="V45" s="54">
        <f t="shared" si="54"/>
        <v>280</v>
      </c>
      <c r="W45" s="54">
        <f t="shared" si="54"/>
        <v>280</v>
      </c>
      <c r="X45" s="54">
        <f t="shared" si="54"/>
        <v>280</v>
      </c>
      <c r="Y45" s="54">
        <f t="shared" si="54"/>
        <v>280</v>
      </c>
      <c r="Z45" s="54">
        <f t="shared" si="54"/>
        <v>280</v>
      </c>
      <c r="AA45" s="54">
        <f t="shared" si="54"/>
        <v>280</v>
      </c>
      <c r="AB45" s="54">
        <f t="shared" si="54"/>
        <v>280</v>
      </c>
      <c r="AC45" s="54">
        <f t="shared" si="54"/>
        <v>280</v>
      </c>
      <c r="AD45" s="54">
        <f t="shared" si="54"/>
        <v>560</v>
      </c>
      <c r="AE45" s="54">
        <f t="shared" si="54"/>
        <v>560</v>
      </c>
      <c r="AF45" s="54">
        <f t="shared" si="54"/>
        <v>560</v>
      </c>
      <c r="AG45" s="54">
        <f t="shared" si="54"/>
        <v>560</v>
      </c>
      <c r="AH45" s="54">
        <f t="shared" si="54"/>
        <v>560</v>
      </c>
      <c r="AI45" s="54">
        <f t="shared" ref="AI45:AR45" si="55">AI40</f>
        <v>280</v>
      </c>
      <c r="AJ45" s="54">
        <f t="shared" si="55"/>
        <v>280</v>
      </c>
      <c r="AK45" s="54">
        <f t="shared" si="55"/>
        <v>280</v>
      </c>
      <c r="AL45" s="54">
        <f t="shared" si="55"/>
        <v>280</v>
      </c>
      <c r="AM45" s="54">
        <f t="shared" si="55"/>
        <v>280</v>
      </c>
      <c r="AN45" s="15">
        <f t="shared" si="55"/>
        <v>280</v>
      </c>
      <c r="AO45" s="15">
        <f t="shared" si="55"/>
        <v>280</v>
      </c>
      <c r="AP45" s="15">
        <f t="shared" si="55"/>
        <v>280</v>
      </c>
      <c r="AQ45" s="15">
        <f t="shared" si="55"/>
        <v>280</v>
      </c>
      <c r="AR45" s="15">
        <f t="shared" si="55"/>
        <v>280</v>
      </c>
      <c r="AS45" s="59">
        <f>AS38</f>
        <v>560</v>
      </c>
    </row>
    <row r="46" spans="1:45" x14ac:dyDescent="0.35">
      <c r="A46" s="10" t="str">
        <f>A43</f>
        <v>IRP23</v>
      </c>
      <c r="B46" s="51" t="s">
        <v>22</v>
      </c>
      <c r="C46" s="51" t="s">
        <v>9</v>
      </c>
      <c r="D46" s="3">
        <v>45.18</v>
      </c>
      <c r="E46" s="3">
        <v>45.18</v>
      </c>
      <c r="F46" s="3">
        <v>45.18</v>
      </c>
      <c r="G46" s="3">
        <v>45.18</v>
      </c>
      <c r="H46" s="3">
        <v>45.18</v>
      </c>
      <c r="I46" s="3">
        <v>45.18</v>
      </c>
      <c r="J46" s="55">
        <v>45.18</v>
      </c>
      <c r="K46" s="55">
        <v>45.18</v>
      </c>
      <c r="L46" s="55">
        <v>45.18</v>
      </c>
      <c r="M46" s="55">
        <v>45.18</v>
      </c>
      <c r="N46" s="55">
        <v>45.18</v>
      </c>
      <c r="O46" s="55">
        <v>45.18</v>
      </c>
      <c r="P46" s="55">
        <v>45.18</v>
      </c>
      <c r="Q46" s="55">
        <v>45.18</v>
      </c>
      <c r="R46" s="55">
        <v>45.18</v>
      </c>
      <c r="S46" s="55">
        <v>45.18</v>
      </c>
      <c r="T46" s="55">
        <v>45.18</v>
      </c>
      <c r="U46" s="55">
        <v>45.18</v>
      </c>
      <c r="V46" s="55">
        <v>45.18</v>
      </c>
      <c r="W46" s="55">
        <v>45.18</v>
      </c>
      <c r="X46" s="55">
        <v>45.18</v>
      </c>
      <c r="Y46" s="55">
        <v>45.18</v>
      </c>
      <c r="Z46" s="55">
        <v>45.18</v>
      </c>
      <c r="AA46" s="55">
        <v>45.18</v>
      </c>
      <c r="AB46" s="55">
        <v>45.18</v>
      </c>
      <c r="AC46" s="55">
        <v>45.18</v>
      </c>
      <c r="AD46" s="55">
        <v>45.18</v>
      </c>
      <c r="AE46" s="55">
        <v>45.18</v>
      </c>
      <c r="AF46" s="55">
        <v>45.18</v>
      </c>
      <c r="AG46" s="55">
        <v>45.18</v>
      </c>
      <c r="AH46" s="55">
        <v>45.18</v>
      </c>
      <c r="AI46" s="55">
        <v>45.18</v>
      </c>
      <c r="AJ46" s="55">
        <f t="shared" ref="AJ46:AS46" si="56">AI46</f>
        <v>45.18</v>
      </c>
      <c r="AK46" s="55">
        <f t="shared" si="56"/>
        <v>45.18</v>
      </c>
      <c r="AL46" s="55">
        <f t="shared" si="56"/>
        <v>45.18</v>
      </c>
      <c r="AM46" s="55">
        <f t="shared" si="56"/>
        <v>45.18</v>
      </c>
      <c r="AN46" s="55">
        <f t="shared" si="56"/>
        <v>45.18</v>
      </c>
      <c r="AO46" s="55">
        <f t="shared" si="56"/>
        <v>45.18</v>
      </c>
      <c r="AP46" s="55">
        <f t="shared" si="56"/>
        <v>45.18</v>
      </c>
      <c r="AQ46" s="55">
        <f t="shared" si="56"/>
        <v>45.18</v>
      </c>
      <c r="AR46" s="55">
        <f t="shared" si="56"/>
        <v>45.18</v>
      </c>
      <c r="AS46" s="55">
        <f t="shared" si="56"/>
        <v>45.18</v>
      </c>
    </row>
    <row r="47" spans="1:45" x14ac:dyDescent="0.35">
      <c r="A47" s="10" t="str">
        <f t="shared" si="45"/>
        <v>IRP23</v>
      </c>
      <c r="B47" s="50" t="s">
        <v>23</v>
      </c>
      <c r="C47" s="50" t="s">
        <v>9</v>
      </c>
      <c r="D47" s="7">
        <v>18</v>
      </c>
      <c r="E47" s="7">
        <v>18</v>
      </c>
      <c r="F47" s="7">
        <v>18</v>
      </c>
      <c r="G47" s="7">
        <v>18</v>
      </c>
      <c r="H47" s="7">
        <v>18</v>
      </c>
      <c r="I47" s="7">
        <v>18</v>
      </c>
      <c r="J47" s="56">
        <v>18</v>
      </c>
      <c r="K47" s="56">
        <v>18</v>
      </c>
      <c r="L47" s="56">
        <v>18</v>
      </c>
      <c r="M47" s="56">
        <v>18</v>
      </c>
      <c r="N47" s="56">
        <v>18</v>
      </c>
      <c r="O47" s="56">
        <v>18</v>
      </c>
      <c r="P47" s="56">
        <v>18</v>
      </c>
      <c r="Q47" s="56">
        <v>18</v>
      </c>
      <c r="R47" s="56">
        <v>18</v>
      </c>
      <c r="S47" s="56">
        <v>18</v>
      </c>
      <c r="T47" s="56">
        <v>18</v>
      </c>
      <c r="U47" s="56">
        <v>18</v>
      </c>
      <c r="V47" s="56">
        <v>18</v>
      </c>
      <c r="W47" s="56">
        <v>18</v>
      </c>
      <c r="X47" s="56">
        <v>18</v>
      </c>
      <c r="Y47" s="56">
        <v>18</v>
      </c>
      <c r="Z47" s="56">
        <v>18</v>
      </c>
      <c r="AA47" s="56">
        <v>18</v>
      </c>
      <c r="AB47" s="56">
        <v>18</v>
      </c>
      <c r="AC47" s="56">
        <v>18</v>
      </c>
      <c r="AD47" s="56">
        <v>18</v>
      </c>
      <c r="AE47" s="56">
        <v>18</v>
      </c>
      <c r="AF47" s="56">
        <v>18</v>
      </c>
      <c r="AG47" s="56">
        <v>18</v>
      </c>
      <c r="AH47" s="56">
        <v>18</v>
      </c>
      <c r="AI47" s="56">
        <v>18</v>
      </c>
      <c r="AJ47" s="56">
        <f t="shared" ref="AJ47:AS47" si="57">AI47</f>
        <v>18</v>
      </c>
      <c r="AK47" s="56">
        <f t="shared" si="57"/>
        <v>18</v>
      </c>
      <c r="AL47" s="56">
        <f t="shared" si="57"/>
        <v>18</v>
      </c>
      <c r="AM47" s="56">
        <f t="shared" si="57"/>
        <v>18</v>
      </c>
      <c r="AN47" s="56">
        <f t="shared" si="57"/>
        <v>18</v>
      </c>
      <c r="AO47" s="56">
        <f t="shared" si="57"/>
        <v>18</v>
      </c>
      <c r="AP47" s="56">
        <f t="shared" si="57"/>
        <v>18</v>
      </c>
      <c r="AQ47" s="56">
        <f t="shared" si="57"/>
        <v>18</v>
      </c>
      <c r="AR47" s="56">
        <f t="shared" si="57"/>
        <v>18</v>
      </c>
      <c r="AS47" s="56">
        <f t="shared" si="57"/>
        <v>18</v>
      </c>
    </row>
    <row r="48" spans="1:45" x14ac:dyDescent="0.35">
      <c r="A48" s="10" t="str">
        <f t="shared" si="45"/>
        <v>IRP23</v>
      </c>
      <c r="B48" s="51" t="s">
        <v>24</v>
      </c>
      <c r="C48" s="51" t="s">
        <v>9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55">
        <v>0</v>
      </c>
      <c r="K48" s="55">
        <v>0</v>
      </c>
      <c r="L48" s="55">
        <v>0</v>
      </c>
      <c r="M48" s="55">
        <v>0</v>
      </c>
      <c r="N48" s="55">
        <v>0</v>
      </c>
      <c r="O48" s="55">
        <v>0</v>
      </c>
      <c r="P48" s="55">
        <v>0</v>
      </c>
      <c r="Q48" s="55">
        <v>0</v>
      </c>
      <c r="R48" s="55">
        <v>0</v>
      </c>
      <c r="S48" s="55">
        <v>0</v>
      </c>
      <c r="T48" s="55">
        <v>0</v>
      </c>
      <c r="U48" s="55">
        <v>0</v>
      </c>
      <c r="V48" s="55">
        <v>0</v>
      </c>
      <c r="W48" s="55">
        <v>0</v>
      </c>
      <c r="X48" s="55">
        <v>0</v>
      </c>
      <c r="Y48" s="55">
        <v>0</v>
      </c>
      <c r="Z48" s="55">
        <v>0</v>
      </c>
      <c r="AA48" s="55">
        <v>0</v>
      </c>
      <c r="AB48" s="55">
        <v>0</v>
      </c>
      <c r="AC48" s="55">
        <v>0</v>
      </c>
      <c r="AD48" s="55">
        <v>0</v>
      </c>
      <c r="AE48" s="55">
        <v>0</v>
      </c>
      <c r="AF48" s="55">
        <v>0</v>
      </c>
      <c r="AG48" s="55">
        <v>0</v>
      </c>
      <c r="AH48" s="55">
        <v>0</v>
      </c>
      <c r="AI48" s="55">
        <v>0</v>
      </c>
      <c r="AJ48" s="55">
        <f t="shared" ref="AJ48:AS48" si="58">AI48</f>
        <v>0</v>
      </c>
      <c r="AK48" s="55">
        <f t="shared" si="58"/>
        <v>0</v>
      </c>
      <c r="AL48" s="55">
        <f t="shared" si="58"/>
        <v>0</v>
      </c>
      <c r="AM48" s="55">
        <f t="shared" si="58"/>
        <v>0</v>
      </c>
      <c r="AN48" s="55">
        <f t="shared" si="58"/>
        <v>0</v>
      </c>
      <c r="AO48" s="55">
        <f t="shared" si="58"/>
        <v>0</v>
      </c>
      <c r="AP48" s="55">
        <f t="shared" si="58"/>
        <v>0</v>
      </c>
      <c r="AQ48" s="55">
        <f t="shared" si="58"/>
        <v>0</v>
      </c>
      <c r="AR48" s="55">
        <f t="shared" si="58"/>
        <v>0</v>
      </c>
      <c r="AS48" s="55">
        <f t="shared" si="58"/>
        <v>0</v>
      </c>
    </row>
    <row r="49" spans="1:45" x14ac:dyDescent="0.35">
      <c r="A49" s="23" t="str">
        <f t="shared" si="45"/>
        <v>IRP23</v>
      </c>
      <c r="B49" s="52" t="s">
        <v>17</v>
      </c>
      <c r="C49" s="52" t="s">
        <v>9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57">
        <v>0</v>
      </c>
      <c r="K49" s="57">
        <v>0</v>
      </c>
      <c r="L49" s="57">
        <v>0</v>
      </c>
      <c r="M49" s="57">
        <v>0</v>
      </c>
      <c r="N49" s="57">
        <v>0</v>
      </c>
      <c r="O49" s="57">
        <v>0</v>
      </c>
      <c r="P49" s="57">
        <v>0</v>
      </c>
      <c r="Q49" s="57">
        <v>0</v>
      </c>
      <c r="R49" s="57">
        <v>0</v>
      </c>
      <c r="S49" s="57">
        <v>0</v>
      </c>
      <c r="T49" s="57">
        <v>0</v>
      </c>
      <c r="U49" s="57">
        <v>0</v>
      </c>
      <c r="V49" s="57">
        <v>0</v>
      </c>
      <c r="W49" s="57">
        <v>0</v>
      </c>
      <c r="X49" s="57">
        <v>0</v>
      </c>
      <c r="Y49" s="57">
        <v>0</v>
      </c>
      <c r="Z49" s="57">
        <v>0</v>
      </c>
      <c r="AA49" s="57">
        <v>0</v>
      </c>
      <c r="AB49" s="57">
        <v>0</v>
      </c>
      <c r="AC49" s="57">
        <v>0</v>
      </c>
      <c r="AD49" s="57">
        <v>0</v>
      </c>
      <c r="AE49" s="57">
        <v>0</v>
      </c>
      <c r="AF49" s="57">
        <v>0</v>
      </c>
      <c r="AG49" s="57">
        <v>0</v>
      </c>
      <c r="AH49" s="57">
        <v>0</v>
      </c>
      <c r="AI49" s="57">
        <v>0</v>
      </c>
      <c r="AJ49" s="57">
        <f t="shared" ref="AJ49:AS49" si="59">AI49</f>
        <v>0</v>
      </c>
      <c r="AK49" s="57">
        <f t="shared" si="59"/>
        <v>0</v>
      </c>
      <c r="AL49" s="57">
        <f t="shared" si="59"/>
        <v>0</v>
      </c>
      <c r="AM49" s="57">
        <f t="shared" si="59"/>
        <v>0</v>
      </c>
      <c r="AN49" s="57">
        <f t="shared" si="59"/>
        <v>0</v>
      </c>
      <c r="AO49" s="57">
        <f t="shared" si="59"/>
        <v>0</v>
      </c>
      <c r="AP49" s="57">
        <f t="shared" si="59"/>
        <v>0</v>
      </c>
      <c r="AQ49" s="57">
        <f t="shared" si="59"/>
        <v>0</v>
      </c>
      <c r="AR49" s="57">
        <f t="shared" si="59"/>
        <v>0</v>
      </c>
      <c r="AS49" s="57">
        <f t="shared" si="59"/>
        <v>0</v>
      </c>
    </row>
    <row r="50" spans="1:45" x14ac:dyDescent="0.35">
      <c r="A50" s="24" t="s">
        <v>25</v>
      </c>
      <c r="B50" s="51" t="s">
        <v>8</v>
      </c>
      <c r="C50" s="51" t="s">
        <v>9</v>
      </c>
      <c r="D50" s="3">
        <v>400.69668080000002</v>
      </c>
      <c r="E50" s="3">
        <v>402.46947069999999</v>
      </c>
      <c r="F50" s="3">
        <v>402.49143750000002</v>
      </c>
      <c r="G50" s="3">
        <v>405.597127</v>
      </c>
      <c r="H50" s="3">
        <v>406.51069790000003</v>
      </c>
      <c r="I50" s="3">
        <v>408.73353279999998</v>
      </c>
      <c r="J50" s="16">
        <f>816*1.06</f>
        <v>864.96</v>
      </c>
      <c r="K50" s="16">
        <f t="shared" ref="K50:AS51" si="60">816*1.06</f>
        <v>864.96</v>
      </c>
      <c r="L50" s="16">
        <f t="shared" si="60"/>
        <v>864.96</v>
      </c>
      <c r="M50" s="16">
        <f t="shared" si="60"/>
        <v>864.96</v>
      </c>
      <c r="N50" s="16">
        <f t="shared" si="60"/>
        <v>864.96</v>
      </c>
      <c r="O50" s="16">
        <f t="shared" si="60"/>
        <v>864.96</v>
      </c>
      <c r="P50" s="16">
        <f t="shared" si="60"/>
        <v>864.96</v>
      </c>
      <c r="Q50" s="16">
        <f t="shared" si="60"/>
        <v>864.96</v>
      </c>
      <c r="R50" s="16">
        <f t="shared" si="60"/>
        <v>864.96</v>
      </c>
      <c r="S50" s="16">
        <f t="shared" si="60"/>
        <v>864.96</v>
      </c>
      <c r="T50" s="16">
        <f t="shared" si="60"/>
        <v>864.96</v>
      </c>
      <c r="U50" s="16">
        <f t="shared" si="60"/>
        <v>864.96</v>
      </c>
      <c r="V50" s="16">
        <f t="shared" si="60"/>
        <v>864.96</v>
      </c>
      <c r="W50" s="16">
        <f t="shared" si="60"/>
        <v>864.96</v>
      </c>
      <c r="X50" s="16">
        <f t="shared" si="60"/>
        <v>864.96</v>
      </c>
      <c r="Y50" s="16">
        <f t="shared" si="60"/>
        <v>864.96</v>
      </c>
      <c r="Z50" s="16">
        <f t="shared" si="60"/>
        <v>864.96</v>
      </c>
      <c r="AA50" s="16">
        <f t="shared" si="60"/>
        <v>864.96</v>
      </c>
      <c r="AB50" s="16">
        <f t="shared" si="60"/>
        <v>864.96</v>
      </c>
      <c r="AC50" s="16">
        <f t="shared" si="60"/>
        <v>864.96</v>
      </c>
      <c r="AD50" s="16">
        <f t="shared" si="60"/>
        <v>864.96</v>
      </c>
      <c r="AE50" s="16">
        <f t="shared" si="60"/>
        <v>864.96</v>
      </c>
      <c r="AF50" s="16">
        <f t="shared" si="60"/>
        <v>864.96</v>
      </c>
      <c r="AG50" s="16">
        <f t="shared" si="60"/>
        <v>864.96</v>
      </c>
      <c r="AH50" s="16">
        <f t="shared" si="60"/>
        <v>864.96</v>
      </c>
      <c r="AI50" s="16">
        <f t="shared" si="60"/>
        <v>864.96</v>
      </c>
      <c r="AJ50" s="16">
        <f t="shared" si="60"/>
        <v>864.96</v>
      </c>
      <c r="AK50" s="16">
        <f t="shared" si="60"/>
        <v>864.96</v>
      </c>
      <c r="AL50" s="16">
        <f t="shared" si="60"/>
        <v>864.96</v>
      </c>
      <c r="AM50" s="16">
        <f t="shared" si="60"/>
        <v>864.96</v>
      </c>
      <c r="AN50" s="16">
        <f t="shared" si="60"/>
        <v>864.96</v>
      </c>
      <c r="AO50" s="16">
        <f t="shared" si="60"/>
        <v>864.96</v>
      </c>
      <c r="AP50" s="16">
        <f t="shared" si="60"/>
        <v>864.96</v>
      </c>
      <c r="AQ50" s="16">
        <f t="shared" si="60"/>
        <v>864.96</v>
      </c>
      <c r="AR50" s="16">
        <f t="shared" si="60"/>
        <v>864.96</v>
      </c>
      <c r="AS50" s="16">
        <f t="shared" si="60"/>
        <v>864.96</v>
      </c>
    </row>
    <row r="51" spans="1:45" x14ac:dyDescent="0.35">
      <c r="A51" s="24" t="str">
        <f t="shared" ref="A51:A61" si="61">A50</f>
        <v>ME_IRP23</v>
      </c>
      <c r="B51" s="50" t="s">
        <v>10</v>
      </c>
      <c r="C51" s="50" t="s">
        <v>9</v>
      </c>
      <c r="D51" s="7">
        <v>400.69668080000002</v>
      </c>
      <c r="E51" s="7">
        <v>402.46947069999999</v>
      </c>
      <c r="F51" s="7">
        <v>402.49143750000002</v>
      </c>
      <c r="G51" s="7">
        <v>405.597127</v>
      </c>
      <c r="H51" s="7">
        <v>406.51069790000003</v>
      </c>
      <c r="I51" s="7">
        <v>408.73353279999998</v>
      </c>
      <c r="J51" s="16">
        <f>816*1.06</f>
        <v>864.96</v>
      </c>
      <c r="K51" s="16">
        <f t="shared" si="60"/>
        <v>864.96</v>
      </c>
      <c r="L51" s="16">
        <f t="shared" si="60"/>
        <v>864.96</v>
      </c>
      <c r="M51" s="16">
        <f t="shared" si="60"/>
        <v>864.96</v>
      </c>
      <c r="N51" s="16">
        <f t="shared" si="60"/>
        <v>864.96</v>
      </c>
      <c r="O51" s="16">
        <f t="shared" si="60"/>
        <v>864.96</v>
      </c>
      <c r="P51" s="16">
        <f t="shared" si="60"/>
        <v>864.96</v>
      </c>
      <c r="Q51" s="16">
        <f t="shared" si="60"/>
        <v>864.96</v>
      </c>
      <c r="R51" s="16">
        <f t="shared" si="60"/>
        <v>864.96</v>
      </c>
      <c r="S51" s="16">
        <f t="shared" si="60"/>
        <v>864.96</v>
      </c>
      <c r="T51" s="16">
        <f t="shared" si="60"/>
        <v>864.96</v>
      </c>
      <c r="U51" s="16">
        <f t="shared" si="60"/>
        <v>864.96</v>
      </c>
      <c r="V51" s="16">
        <f t="shared" si="60"/>
        <v>864.96</v>
      </c>
      <c r="W51" s="16">
        <f t="shared" si="60"/>
        <v>864.96</v>
      </c>
      <c r="X51" s="16">
        <f t="shared" si="60"/>
        <v>864.96</v>
      </c>
      <c r="Y51" s="16">
        <f t="shared" si="60"/>
        <v>864.96</v>
      </c>
      <c r="Z51" s="16">
        <f t="shared" si="60"/>
        <v>864.96</v>
      </c>
      <c r="AA51" s="16">
        <f t="shared" si="60"/>
        <v>864.96</v>
      </c>
      <c r="AB51" s="16">
        <f t="shared" si="60"/>
        <v>864.96</v>
      </c>
      <c r="AC51" s="16">
        <f t="shared" si="60"/>
        <v>864.96</v>
      </c>
      <c r="AD51" s="16">
        <f t="shared" si="60"/>
        <v>864.96</v>
      </c>
      <c r="AE51" s="16">
        <f t="shared" si="60"/>
        <v>864.96</v>
      </c>
      <c r="AF51" s="16">
        <f t="shared" si="60"/>
        <v>864.96</v>
      </c>
      <c r="AG51" s="16">
        <f t="shared" si="60"/>
        <v>864.96</v>
      </c>
      <c r="AH51" s="16">
        <f t="shared" si="60"/>
        <v>864.96</v>
      </c>
      <c r="AI51" s="16">
        <f t="shared" si="60"/>
        <v>864.96</v>
      </c>
      <c r="AJ51" s="16">
        <f t="shared" si="60"/>
        <v>864.96</v>
      </c>
      <c r="AK51" s="16">
        <f t="shared" si="60"/>
        <v>864.96</v>
      </c>
      <c r="AL51" s="16">
        <f t="shared" si="60"/>
        <v>864.96</v>
      </c>
      <c r="AM51" s="16">
        <f t="shared" si="60"/>
        <v>864.96</v>
      </c>
      <c r="AN51" s="16">
        <f t="shared" si="60"/>
        <v>864.96</v>
      </c>
      <c r="AO51" s="16">
        <f t="shared" si="60"/>
        <v>864.96</v>
      </c>
      <c r="AP51" s="16">
        <f t="shared" si="60"/>
        <v>864.96</v>
      </c>
      <c r="AQ51" s="16">
        <f t="shared" si="60"/>
        <v>864.96</v>
      </c>
      <c r="AR51" s="16">
        <f t="shared" si="60"/>
        <v>864.96</v>
      </c>
      <c r="AS51" s="16">
        <f t="shared" si="60"/>
        <v>864.96</v>
      </c>
    </row>
    <row r="52" spans="1:45" x14ac:dyDescent="0.35">
      <c r="A52" s="24" t="str">
        <f t="shared" si="61"/>
        <v>ME_IRP23</v>
      </c>
      <c r="B52" s="51" t="s">
        <v>11</v>
      </c>
      <c r="C52" s="51" t="s">
        <v>9</v>
      </c>
      <c r="D52" s="3">
        <v>272</v>
      </c>
      <c r="E52" s="3">
        <v>272</v>
      </c>
      <c r="F52" s="3">
        <v>272</v>
      </c>
      <c r="G52" s="3">
        <v>272</v>
      </c>
      <c r="H52" s="3">
        <v>272</v>
      </c>
      <c r="I52" s="3">
        <v>272</v>
      </c>
      <c r="J52" s="16">
        <f>272*1.06</f>
        <v>288.32</v>
      </c>
      <c r="K52" s="16">
        <f t="shared" ref="K52:AS52" si="62">272*1.06</f>
        <v>288.32</v>
      </c>
      <c r="L52" s="16">
        <f t="shared" si="62"/>
        <v>288.32</v>
      </c>
      <c r="M52" s="16">
        <f t="shared" si="62"/>
        <v>288.32</v>
      </c>
      <c r="N52" s="16">
        <f t="shared" si="62"/>
        <v>288.32</v>
      </c>
      <c r="O52" s="16">
        <f t="shared" si="62"/>
        <v>288.32</v>
      </c>
      <c r="P52" s="16">
        <f t="shared" si="62"/>
        <v>288.32</v>
      </c>
      <c r="Q52" s="16">
        <f t="shared" si="62"/>
        <v>288.32</v>
      </c>
      <c r="R52" s="16">
        <f t="shared" si="62"/>
        <v>288.32</v>
      </c>
      <c r="S52" s="16">
        <f t="shared" si="62"/>
        <v>288.32</v>
      </c>
      <c r="T52" s="16">
        <f t="shared" si="62"/>
        <v>288.32</v>
      </c>
      <c r="U52" s="16">
        <f t="shared" si="62"/>
        <v>288.32</v>
      </c>
      <c r="V52" s="16">
        <f t="shared" si="62"/>
        <v>288.32</v>
      </c>
      <c r="W52" s="16">
        <f t="shared" si="62"/>
        <v>288.32</v>
      </c>
      <c r="X52" s="16">
        <f t="shared" si="62"/>
        <v>288.32</v>
      </c>
      <c r="Y52" s="16">
        <f t="shared" si="62"/>
        <v>288.32</v>
      </c>
      <c r="Z52" s="16">
        <f t="shared" si="62"/>
        <v>288.32</v>
      </c>
      <c r="AA52" s="16">
        <f t="shared" si="62"/>
        <v>288.32</v>
      </c>
      <c r="AB52" s="16">
        <f t="shared" si="62"/>
        <v>288.32</v>
      </c>
      <c r="AC52" s="16">
        <f t="shared" si="62"/>
        <v>288.32</v>
      </c>
      <c r="AD52" s="16">
        <f t="shared" si="62"/>
        <v>288.32</v>
      </c>
      <c r="AE52" s="16">
        <f t="shared" si="62"/>
        <v>288.32</v>
      </c>
      <c r="AF52" s="16">
        <f t="shared" si="62"/>
        <v>288.32</v>
      </c>
      <c r="AG52" s="16">
        <f t="shared" si="62"/>
        <v>288.32</v>
      </c>
      <c r="AH52" s="16">
        <f t="shared" si="62"/>
        <v>288.32</v>
      </c>
      <c r="AI52" s="16">
        <f t="shared" si="62"/>
        <v>288.32</v>
      </c>
      <c r="AJ52" s="16">
        <f t="shared" si="62"/>
        <v>288.32</v>
      </c>
      <c r="AK52" s="16">
        <f t="shared" si="62"/>
        <v>288.32</v>
      </c>
      <c r="AL52" s="16">
        <f t="shared" si="62"/>
        <v>288.32</v>
      </c>
      <c r="AM52" s="16">
        <f t="shared" si="62"/>
        <v>288.32</v>
      </c>
      <c r="AN52" s="16">
        <f t="shared" si="62"/>
        <v>288.32</v>
      </c>
      <c r="AO52" s="16">
        <f t="shared" si="62"/>
        <v>288.32</v>
      </c>
      <c r="AP52" s="16">
        <f t="shared" si="62"/>
        <v>288.32</v>
      </c>
      <c r="AQ52" s="16">
        <f t="shared" si="62"/>
        <v>288.32</v>
      </c>
      <c r="AR52" s="16">
        <f t="shared" si="62"/>
        <v>288.32</v>
      </c>
      <c r="AS52" s="16">
        <f t="shared" si="62"/>
        <v>288.32</v>
      </c>
    </row>
    <row r="53" spans="1:45" x14ac:dyDescent="0.35">
      <c r="A53" s="24" t="str">
        <f t="shared" si="61"/>
        <v>ME_IRP23</v>
      </c>
      <c r="B53" s="50" t="s">
        <v>12</v>
      </c>
      <c r="C53" s="50" t="s">
        <v>9</v>
      </c>
      <c r="D53" s="7">
        <v>272</v>
      </c>
      <c r="E53" s="7">
        <v>272</v>
      </c>
      <c r="F53" s="7">
        <v>272</v>
      </c>
      <c r="G53" s="7">
        <v>272</v>
      </c>
      <c r="H53" s="7">
        <v>272</v>
      </c>
      <c r="I53" s="7">
        <v>272</v>
      </c>
      <c r="J53" s="15">
        <f t="shared" ref="J53:X53" si="63">J52</f>
        <v>288.32</v>
      </c>
      <c r="K53" s="15">
        <f t="shared" si="63"/>
        <v>288.32</v>
      </c>
      <c r="L53" s="15">
        <f t="shared" si="63"/>
        <v>288.32</v>
      </c>
      <c r="M53" s="15">
        <f t="shared" si="63"/>
        <v>288.32</v>
      </c>
      <c r="N53" s="15">
        <f t="shared" si="63"/>
        <v>288.32</v>
      </c>
      <c r="O53" s="15">
        <f t="shared" si="63"/>
        <v>288.32</v>
      </c>
      <c r="P53" s="15">
        <f t="shared" si="63"/>
        <v>288.32</v>
      </c>
      <c r="Q53" s="15">
        <f t="shared" si="63"/>
        <v>288.32</v>
      </c>
      <c r="R53" s="15">
        <f t="shared" si="63"/>
        <v>288.32</v>
      </c>
      <c r="S53" s="15">
        <f t="shared" si="63"/>
        <v>288.32</v>
      </c>
      <c r="T53" s="15">
        <f t="shared" si="63"/>
        <v>288.32</v>
      </c>
      <c r="U53" s="15">
        <f t="shared" si="63"/>
        <v>288.32</v>
      </c>
      <c r="V53" s="15">
        <f t="shared" si="63"/>
        <v>288.32</v>
      </c>
      <c r="W53" s="15">
        <f t="shared" si="63"/>
        <v>288.32</v>
      </c>
      <c r="X53" s="15">
        <f t="shared" si="63"/>
        <v>288.32</v>
      </c>
      <c r="Y53" s="15">
        <f t="shared" ref="Y53:AS53" si="64">Y50</f>
        <v>864.96</v>
      </c>
      <c r="Z53" s="15">
        <f t="shared" si="64"/>
        <v>864.96</v>
      </c>
      <c r="AA53" s="15">
        <f t="shared" si="64"/>
        <v>864.96</v>
      </c>
      <c r="AB53" s="15">
        <f t="shared" si="64"/>
        <v>864.96</v>
      </c>
      <c r="AC53" s="15">
        <f t="shared" si="64"/>
        <v>864.96</v>
      </c>
      <c r="AD53" s="15">
        <f t="shared" si="64"/>
        <v>864.96</v>
      </c>
      <c r="AE53" s="15">
        <f t="shared" si="64"/>
        <v>864.96</v>
      </c>
      <c r="AF53" s="15">
        <f t="shared" si="64"/>
        <v>864.96</v>
      </c>
      <c r="AG53" s="15">
        <f t="shared" si="64"/>
        <v>864.96</v>
      </c>
      <c r="AH53" s="15">
        <f t="shared" si="64"/>
        <v>864.96</v>
      </c>
      <c r="AI53" s="15">
        <f t="shared" si="64"/>
        <v>864.96</v>
      </c>
      <c r="AJ53" s="15">
        <f t="shared" si="64"/>
        <v>864.96</v>
      </c>
      <c r="AK53" s="15">
        <f t="shared" si="64"/>
        <v>864.96</v>
      </c>
      <c r="AL53" s="15">
        <f t="shared" si="64"/>
        <v>864.96</v>
      </c>
      <c r="AM53" s="15">
        <f t="shared" si="64"/>
        <v>864.96</v>
      </c>
      <c r="AN53" s="15">
        <f t="shared" si="64"/>
        <v>864.96</v>
      </c>
      <c r="AO53" s="15">
        <f t="shared" si="64"/>
        <v>864.96</v>
      </c>
      <c r="AP53" s="15">
        <f t="shared" si="64"/>
        <v>864.96</v>
      </c>
      <c r="AQ53" s="15">
        <f t="shared" si="64"/>
        <v>864.96</v>
      </c>
      <c r="AR53" s="15">
        <f t="shared" si="64"/>
        <v>864.96</v>
      </c>
      <c r="AS53" s="15">
        <f t="shared" si="64"/>
        <v>864.96</v>
      </c>
    </row>
    <row r="54" spans="1:45" x14ac:dyDescent="0.35">
      <c r="A54" s="24" t="str">
        <f t="shared" si="61"/>
        <v>ME_IRP23</v>
      </c>
      <c r="B54" s="51" t="s">
        <v>13</v>
      </c>
      <c r="C54" s="51" t="s">
        <v>9</v>
      </c>
      <c r="D54" s="3">
        <v>272</v>
      </c>
      <c r="E54" s="3">
        <v>272</v>
      </c>
      <c r="F54" s="3">
        <v>272</v>
      </c>
      <c r="G54" s="3">
        <v>272</v>
      </c>
      <c r="H54" s="3">
        <v>272</v>
      </c>
      <c r="I54" s="3">
        <v>272</v>
      </c>
      <c r="J54" s="16">
        <f t="shared" ref="J54:AC54" si="65">J52</f>
        <v>288.32</v>
      </c>
      <c r="K54" s="16">
        <f t="shared" si="65"/>
        <v>288.32</v>
      </c>
      <c r="L54" s="16">
        <f t="shared" si="65"/>
        <v>288.32</v>
      </c>
      <c r="M54" s="16">
        <f t="shared" si="65"/>
        <v>288.32</v>
      </c>
      <c r="N54" s="16">
        <f t="shared" si="65"/>
        <v>288.32</v>
      </c>
      <c r="O54" s="16">
        <f t="shared" si="65"/>
        <v>288.32</v>
      </c>
      <c r="P54" s="16">
        <f t="shared" si="65"/>
        <v>288.32</v>
      </c>
      <c r="Q54" s="16">
        <f t="shared" si="65"/>
        <v>288.32</v>
      </c>
      <c r="R54" s="16">
        <f t="shared" si="65"/>
        <v>288.32</v>
      </c>
      <c r="S54" s="16">
        <f t="shared" si="65"/>
        <v>288.32</v>
      </c>
      <c r="T54" s="16">
        <f t="shared" si="65"/>
        <v>288.32</v>
      </c>
      <c r="U54" s="16">
        <f t="shared" si="65"/>
        <v>288.32</v>
      </c>
      <c r="V54" s="16">
        <f t="shared" si="65"/>
        <v>288.32</v>
      </c>
      <c r="W54" s="16">
        <f t="shared" si="65"/>
        <v>288.32</v>
      </c>
      <c r="X54" s="16">
        <f t="shared" si="65"/>
        <v>288.32</v>
      </c>
      <c r="Y54" s="16">
        <f t="shared" si="65"/>
        <v>288.32</v>
      </c>
      <c r="Z54" s="16">
        <f t="shared" si="65"/>
        <v>288.32</v>
      </c>
      <c r="AA54" s="16">
        <f t="shared" si="65"/>
        <v>288.32</v>
      </c>
      <c r="AB54" s="16">
        <f t="shared" si="65"/>
        <v>288.32</v>
      </c>
      <c r="AC54" s="16">
        <f t="shared" si="65"/>
        <v>288.32</v>
      </c>
      <c r="AD54" s="16">
        <f t="shared" ref="AD54:AS54" si="66">AD50</f>
        <v>864.96</v>
      </c>
      <c r="AE54" s="16">
        <f t="shared" si="66"/>
        <v>864.96</v>
      </c>
      <c r="AF54" s="16">
        <f t="shared" si="66"/>
        <v>864.96</v>
      </c>
      <c r="AG54" s="16">
        <f t="shared" si="66"/>
        <v>864.96</v>
      </c>
      <c r="AH54" s="16">
        <f t="shared" si="66"/>
        <v>864.96</v>
      </c>
      <c r="AI54" s="16">
        <f t="shared" si="66"/>
        <v>864.96</v>
      </c>
      <c r="AJ54" s="16">
        <f t="shared" si="66"/>
        <v>864.96</v>
      </c>
      <c r="AK54" s="16">
        <f t="shared" si="66"/>
        <v>864.96</v>
      </c>
      <c r="AL54" s="16">
        <f t="shared" si="66"/>
        <v>864.96</v>
      </c>
      <c r="AM54" s="16">
        <f t="shared" si="66"/>
        <v>864.96</v>
      </c>
      <c r="AN54" s="16">
        <f t="shared" si="66"/>
        <v>864.96</v>
      </c>
      <c r="AO54" s="16">
        <f t="shared" si="66"/>
        <v>864.96</v>
      </c>
      <c r="AP54" s="16">
        <f t="shared" si="66"/>
        <v>864.96</v>
      </c>
      <c r="AQ54" s="16">
        <f t="shared" si="66"/>
        <v>864.96</v>
      </c>
      <c r="AR54" s="16">
        <f t="shared" si="66"/>
        <v>864.96</v>
      </c>
      <c r="AS54" s="16">
        <f t="shared" si="66"/>
        <v>864.96</v>
      </c>
    </row>
    <row r="55" spans="1:45" x14ac:dyDescent="0.35">
      <c r="A55" s="24" t="str">
        <f t="shared" si="61"/>
        <v>ME_IRP23</v>
      </c>
      <c r="B55" s="50" t="s">
        <v>14</v>
      </c>
      <c r="C55" s="50" t="s">
        <v>9</v>
      </c>
      <c r="D55" s="7">
        <v>272</v>
      </c>
      <c r="E55" s="7">
        <v>272</v>
      </c>
      <c r="F55" s="7">
        <v>272</v>
      </c>
      <c r="G55" s="7">
        <v>272</v>
      </c>
      <c r="H55" s="7">
        <v>272</v>
      </c>
      <c r="I55" s="7">
        <v>272</v>
      </c>
      <c r="J55" s="15">
        <f t="shared" ref="J55:AH55" si="67">J52</f>
        <v>288.32</v>
      </c>
      <c r="K55" s="15">
        <f t="shared" si="67"/>
        <v>288.32</v>
      </c>
      <c r="L55" s="15">
        <f t="shared" si="67"/>
        <v>288.32</v>
      </c>
      <c r="M55" s="15">
        <f t="shared" si="67"/>
        <v>288.32</v>
      </c>
      <c r="N55" s="15">
        <f t="shared" si="67"/>
        <v>288.32</v>
      </c>
      <c r="O55" s="15">
        <f t="shared" si="67"/>
        <v>288.32</v>
      </c>
      <c r="P55" s="15">
        <f t="shared" si="67"/>
        <v>288.32</v>
      </c>
      <c r="Q55" s="15">
        <f t="shared" si="67"/>
        <v>288.32</v>
      </c>
      <c r="R55" s="15">
        <f t="shared" si="67"/>
        <v>288.32</v>
      </c>
      <c r="S55" s="15">
        <f t="shared" si="67"/>
        <v>288.32</v>
      </c>
      <c r="T55" s="15">
        <f t="shared" si="67"/>
        <v>288.32</v>
      </c>
      <c r="U55" s="15">
        <f t="shared" si="67"/>
        <v>288.32</v>
      </c>
      <c r="V55" s="15">
        <f t="shared" si="67"/>
        <v>288.32</v>
      </c>
      <c r="W55" s="15">
        <f t="shared" si="67"/>
        <v>288.32</v>
      </c>
      <c r="X55" s="15">
        <f t="shared" si="67"/>
        <v>288.32</v>
      </c>
      <c r="Y55" s="15">
        <f t="shared" si="67"/>
        <v>288.32</v>
      </c>
      <c r="Z55" s="15">
        <f t="shared" si="67"/>
        <v>288.32</v>
      </c>
      <c r="AA55" s="15">
        <f t="shared" si="67"/>
        <v>288.32</v>
      </c>
      <c r="AB55" s="15">
        <f t="shared" si="67"/>
        <v>288.32</v>
      </c>
      <c r="AC55" s="15">
        <f t="shared" si="67"/>
        <v>288.32</v>
      </c>
      <c r="AD55" s="15">
        <f t="shared" si="67"/>
        <v>288.32</v>
      </c>
      <c r="AE55" s="15">
        <f t="shared" si="67"/>
        <v>288.32</v>
      </c>
      <c r="AF55" s="15">
        <f t="shared" si="67"/>
        <v>288.32</v>
      </c>
      <c r="AG55" s="15">
        <f t="shared" si="67"/>
        <v>288.32</v>
      </c>
      <c r="AH55" s="15">
        <f t="shared" si="67"/>
        <v>288.32</v>
      </c>
      <c r="AI55" s="15">
        <f t="shared" ref="AI55:AS55" si="68">AI50</f>
        <v>864.96</v>
      </c>
      <c r="AJ55" s="15">
        <f t="shared" si="68"/>
        <v>864.96</v>
      </c>
      <c r="AK55" s="15">
        <f t="shared" si="68"/>
        <v>864.96</v>
      </c>
      <c r="AL55" s="15">
        <f t="shared" si="68"/>
        <v>864.96</v>
      </c>
      <c r="AM55" s="15">
        <f t="shared" si="68"/>
        <v>864.96</v>
      </c>
      <c r="AN55" s="15">
        <f t="shared" si="68"/>
        <v>864.96</v>
      </c>
      <c r="AO55" s="15">
        <f t="shared" si="68"/>
        <v>864.96</v>
      </c>
      <c r="AP55" s="15">
        <f t="shared" si="68"/>
        <v>864.96</v>
      </c>
      <c r="AQ55" s="15">
        <f t="shared" si="68"/>
        <v>864.96</v>
      </c>
      <c r="AR55" s="15">
        <f t="shared" si="68"/>
        <v>864.96</v>
      </c>
      <c r="AS55" s="15">
        <f t="shared" si="68"/>
        <v>864.96</v>
      </c>
    </row>
    <row r="56" spans="1:45" x14ac:dyDescent="0.35">
      <c r="A56" s="24" t="str">
        <f t="shared" si="61"/>
        <v>ME_IRP23</v>
      </c>
      <c r="B56" s="51" t="s">
        <v>15</v>
      </c>
      <c r="C56" s="51" t="s">
        <v>9</v>
      </c>
      <c r="D56" s="3">
        <v>272</v>
      </c>
      <c r="E56" s="3">
        <v>272</v>
      </c>
      <c r="F56" s="3">
        <v>272</v>
      </c>
      <c r="G56" s="3">
        <v>272</v>
      </c>
      <c r="H56" s="3">
        <v>272</v>
      </c>
      <c r="I56" s="3">
        <v>272</v>
      </c>
      <c r="J56" s="16">
        <f t="shared" ref="J56:AB56" si="69">J54</f>
        <v>288.32</v>
      </c>
      <c r="K56" s="16">
        <f t="shared" si="69"/>
        <v>288.32</v>
      </c>
      <c r="L56" s="16">
        <f t="shared" si="69"/>
        <v>288.32</v>
      </c>
      <c r="M56" s="16">
        <f t="shared" si="69"/>
        <v>288.32</v>
      </c>
      <c r="N56" s="16">
        <f t="shared" si="69"/>
        <v>288.32</v>
      </c>
      <c r="O56" s="16">
        <f t="shared" si="69"/>
        <v>288.32</v>
      </c>
      <c r="P56" s="16">
        <f t="shared" si="69"/>
        <v>288.32</v>
      </c>
      <c r="Q56" s="16">
        <f t="shared" si="69"/>
        <v>288.32</v>
      </c>
      <c r="R56" s="16">
        <f t="shared" si="69"/>
        <v>288.32</v>
      </c>
      <c r="S56" s="16">
        <f t="shared" si="69"/>
        <v>288.32</v>
      </c>
      <c r="T56" s="16">
        <f t="shared" si="69"/>
        <v>288.32</v>
      </c>
      <c r="U56" s="16">
        <f t="shared" si="69"/>
        <v>288.32</v>
      </c>
      <c r="V56" s="16">
        <f t="shared" si="69"/>
        <v>288.32</v>
      </c>
      <c r="W56" s="16">
        <f t="shared" si="69"/>
        <v>288.32</v>
      </c>
      <c r="X56" s="16">
        <f t="shared" si="69"/>
        <v>288.32</v>
      </c>
      <c r="Y56" s="16">
        <f t="shared" si="69"/>
        <v>288.32</v>
      </c>
      <c r="Z56" s="16">
        <f t="shared" si="69"/>
        <v>288.32</v>
      </c>
      <c r="AA56" s="16">
        <f t="shared" si="69"/>
        <v>288.32</v>
      </c>
      <c r="AB56" s="16">
        <f t="shared" si="69"/>
        <v>288.32</v>
      </c>
      <c r="AC56" s="16">
        <f t="shared" ref="AC56:AM56" si="70">AC52</f>
        <v>288.32</v>
      </c>
      <c r="AD56" s="16">
        <f t="shared" si="70"/>
        <v>288.32</v>
      </c>
      <c r="AE56" s="16">
        <f t="shared" si="70"/>
        <v>288.32</v>
      </c>
      <c r="AF56" s="16">
        <f t="shared" si="70"/>
        <v>288.32</v>
      </c>
      <c r="AG56" s="16">
        <f t="shared" si="70"/>
        <v>288.32</v>
      </c>
      <c r="AH56" s="16">
        <f t="shared" si="70"/>
        <v>288.32</v>
      </c>
      <c r="AI56" s="16">
        <f t="shared" si="70"/>
        <v>288.32</v>
      </c>
      <c r="AJ56" s="16">
        <f t="shared" si="70"/>
        <v>288.32</v>
      </c>
      <c r="AK56" s="16">
        <f t="shared" si="70"/>
        <v>288.32</v>
      </c>
      <c r="AL56" s="16">
        <f t="shared" si="70"/>
        <v>288.32</v>
      </c>
      <c r="AM56" s="16">
        <f t="shared" si="70"/>
        <v>288.32</v>
      </c>
      <c r="AN56" s="16">
        <f t="shared" ref="AN56:AS56" si="71">AN54</f>
        <v>864.96</v>
      </c>
      <c r="AO56" s="16">
        <f t="shared" si="71"/>
        <v>864.96</v>
      </c>
      <c r="AP56" s="16">
        <f t="shared" si="71"/>
        <v>864.96</v>
      </c>
      <c r="AQ56" s="16">
        <f t="shared" si="71"/>
        <v>864.96</v>
      </c>
      <c r="AR56" s="16">
        <f t="shared" si="71"/>
        <v>864.96</v>
      </c>
      <c r="AS56" s="16">
        <f t="shared" si="71"/>
        <v>864.96</v>
      </c>
    </row>
    <row r="57" spans="1:45" x14ac:dyDescent="0.35">
      <c r="A57" s="24" t="str">
        <f t="shared" si="61"/>
        <v>ME_IRP23</v>
      </c>
      <c r="B57" s="50" t="s">
        <v>16</v>
      </c>
      <c r="C57" s="50" t="s">
        <v>9</v>
      </c>
      <c r="D57" s="7">
        <v>272</v>
      </c>
      <c r="E57" s="7">
        <v>272</v>
      </c>
      <c r="F57" s="7">
        <v>272</v>
      </c>
      <c r="G57" s="7">
        <v>272</v>
      </c>
      <c r="H57" s="7">
        <v>272</v>
      </c>
      <c r="I57" s="7">
        <v>272</v>
      </c>
      <c r="J57" s="15">
        <f t="shared" ref="J57:AB57" si="72">J54</f>
        <v>288.32</v>
      </c>
      <c r="K57" s="15">
        <f t="shared" si="72"/>
        <v>288.32</v>
      </c>
      <c r="L57" s="15">
        <f t="shared" si="72"/>
        <v>288.32</v>
      </c>
      <c r="M57" s="15">
        <f t="shared" si="72"/>
        <v>288.32</v>
      </c>
      <c r="N57" s="15">
        <f t="shared" si="72"/>
        <v>288.32</v>
      </c>
      <c r="O57" s="15">
        <f t="shared" si="72"/>
        <v>288.32</v>
      </c>
      <c r="P57" s="15">
        <f t="shared" si="72"/>
        <v>288.32</v>
      </c>
      <c r="Q57" s="15">
        <f t="shared" si="72"/>
        <v>288.32</v>
      </c>
      <c r="R57" s="15">
        <f t="shared" si="72"/>
        <v>288.32</v>
      </c>
      <c r="S57" s="15">
        <f t="shared" si="72"/>
        <v>288.32</v>
      </c>
      <c r="T57" s="15">
        <f t="shared" si="72"/>
        <v>288.32</v>
      </c>
      <c r="U57" s="15">
        <f t="shared" si="72"/>
        <v>288.32</v>
      </c>
      <c r="V57" s="15">
        <f t="shared" si="72"/>
        <v>288.32</v>
      </c>
      <c r="W57" s="15">
        <f t="shared" si="72"/>
        <v>288.32</v>
      </c>
      <c r="X57" s="15">
        <f t="shared" si="72"/>
        <v>288.32</v>
      </c>
      <c r="Y57" s="15">
        <f t="shared" si="72"/>
        <v>288.32</v>
      </c>
      <c r="Z57" s="15">
        <f t="shared" si="72"/>
        <v>288.32</v>
      </c>
      <c r="AA57" s="15">
        <f t="shared" si="72"/>
        <v>288.32</v>
      </c>
      <c r="AB57" s="15">
        <f t="shared" si="72"/>
        <v>288.32</v>
      </c>
      <c r="AC57" s="15">
        <f t="shared" ref="AC57:AR57" si="73">AC52</f>
        <v>288.32</v>
      </c>
      <c r="AD57" s="15">
        <f t="shared" si="73"/>
        <v>288.32</v>
      </c>
      <c r="AE57" s="15">
        <f t="shared" si="73"/>
        <v>288.32</v>
      </c>
      <c r="AF57" s="15">
        <f t="shared" si="73"/>
        <v>288.32</v>
      </c>
      <c r="AG57" s="15">
        <f t="shared" si="73"/>
        <v>288.32</v>
      </c>
      <c r="AH57" s="15">
        <f t="shared" si="73"/>
        <v>288.32</v>
      </c>
      <c r="AI57" s="15">
        <f t="shared" si="73"/>
        <v>288.32</v>
      </c>
      <c r="AJ57" s="15">
        <f t="shared" si="73"/>
        <v>288.32</v>
      </c>
      <c r="AK57" s="15">
        <f t="shared" si="73"/>
        <v>288.32</v>
      </c>
      <c r="AL57" s="15">
        <f t="shared" si="73"/>
        <v>288.32</v>
      </c>
      <c r="AM57" s="15">
        <f t="shared" si="73"/>
        <v>288.32</v>
      </c>
      <c r="AN57" s="15">
        <f t="shared" si="73"/>
        <v>288.32</v>
      </c>
      <c r="AO57" s="15">
        <f t="shared" si="73"/>
        <v>288.32</v>
      </c>
      <c r="AP57" s="15">
        <f t="shared" si="73"/>
        <v>288.32</v>
      </c>
      <c r="AQ57" s="15">
        <f t="shared" si="73"/>
        <v>288.32</v>
      </c>
      <c r="AR57" s="15">
        <f t="shared" si="73"/>
        <v>288.32</v>
      </c>
      <c r="AS57" s="15">
        <f>AS50</f>
        <v>864.96</v>
      </c>
    </row>
    <row r="58" spans="1:45" x14ac:dyDescent="0.35">
      <c r="A58" s="24" t="str">
        <f>A57</f>
        <v>ME_IRP23</v>
      </c>
      <c r="B58" s="51" t="s">
        <v>22</v>
      </c>
      <c r="C58" s="51" t="s">
        <v>9</v>
      </c>
      <c r="D58" s="3">
        <v>45.18</v>
      </c>
      <c r="E58" s="3">
        <v>45.18</v>
      </c>
      <c r="F58" s="3">
        <v>45.18</v>
      </c>
      <c r="G58" s="3">
        <v>45.18</v>
      </c>
      <c r="H58" s="3">
        <v>45.18</v>
      </c>
      <c r="I58" s="3">
        <v>45.18</v>
      </c>
      <c r="J58" s="55">
        <f>1.06*45.18</f>
        <v>47.890799999999999</v>
      </c>
      <c r="K58" s="55">
        <f t="shared" ref="K58:AS58" si="74">1.06*45.18</f>
        <v>47.890799999999999</v>
      </c>
      <c r="L58" s="55">
        <f t="shared" si="74"/>
        <v>47.890799999999999</v>
      </c>
      <c r="M58" s="55">
        <f t="shared" si="74"/>
        <v>47.890799999999999</v>
      </c>
      <c r="N58" s="55">
        <f t="shared" si="74"/>
        <v>47.890799999999999</v>
      </c>
      <c r="O58" s="55">
        <f t="shared" si="74"/>
        <v>47.890799999999999</v>
      </c>
      <c r="P58" s="55">
        <f t="shared" si="74"/>
        <v>47.890799999999999</v>
      </c>
      <c r="Q58" s="55">
        <f t="shared" si="74"/>
        <v>47.890799999999999</v>
      </c>
      <c r="R58" s="55">
        <f t="shared" si="74"/>
        <v>47.890799999999999</v>
      </c>
      <c r="S58" s="55">
        <f t="shared" si="74"/>
        <v>47.890799999999999</v>
      </c>
      <c r="T58" s="55">
        <f t="shared" si="74"/>
        <v>47.890799999999999</v>
      </c>
      <c r="U58" s="55">
        <f t="shared" si="74"/>
        <v>47.890799999999999</v>
      </c>
      <c r="V58" s="55">
        <f t="shared" si="74"/>
        <v>47.890799999999999</v>
      </c>
      <c r="W58" s="55">
        <f t="shared" si="74"/>
        <v>47.890799999999999</v>
      </c>
      <c r="X58" s="55">
        <f t="shared" si="74"/>
        <v>47.890799999999999</v>
      </c>
      <c r="Y58" s="55">
        <f t="shared" si="74"/>
        <v>47.890799999999999</v>
      </c>
      <c r="Z58" s="55">
        <f t="shared" si="74"/>
        <v>47.890799999999999</v>
      </c>
      <c r="AA58" s="55">
        <f t="shared" si="74"/>
        <v>47.890799999999999</v>
      </c>
      <c r="AB58" s="55">
        <f t="shared" si="74"/>
        <v>47.890799999999999</v>
      </c>
      <c r="AC58" s="55">
        <f t="shared" si="74"/>
        <v>47.890799999999999</v>
      </c>
      <c r="AD58" s="55">
        <f t="shared" si="74"/>
        <v>47.890799999999999</v>
      </c>
      <c r="AE58" s="55">
        <f t="shared" si="74"/>
        <v>47.890799999999999</v>
      </c>
      <c r="AF58" s="55">
        <f t="shared" si="74"/>
        <v>47.890799999999999</v>
      </c>
      <c r="AG58" s="55">
        <f t="shared" si="74"/>
        <v>47.890799999999999</v>
      </c>
      <c r="AH58" s="55">
        <f t="shared" si="74"/>
        <v>47.890799999999999</v>
      </c>
      <c r="AI58" s="55">
        <f t="shared" si="74"/>
        <v>47.890799999999999</v>
      </c>
      <c r="AJ58" s="55">
        <f t="shared" si="74"/>
        <v>47.890799999999999</v>
      </c>
      <c r="AK58" s="55">
        <f t="shared" si="74"/>
        <v>47.890799999999999</v>
      </c>
      <c r="AL58" s="55">
        <f t="shared" si="74"/>
        <v>47.890799999999999</v>
      </c>
      <c r="AM58" s="55">
        <f t="shared" si="74"/>
        <v>47.890799999999999</v>
      </c>
      <c r="AN58" s="55">
        <f t="shared" si="74"/>
        <v>47.890799999999999</v>
      </c>
      <c r="AO58" s="55">
        <f t="shared" si="74"/>
        <v>47.890799999999999</v>
      </c>
      <c r="AP58" s="55">
        <f t="shared" si="74"/>
        <v>47.890799999999999</v>
      </c>
      <c r="AQ58" s="55">
        <f t="shared" si="74"/>
        <v>47.890799999999999</v>
      </c>
      <c r="AR58" s="55">
        <f t="shared" si="74"/>
        <v>47.890799999999999</v>
      </c>
      <c r="AS58" s="55">
        <f t="shared" si="74"/>
        <v>47.890799999999999</v>
      </c>
    </row>
    <row r="59" spans="1:45" x14ac:dyDescent="0.35">
      <c r="A59" s="24" t="str">
        <f t="shared" si="61"/>
        <v>ME_IRP23</v>
      </c>
      <c r="B59" s="50" t="s">
        <v>23</v>
      </c>
      <c r="C59" s="50" t="s">
        <v>9</v>
      </c>
      <c r="D59" s="7">
        <v>18</v>
      </c>
      <c r="E59" s="7">
        <v>18</v>
      </c>
      <c r="F59" s="7">
        <v>18</v>
      </c>
      <c r="G59" s="7">
        <v>18</v>
      </c>
      <c r="H59" s="7">
        <v>18</v>
      </c>
      <c r="I59" s="7">
        <v>18</v>
      </c>
      <c r="J59" s="56">
        <f>1.06*18</f>
        <v>19.080000000000002</v>
      </c>
      <c r="K59" s="56">
        <f t="shared" ref="K59:AS59" si="75">1.06*18</f>
        <v>19.080000000000002</v>
      </c>
      <c r="L59" s="56">
        <f t="shared" si="75"/>
        <v>19.080000000000002</v>
      </c>
      <c r="M59" s="56">
        <f t="shared" si="75"/>
        <v>19.080000000000002</v>
      </c>
      <c r="N59" s="56">
        <f t="shared" si="75"/>
        <v>19.080000000000002</v>
      </c>
      <c r="O59" s="56">
        <f t="shared" si="75"/>
        <v>19.080000000000002</v>
      </c>
      <c r="P59" s="56">
        <f t="shared" si="75"/>
        <v>19.080000000000002</v>
      </c>
      <c r="Q59" s="56">
        <f t="shared" si="75"/>
        <v>19.080000000000002</v>
      </c>
      <c r="R59" s="56">
        <f t="shared" si="75"/>
        <v>19.080000000000002</v>
      </c>
      <c r="S59" s="56">
        <f t="shared" si="75"/>
        <v>19.080000000000002</v>
      </c>
      <c r="T59" s="56">
        <f t="shared" si="75"/>
        <v>19.080000000000002</v>
      </c>
      <c r="U59" s="56">
        <f t="shared" si="75"/>
        <v>19.080000000000002</v>
      </c>
      <c r="V59" s="56">
        <f t="shared" si="75"/>
        <v>19.080000000000002</v>
      </c>
      <c r="W59" s="56">
        <f t="shared" si="75"/>
        <v>19.080000000000002</v>
      </c>
      <c r="X59" s="56">
        <f t="shared" si="75"/>
        <v>19.080000000000002</v>
      </c>
      <c r="Y59" s="56">
        <f t="shared" si="75"/>
        <v>19.080000000000002</v>
      </c>
      <c r="Z59" s="56">
        <f t="shared" si="75"/>
        <v>19.080000000000002</v>
      </c>
      <c r="AA59" s="56">
        <f t="shared" si="75"/>
        <v>19.080000000000002</v>
      </c>
      <c r="AB59" s="56">
        <f t="shared" si="75"/>
        <v>19.080000000000002</v>
      </c>
      <c r="AC59" s="56">
        <f t="shared" si="75"/>
        <v>19.080000000000002</v>
      </c>
      <c r="AD59" s="56">
        <f t="shared" si="75"/>
        <v>19.080000000000002</v>
      </c>
      <c r="AE59" s="56">
        <f t="shared" si="75"/>
        <v>19.080000000000002</v>
      </c>
      <c r="AF59" s="56">
        <f t="shared" si="75"/>
        <v>19.080000000000002</v>
      </c>
      <c r="AG59" s="56">
        <f t="shared" si="75"/>
        <v>19.080000000000002</v>
      </c>
      <c r="AH59" s="56">
        <f t="shared" si="75"/>
        <v>19.080000000000002</v>
      </c>
      <c r="AI59" s="56">
        <f t="shared" si="75"/>
        <v>19.080000000000002</v>
      </c>
      <c r="AJ59" s="56">
        <f t="shared" si="75"/>
        <v>19.080000000000002</v>
      </c>
      <c r="AK59" s="56">
        <f t="shared" si="75"/>
        <v>19.080000000000002</v>
      </c>
      <c r="AL59" s="56">
        <f t="shared" si="75"/>
        <v>19.080000000000002</v>
      </c>
      <c r="AM59" s="56">
        <f t="shared" si="75"/>
        <v>19.080000000000002</v>
      </c>
      <c r="AN59" s="56">
        <f t="shared" si="75"/>
        <v>19.080000000000002</v>
      </c>
      <c r="AO59" s="56">
        <f t="shared" si="75"/>
        <v>19.080000000000002</v>
      </c>
      <c r="AP59" s="56">
        <f t="shared" si="75"/>
        <v>19.080000000000002</v>
      </c>
      <c r="AQ59" s="56">
        <f t="shared" si="75"/>
        <v>19.080000000000002</v>
      </c>
      <c r="AR59" s="56">
        <f t="shared" si="75"/>
        <v>19.080000000000002</v>
      </c>
      <c r="AS59" s="56">
        <f t="shared" si="75"/>
        <v>19.080000000000002</v>
      </c>
    </row>
    <row r="60" spans="1:45" x14ac:dyDescent="0.35">
      <c r="A60" s="24" t="str">
        <f t="shared" si="61"/>
        <v>ME_IRP23</v>
      </c>
      <c r="B60" s="51" t="s">
        <v>24</v>
      </c>
      <c r="C60" s="51" t="s">
        <v>9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55">
        <v>0</v>
      </c>
      <c r="K60" s="55">
        <v>0</v>
      </c>
      <c r="L60" s="55">
        <v>0</v>
      </c>
      <c r="M60" s="55">
        <v>0</v>
      </c>
      <c r="N60" s="55">
        <v>0</v>
      </c>
      <c r="O60" s="55">
        <v>0</v>
      </c>
      <c r="P60" s="55">
        <v>0</v>
      </c>
      <c r="Q60" s="55">
        <v>0</v>
      </c>
      <c r="R60" s="55">
        <v>0</v>
      </c>
      <c r="S60" s="55">
        <v>0</v>
      </c>
      <c r="T60" s="55">
        <v>0</v>
      </c>
      <c r="U60" s="55">
        <v>0</v>
      </c>
      <c r="V60" s="55">
        <v>0</v>
      </c>
      <c r="W60" s="55">
        <v>0</v>
      </c>
      <c r="X60" s="55">
        <v>0</v>
      </c>
      <c r="Y60" s="55">
        <v>0</v>
      </c>
      <c r="Z60" s="55">
        <v>0</v>
      </c>
      <c r="AA60" s="55">
        <v>0</v>
      </c>
      <c r="AB60" s="55">
        <v>0</v>
      </c>
      <c r="AC60" s="55">
        <v>0</v>
      </c>
      <c r="AD60" s="55">
        <v>0</v>
      </c>
      <c r="AE60" s="55">
        <v>0</v>
      </c>
      <c r="AF60" s="55">
        <v>0</v>
      </c>
      <c r="AG60" s="55">
        <v>0</v>
      </c>
      <c r="AH60" s="55">
        <v>0</v>
      </c>
      <c r="AI60" s="55">
        <v>0</v>
      </c>
      <c r="AJ60" s="55">
        <f t="shared" ref="AJ60:AS60" si="76">AI60</f>
        <v>0</v>
      </c>
      <c r="AK60" s="55">
        <f t="shared" si="76"/>
        <v>0</v>
      </c>
      <c r="AL60" s="55">
        <f t="shared" si="76"/>
        <v>0</v>
      </c>
      <c r="AM60" s="55">
        <f t="shared" si="76"/>
        <v>0</v>
      </c>
      <c r="AN60" s="55">
        <f t="shared" si="76"/>
        <v>0</v>
      </c>
      <c r="AO60" s="55">
        <f t="shared" si="76"/>
        <v>0</v>
      </c>
      <c r="AP60" s="55">
        <f t="shared" si="76"/>
        <v>0</v>
      </c>
      <c r="AQ60" s="55">
        <f t="shared" si="76"/>
        <v>0</v>
      </c>
      <c r="AR60" s="55">
        <f t="shared" si="76"/>
        <v>0</v>
      </c>
      <c r="AS60" s="55">
        <f t="shared" si="76"/>
        <v>0</v>
      </c>
    </row>
    <row r="61" spans="1:45" x14ac:dyDescent="0.35">
      <c r="A61" s="25" t="str">
        <f t="shared" si="61"/>
        <v>ME_IRP23</v>
      </c>
      <c r="B61" s="52" t="s">
        <v>17</v>
      </c>
      <c r="C61" s="52" t="s">
        <v>9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57">
        <v>0</v>
      </c>
      <c r="K61" s="57">
        <v>0</v>
      </c>
      <c r="L61" s="57">
        <v>0</v>
      </c>
      <c r="M61" s="57">
        <v>0</v>
      </c>
      <c r="N61" s="57">
        <v>0</v>
      </c>
      <c r="O61" s="57">
        <v>0</v>
      </c>
      <c r="P61" s="57">
        <v>0</v>
      </c>
      <c r="Q61" s="57">
        <v>0</v>
      </c>
      <c r="R61" s="57">
        <v>0</v>
      </c>
      <c r="S61" s="57">
        <v>0</v>
      </c>
      <c r="T61" s="57">
        <v>0</v>
      </c>
      <c r="U61" s="57">
        <v>0</v>
      </c>
      <c r="V61" s="57">
        <v>0</v>
      </c>
      <c r="W61" s="57">
        <v>0</v>
      </c>
      <c r="X61" s="57">
        <v>0</v>
      </c>
      <c r="Y61" s="57">
        <v>0</v>
      </c>
      <c r="Z61" s="57">
        <v>0</v>
      </c>
      <c r="AA61" s="57">
        <v>0</v>
      </c>
      <c r="AB61" s="57">
        <v>0</v>
      </c>
      <c r="AC61" s="57">
        <v>0</v>
      </c>
      <c r="AD61" s="57">
        <v>0</v>
      </c>
      <c r="AE61" s="57">
        <v>0</v>
      </c>
      <c r="AF61" s="57">
        <v>0</v>
      </c>
      <c r="AG61" s="57">
        <v>0</v>
      </c>
      <c r="AH61" s="57">
        <v>0</v>
      </c>
      <c r="AI61" s="57">
        <v>0</v>
      </c>
      <c r="AJ61" s="57">
        <f t="shared" ref="AJ61:AS61" si="77">AI61</f>
        <v>0</v>
      </c>
      <c r="AK61" s="57">
        <f t="shared" si="77"/>
        <v>0</v>
      </c>
      <c r="AL61" s="57">
        <f t="shared" si="77"/>
        <v>0</v>
      </c>
      <c r="AM61" s="57">
        <f t="shared" si="77"/>
        <v>0</v>
      </c>
      <c r="AN61" s="57">
        <f t="shared" si="77"/>
        <v>0</v>
      </c>
      <c r="AO61" s="57">
        <f t="shared" si="77"/>
        <v>0</v>
      </c>
      <c r="AP61" s="57">
        <f t="shared" si="77"/>
        <v>0</v>
      </c>
      <c r="AQ61" s="57">
        <f t="shared" si="77"/>
        <v>0</v>
      </c>
      <c r="AR61" s="57">
        <f t="shared" si="77"/>
        <v>0</v>
      </c>
      <c r="AS61" s="57">
        <f t="shared" si="77"/>
        <v>0</v>
      </c>
    </row>
    <row r="62" spans="1:45" x14ac:dyDescent="0.35">
      <c r="A62" s="76" t="s">
        <v>68</v>
      </c>
      <c r="B62" s="50" t="s">
        <v>8</v>
      </c>
      <c r="C62" s="50" t="s">
        <v>9</v>
      </c>
      <c r="D62" s="7">
        <v>667.51683700000001</v>
      </c>
      <c r="E62" s="7">
        <v>669.91817549999996</v>
      </c>
      <c r="F62" s="7">
        <v>670.59781769999995</v>
      </c>
      <c r="G62" s="7">
        <v>676.0350866</v>
      </c>
      <c r="H62" s="7">
        <v>680.6389484</v>
      </c>
      <c r="I62" s="7">
        <v>685.52926839999998</v>
      </c>
      <c r="J62" s="30">
        <v>388.87</v>
      </c>
      <c r="K62" s="30">
        <v>404.1</v>
      </c>
      <c r="L62" s="30">
        <v>418.4</v>
      </c>
      <c r="M62" s="30">
        <v>432.19</v>
      </c>
      <c r="N62" s="30">
        <v>446.49</v>
      </c>
      <c r="O62" s="30">
        <v>462.62</v>
      </c>
      <c r="P62" s="30">
        <v>468.14</v>
      </c>
      <c r="Q62" s="30">
        <v>468.5</v>
      </c>
      <c r="R62" s="30">
        <v>473.81</v>
      </c>
      <c r="S62" s="30">
        <v>479.77</v>
      </c>
      <c r="T62" s="30">
        <v>483.6</v>
      </c>
      <c r="U62" s="30">
        <v>487.23</v>
      </c>
      <c r="V62" s="30">
        <v>492.08</v>
      </c>
      <c r="W62" s="30">
        <v>497.73</v>
      </c>
      <c r="X62" s="30">
        <v>504.74</v>
      </c>
      <c r="Y62" s="30">
        <v>509.26</v>
      </c>
      <c r="Z62" s="30">
        <v>505.89</v>
      </c>
      <c r="AA62" s="30">
        <v>514.87</v>
      </c>
      <c r="AB62" s="30">
        <v>519.71</v>
      </c>
      <c r="AC62" s="30">
        <v>523.98</v>
      </c>
      <c r="AD62" s="30">
        <v>526.21</v>
      </c>
      <c r="AE62" s="30">
        <v>525.22</v>
      </c>
      <c r="AF62" s="30">
        <v>532.99</v>
      </c>
      <c r="AG62" s="30">
        <v>536.15</v>
      </c>
      <c r="AH62" s="30">
        <v>540.24</v>
      </c>
      <c r="AI62" s="30">
        <v>543.9</v>
      </c>
      <c r="AJ62" s="30">
        <v>544</v>
      </c>
      <c r="AK62" s="30">
        <v>544</v>
      </c>
      <c r="AL62" s="30">
        <v>544</v>
      </c>
      <c r="AM62" s="30">
        <v>544</v>
      </c>
      <c r="AN62" s="30">
        <v>544</v>
      </c>
      <c r="AO62" s="30">
        <v>544</v>
      </c>
      <c r="AP62" s="30">
        <v>544</v>
      </c>
      <c r="AQ62" s="30">
        <v>544</v>
      </c>
      <c r="AR62" s="30">
        <v>544</v>
      </c>
      <c r="AS62" s="30">
        <v>544</v>
      </c>
    </row>
    <row r="63" spans="1:45" x14ac:dyDescent="0.35">
      <c r="A63" s="76" t="str">
        <f>A62</f>
        <v>HIGH_PMR1b</v>
      </c>
      <c r="B63" s="51" t="s">
        <v>10</v>
      </c>
      <c r="C63" s="51" t="s">
        <v>9</v>
      </c>
      <c r="D63" s="3">
        <v>667.51683700000001</v>
      </c>
      <c r="E63" s="3">
        <v>669.91817549999996</v>
      </c>
      <c r="F63" s="3">
        <v>670.59781769999995</v>
      </c>
      <c r="G63" s="3">
        <v>676.0350866</v>
      </c>
      <c r="H63" s="3">
        <v>680.6389484</v>
      </c>
      <c r="I63" s="3">
        <v>685.52926839999998</v>
      </c>
      <c r="J63" s="30">
        <v>388.87</v>
      </c>
      <c r="K63" s="30">
        <v>404.1</v>
      </c>
      <c r="L63" s="30">
        <v>418.4</v>
      </c>
      <c r="M63" s="30">
        <v>432.19</v>
      </c>
      <c r="N63" s="30">
        <v>446.49</v>
      </c>
      <c r="O63" s="30">
        <v>462.62</v>
      </c>
      <c r="P63" s="30">
        <v>468.14</v>
      </c>
      <c r="Q63" s="30">
        <v>468.5</v>
      </c>
      <c r="R63" s="30">
        <v>473.81</v>
      </c>
      <c r="S63" s="30">
        <v>479.77</v>
      </c>
      <c r="T63" s="30">
        <v>483.6</v>
      </c>
      <c r="U63" s="30">
        <v>487.23</v>
      </c>
      <c r="V63" s="30">
        <v>492.08</v>
      </c>
      <c r="W63" s="30">
        <v>497.73</v>
      </c>
      <c r="X63" s="30">
        <v>504.74</v>
      </c>
      <c r="Y63" s="30">
        <v>509.26</v>
      </c>
      <c r="Z63" s="30">
        <v>505.89</v>
      </c>
      <c r="AA63" s="30">
        <v>514.87</v>
      </c>
      <c r="AB63" s="30">
        <v>519.71</v>
      </c>
      <c r="AC63" s="30">
        <v>523.98</v>
      </c>
      <c r="AD63" s="30">
        <v>526.21</v>
      </c>
      <c r="AE63" s="30">
        <v>525.22</v>
      </c>
      <c r="AF63" s="30">
        <v>532.99</v>
      </c>
      <c r="AG63" s="30">
        <v>536.15</v>
      </c>
      <c r="AH63" s="30">
        <v>540.24</v>
      </c>
      <c r="AI63" s="30">
        <v>543.9</v>
      </c>
      <c r="AJ63" s="30">
        <v>544</v>
      </c>
      <c r="AK63" s="30">
        <v>544</v>
      </c>
      <c r="AL63" s="30">
        <v>544</v>
      </c>
      <c r="AM63" s="30">
        <v>544</v>
      </c>
      <c r="AN63" s="30">
        <v>544</v>
      </c>
      <c r="AO63" s="30">
        <v>544</v>
      </c>
      <c r="AP63" s="30">
        <v>544</v>
      </c>
      <c r="AQ63" s="30">
        <v>544</v>
      </c>
      <c r="AR63" s="30">
        <v>544</v>
      </c>
      <c r="AS63" s="30">
        <v>544</v>
      </c>
    </row>
    <row r="64" spans="1:45" x14ac:dyDescent="0.35">
      <c r="A64" s="76" t="str">
        <f t="shared" ref="A64:A73" si="78">A63</f>
        <v>HIGH_PMR1b</v>
      </c>
      <c r="B64" s="50" t="s">
        <v>11</v>
      </c>
      <c r="C64" s="50" t="s">
        <v>9</v>
      </c>
      <c r="D64" s="7">
        <v>184</v>
      </c>
      <c r="E64" s="7">
        <v>184</v>
      </c>
      <c r="F64" s="7">
        <v>184</v>
      </c>
      <c r="G64" s="7">
        <v>184</v>
      </c>
      <c r="H64" s="7">
        <v>184</v>
      </c>
      <c r="I64" s="7">
        <v>184</v>
      </c>
      <c r="J64" s="15">
        <v>216.16</v>
      </c>
      <c r="K64" s="15">
        <v>225.89</v>
      </c>
      <c r="L64" s="15">
        <v>235.02</v>
      </c>
      <c r="M64" s="15">
        <v>243.83</v>
      </c>
      <c r="N64" s="15">
        <v>252.96</v>
      </c>
      <c r="O64" s="15">
        <v>263.26</v>
      </c>
      <c r="P64" s="15">
        <v>266.77999999999997</v>
      </c>
      <c r="Q64" s="15">
        <v>267.01</v>
      </c>
      <c r="R64" s="15">
        <v>270.39999999999998</v>
      </c>
      <c r="S64" s="15">
        <v>274.20999999999998</v>
      </c>
      <c r="T64" s="15">
        <v>276.66000000000003</v>
      </c>
      <c r="U64" s="15">
        <v>278.98</v>
      </c>
      <c r="V64" s="15">
        <v>282.07</v>
      </c>
      <c r="W64" s="15">
        <v>285.68</v>
      </c>
      <c r="X64" s="15">
        <v>290.16000000000003</v>
      </c>
      <c r="Y64" s="15">
        <v>293.04000000000002</v>
      </c>
      <c r="Z64" s="15">
        <v>290.89999999999998</v>
      </c>
      <c r="AA64" s="15">
        <v>296.63</v>
      </c>
      <c r="AB64" s="15">
        <v>299.72000000000003</v>
      </c>
      <c r="AC64" s="15">
        <v>302.45</v>
      </c>
      <c r="AD64" s="15">
        <v>303.87</v>
      </c>
      <c r="AE64" s="15">
        <v>303.24</v>
      </c>
      <c r="AF64" s="15">
        <v>308.2</v>
      </c>
      <c r="AG64" s="15">
        <v>310.22000000000003</v>
      </c>
      <c r="AH64" s="15">
        <v>312.83</v>
      </c>
      <c r="AI64" s="15">
        <v>315.17</v>
      </c>
      <c r="AJ64" s="15">
        <v>315</v>
      </c>
      <c r="AK64" s="15">
        <v>315</v>
      </c>
      <c r="AL64" s="15">
        <v>315</v>
      </c>
      <c r="AM64" s="15">
        <v>315</v>
      </c>
      <c r="AN64" s="15">
        <v>315</v>
      </c>
      <c r="AO64" s="15">
        <v>315</v>
      </c>
      <c r="AP64" s="15">
        <v>315</v>
      </c>
      <c r="AQ64" s="15">
        <v>315</v>
      </c>
      <c r="AR64" s="15">
        <v>315</v>
      </c>
      <c r="AS64" s="15">
        <v>315</v>
      </c>
    </row>
    <row r="65" spans="1:45" x14ac:dyDescent="0.35">
      <c r="A65" s="76" t="str">
        <f t="shared" si="78"/>
        <v>HIGH_PMR1b</v>
      </c>
      <c r="B65" s="51" t="s">
        <v>12</v>
      </c>
      <c r="C65" s="51" t="s">
        <v>9</v>
      </c>
      <c r="D65" s="3">
        <v>184</v>
      </c>
      <c r="E65" s="3">
        <v>184</v>
      </c>
      <c r="F65" s="3">
        <v>184</v>
      </c>
      <c r="G65" s="3">
        <v>184</v>
      </c>
      <c r="H65" s="3">
        <v>184</v>
      </c>
      <c r="I65" s="3">
        <v>184</v>
      </c>
      <c r="J65" s="15">
        <f>J64</f>
        <v>216.16</v>
      </c>
      <c r="K65" s="15">
        <f t="shared" ref="K65:X65" si="79">K64</f>
        <v>225.89</v>
      </c>
      <c r="L65" s="15">
        <f t="shared" si="79"/>
        <v>235.02</v>
      </c>
      <c r="M65" s="15">
        <f t="shared" si="79"/>
        <v>243.83</v>
      </c>
      <c r="N65" s="15">
        <f t="shared" si="79"/>
        <v>252.96</v>
      </c>
      <c r="O65" s="15">
        <f t="shared" si="79"/>
        <v>263.26</v>
      </c>
      <c r="P65" s="15">
        <f t="shared" si="79"/>
        <v>266.77999999999997</v>
      </c>
      <c r="Q65" s="15">
        <f t="shared" si="79"/>
        <v>267.01</v>
      </c>
      <c r="R65" s="15">
        <f t="shared" si="79"/>
        <v>270.39999999999998</v>
      </c>
      <c r="S65" s="15">
        <f t="shared" si="79"/>
        <v>274.20999999999998</v>
      </c>
      <c r="T65" s="15">
        <f t="shared" si="79"/>
        <v>276.66000000000003</v>
      </c>
      <c r="U65" s="15">
        <f t="shared" si="79"/>
        <v>278.98</v>
      </c>
      <c r="V65" s="15">
        <f t="shared" si="79"/>
        <v>282.07</v>
      </c>
      <c r="W65" s="15">
        <f t="shared" si="79"/>
        <v>285.68</v>
      </c>
      <c r="X65" s="15">
        <f t="shared" si="79"/>
        <v>290.16000000000003</v>
      </c>
      <c r="Y65" s="30">
        <v>509</v>
      </c>
      <c r="Z65" s="30">
        <v>506</v>
      </c>
      <c r="AA65" s="30">
        <v>515</v>
      </c>
      <c r="AB65" s="30">
        <v>520</v>
      </c>
      <c r="AC65" s="30">
        <v>524</v>
      </c>
      <c r="AD65" s="30">
        <v>526</v>
      </c>
      <c r="AE65" s="30">
        <v>525</v>
      </c>
      <c r="AF65" s="30">
        <v>533</v>
      </c>
      <c r="AG65" s="30">
        <v>536</v>
      </c>
      <c r="AH65" s="30">
        <v>540</v>
      </c>
      <c r="AI65" s="30">
        <v>544</v>
      </c>
      <c r="AJ65" s="30">
        <v>544</v>
      </c>
      <c r="AK65" s="30">
        <v>544</v>
      </c>
      <c r="AL65" s="30">
        <v>544</v>
      </c>
      <c r="AM65" s="30">
        <v>544</v>
      </c>
      <c r="AN65" s="30">
        <v>544</v>
      </c>
      <c r="AO65" s="30">
        <v>544</v>
      </c>
      <c r="AP65" s="30">
        <v>544</v>
      </c>
      <c r="AQ65" s="30">
        <v>544</v>
      </c>
      <c r="AR65" s="30">
        <v>544</v>
      </c>
      <c r="AS65" s="30">
        <v>544</v>
      </c>
    </row>
    <row r="66" spans="1:45" x14ac:dyDescent="0.35">
      <c r="A66" s="76" t="str">
        <f t="shared" si="78"/>
        <v>HIGH_PMR1b</v>
      </c>
      <c r="B66" s="50" t="s">
        <v>13</v>
      </c>
      <c r="C66" s="50" t="s">
        <v>9</v>
      </c>
      <c r="D66" s="7">
        <v>184</v>
      </c>
      <c r="E66" s="7">
        <v>184</v>
      </c>
      <c r="F66" s="7">
        <v>184</v>
      </c>
      <c r="G66" s="7">
        <v>184</v>
      </c>
      <c r="H66" s="7">
        <v>184</v>
      </c>
      <c r="I66" s="7">
        <v>184</v>
      </c>
      <c r="J66" s="15">
        <f>J64</f>
        <v>216.16</v>
      </c>
      <c r="K66" s="15">
        <f t="shared" ref="K66:AC66" si="80">K64</f>
        <v>225.89</v>
      </c>
      <c r="L66" s="15">
        <f t="shared" si="80"/>
        <v>235.02</v>
      </c>
      <c r="M66" s="15">
        <f t="shared" si="80"/>
        <v>243.83</v>
      </c>
      <c r="N66" s="15">
        <f t="shared" si="80"/>
        <v>252.96</v>
      </c>
      <c r="O66" s="15">
        <f t="shared" si="80"/>
        <v>263.26</v>
      </c>
      <c r="P66" s="15">
        <f t="shared" si="80"/>
        <v>266.77999999999997</v>
      </c>
      <c r="Q66" s="15">
        <f t="shared" si="80"/>
        <v>267.01</v>
      </c>
      <c r="R66" s="15">
        <f t="shared" si="80"/>
        <v>270.39999999999998</v>
      </c>
      <c r="S66" s="15">
        <f t="shared" si="80"/>
        <v>274.20999999999998</v>
      </c>
      <c r="T66" s="15">
        <f t="shared" si="80"/>
        <v>276.66000000000003</v>
      </c>
      <c r="U66" s="15">
        <f t="shared" si="80"/>
        <v>278.98</v>
      </c>
      <c r="V66" s="15">
        <f t="shared" si="80"/>
        <v>282.07</v>
      </c>
      <c r="W66" s="15">
        <f t="shared" si="80"/>
        <v>285.68</v>
      </c>
      <c r="X66" s="15">
        <f t="shared" si="80"/>
        <v>290.16000000000003</v>
      </c>
      <c r="Y66" s="15">
        <f t="shared" si="80"/>
        <v>293.04000000000002</v>
      </c>
      <c r="Z66" s="15">
        <f t="shared" si="80"/>
        <v>290.89999999999998</v>
      </c>
      <c r="AA66" s="15">
        <f t="shared" si="80"/>
        <v>296.63</v>
      </c>
      <c r="AB66" s="15">
        <f t="shared" si="80"/>
        <v>299.72000000000003</v>
      </c>
      <c r="AC66" s="15">
        <f t="shared" si="80"/>
        <v>302.45</v>
      </c>
      <c r="AD66" s="31">
        <v>526</v>
      </c>
      <c r="AE66" s="31">
        <v>525</v>
      </c>
      <c r="AF66" s="31">
        <v>533</v>
      </c>
      <c r="AG66" s="31">
        <v>536</v>
      </c>
      <c r="AH66" s="31">
        <v>540</v>
      </c>
      <c r="AI66" s="31">
        <v>544</v>
      </c>
      <c r="AJ66" s="31">
        <v>544</v>
      </c>
      <c r="AK66" s="31">
        <v>544</v>
      </c>
      <c r="AL66" s="31">
        <v>544</v>
      </c>
      <c r="AM66" s="31">
        <v>544</v>
      </c>
      <c r="AN66" s="31">
        <v>544</v>
      </c>
      <c r="AO66" s="31">
        <v>544</v>
      </c>
      <c r="AP66" s="31">
        <v>544</v>
      </c>
      <c r="AQ66" s="31">
        <v>544</v>
      </c>
      <c r="AR66" s="31">
        <v>544</v>
      </c>
      <c r="AS66" s="31">
        <v>544</v>
      </c>
    </row>
    <row r="67" spans="1:45" x14ac:dyDescent="0.35">
      <c r="A67" s="76" t="str">
        <f t="shared" si="78"/>
        <v>HIGH_PMR1b</v>
      </c>
      <c r="B67" s="51" t="s">
        <v>14</v>
      </c>
      <c r="C67" s="51" t="s">
        <v>9</v>
      </c>
      <c r="D67" s="3">
        <v>184</v>
      </c>
      <c r="E67" s="3">
        <v>184</v>
      </c>
      <c r="F67" s="3">
        <v>184</v>
      </c>
      <c r="G67" s="3">
        <v>184</v>
      </c>
      <c r="H67" s="3">
        <v>184</v>
      </c>
      <c r="I67" s="3">
        <v>184</v>
      </c>
      <c r="J67" s="15">
        <f>J64</f>
        <v>216.16</v>
      </c>
      <c r="K67" s="15">
        <f t="shared" ref="K67:AH67" si="81">K64</f>
        <v>225.89</v>
      </c>
      <c r="L67" s="15">
        <f t="shared" si="81"/>
        <v>235.02</v>
      </c>
      <c r="M67" s="15">
        <f t="shared" si="81"/>
        <v>243.83</v>
      </c>
      <c r="N67" s="15">
        <f t="shared" si="81"/>
        <v>252.96</v>
      </c>
      <c r="O67" s="15">
        <f t="shared" si="81"/>
        <v>263.26</v>
      </c>
      <c r="P67" s="15">
        <f t="shared" si="81"/>
        <v>266.77999999999997</v>
      </c>
      <c r="Q67" s="15">
        <f t="shared" si="81"/>
        <v>267.01</v>
      </c>
      <c r="R67" s="15">
        <f t="shared" si="81"/>
        <v>270.39999999999998</v>
      </c>
      <c r="S67" s="15">
        <f t="shared" si="81"/>
        <v>274.20999999999998</v>
      </c>
      <c r="T67" s="15">
        <f t="shared" si="81"/>
        <v>276.66000000000003</v>
      </c>
      <c r="U67" s="15">
        <f t="shared" si="81"/>
        <v>278.98</v>
      </c>
      <c r="V67" s="15">
        <f t="shared" si="81"/>
        <v>282.07</v>
      </c>
      <c r="W67" s="15">
        <f t="shared" si="81"/>
        <v>285.68</v>
      </c>
      <c r="X67" s="15">
        <f t="shared" si="81"/>
        <v>290.16000000000003</v>
      </c>
      <c r="Y67" s="15">
        <f t="shared" si="81"/>
        <v>293.04000000000002</v>
      </c>
      <c r="Z67" s="15">
        <f t="shared" si="81"/>
        <v>290.89999999999998</v>
      </c>
      <c r="AA67" s="15">
        <f t="shared" si="81"/>
        <v>296.63</v>
      </c>
      <c r="AB67" s="15">
        <f t="shared" si="81"/>
        <v>299.72000000000003</v>
      </c>
      <c r="AC67" s="15">
        <f t="shared" si="81"/>
        <v>302.45</v>
      </c>
      <c r="AD67" s="15">
        <f t="shared" si="81"/>
        <v>303.87</v>
      </c>
      <c r="AE67" s="15">
        <f t="shared" si="81"/>
        <v>303.24</v>
      </c>
      <c r="AF67" s="15">
        <f t="shared" si="81"/>
        <v>308.2</v>
      </c>
      <c r="AG67" s="15">
        <f t="shared" si="81"/>
        <v>310.22000000000003</v>
      </c>
      <c r="AH67" s="15">
        <f t="shared" si="81"/>
        <v>312.83</v>
      </c>
      <c r="AI67" s="30">
        <v>544</v>
      </c>
      <c r="AJ67" s="30">
        <v>544</v>
      </c>
      <c r="AK67" s="30">
        <v>544</v>
      </c>
      <c r="AL67" s="30">
        <v>544</v>
      </c>
      <c r="AM67" s="30">
        <v>544</v>
      </c>
      <c r="AN67" s="30">
        <v>544</v>
      </c>
      <c r="AO67" s="30">
        <v>544</v>
      </c>
      <c r="AP67" s="30">
        <v>544</v>
      </c>
      <c r="AQ67" s="30">
        <v>544</v>
      </c>
      <c r="AR67" s="30">
        <v>544</v>
      </c>
      <c r="AS67" s="30">
        <v>544</v>
      </c>
    </row>
    <row r="68" spans="1:45" x14ac:dyDescent="0.35">
      <c r="A68" s="76" t="str">
        <f t="shared" si="78"/>
        <v>HIGH_PMR1b</v>
      </c>
      <c r="B68" s="50" t="s">
        <v>15</v>
      </c>
      <c r="C68" s="50" t="s">
        <v>9</v>
      </c>
      <c r="D68" s="7">
        <v>184</v>
      </c>
      <c r="E68" s="7">
        <v>184</v>
      </c>
      <c r="F68" s="7">
        <v>184</v>
      </c>
      <c r="G68" s="7">
        <v>184</v>
      </c>
      <c r="H68" s="7">
        <v>184</v>
      </c>
      <c r="I68" s="7">
        <v>184</v>
      </c>
      <c r="J68" s="15">
        <f>J64</f>
        <v>216.16</v>
      </c>
      <c r="K68" s="15">
        <f t="shared" ref="K68:AM68" si="82">K64</f>
        <v>225.89</v>
      </c>
      <c r="L68" s="15">
        <f t="shared" si="82"/>
        <v>235.02</v>
      </c>
      <c r="M68" s="15">
        <f t="shared" si="82"/>
        <v>243.83</v>
      </c>
      <c r="N68" s="15">
        <f t="shared" si="82"/>
        <v>252.96</v>
      </c>
      <c r="O68" s="15">
        <f t="shared" si="82"/>
        <v>263.26</v>
      </c>
      <c r="P68" s="15">
        <f t="shared" si="82"/>
        <v>266.77999999999997</v>
      </c>
      <c r="Q68" s="15">
        <f t="shared" si="82"/>
        <v>267.01</v>
      </c>
      <c r="R68" s="15">
        <f t="shared" si="82"/>
        <v>270.39999999999998</v>
      </c>
      <c r="S68" s="15">
        <f t="shared" si="82"/>
        <v>274.20999999999998</v>
      </c>
      <c r="T68" s="15">
        <f t="shared" si="82"/>
        <v>276.66000000000003</v>
      </c>
      <c r="U68" s="15">
        <f t="shared" si="82"/>
        <v>278.98</v>
      </c>
      <c r="V68" s="15">
        <f t="shared" si="82"/>
        <v>282.07</v>
      </c>
      <c r="W68" s="15">
        <f t="shared" si="82"/>
        <v>285.68</v>
      </c>
      <c r="X68" s="15">
        <f t="shared" si="82"/>
        <v>290.16000000000003</v>
      </c>
      <c r="Y68" s="15">
        <f t="shared" si="82"/>
        <v>293.04000000000002</v>
      </c>
      <c r="Z68" s="15">
        <f t="shared" si="82"/>
        <v>290.89999999999998</v>
      </c>
      <c r="AA68" s="15">
        <f t="shared" si="82"/>
        <v>296.63</v>
      </c>
      <c r="AB68" s="15">
        <f t="shared" si="82"/>
        <v>299.72000000000003</v>
      </c>
      <c r="AC68" s="15">
        <f t="shared" si="82"/>
        <v>302.45</v>
      </c>
      <c r="AD68" s="15">
        <f t="shared" si="82"/>
        <v>303.87</v>
      </c>
      <c r="AE68" s="15">
        <f t="shared" si="82"/>
        <v>303.24</v>
      </c>
      <c r="AF68" s="15">
        <f t="shared" si="82"/>
        <v>308.2</v>
      </c>
      <c r="AG68" s="15">
        <f t="shared" si="82"/>
        <v>310.22000000000003</v>
      </c>
      <c r="AH68" s="15">
        <f t="shared" si="82"/>
        <v>312.83</v>
      </c>
      <c r="AI68" s="15">
        <f t="shared" si="82"/>
        <v>315.17</v>
      </c>
      <c r="AJ68" s="15">
        <f t="shared" si="82"/>
        <v>315</v>
      </c>
      <c r="AK68" s="15">
        <f t="shared" si="82"/>
        <v>315</v>
      </c>
      <c r="AL68" s="15">
        <f t="shared" si="82"/>
        <v>315</v>
      </c>
      <c r="AM68" s="15">
        <f t="shared" si="82"/>
        <v>315</v>
      </c>
      <c r="AN68" s="31">
        <v>544</v>
      </c>
      <c r="AO68" s="31">
        <v>544</v>
      </c>
      <c r="AP68" s="31">
        <v>544</v>
      </c>
      <c r="AQ68" s="31">
        <v>544</v>
      </c>
      <c r="AR68" s="31">
        <v>544</v>
      </c>
      <c r="AS68" s="31">
        <v>544</v>
      </c>
    </row>
    <row r="69" spans="1:45" x14ac:dyDescent="0.35">
      <c r="A69" s="76" t="str">
        <f t="shared" si="78"/>
        <v>HIGH_PMR1b</v>
      </c>
      <c r="B69" s="51" t="s">
        <v>16</v>
      </c>
      <c r="C69" s="51" t="s">
        <v>9</v>
      </c>
      <c r="D69" s="3">
        <v>184</v>
      </c>
      <c r="E69" s="3">
        <v>184</v>
      </c>
      <c r="F69" s="3">
        <v>184</v>
      </c>
      <c r="G69" s="3">
        <v>184</v>
      </c>
      <c r="H69" s="3">
        <v>184</v>
      </c>
      <c r="I69" s="3">
        <v>184</v>
      </c>
      <c r="J69" s="15">
        <f>J64</f>
        <v>216.16</v>
      </c>
      <c r="K69" s="15">
        <f t="shared" ref="K69:X69" si="83">K64</f>
        <v>225.89</v>
      </c>
      <c r="L69" s="15">
        <f t="shared" si="83"/>
        <v>235.02</v>
      </c>
      <c r="M69" s="15">
        <f t="shared" si="83"/>
        <v>243.83</v>
      </c>
      <c r="N69" s="15">
        <f t="shared" si="83"/>
        <v>252.96</v>
      </c>
      <c r="O69" s="15">
        <f t="shared" si="83"/>
        <v>263.26</v>
      </c>
      <c r="P69" s="15">
        <f t="shared" si="83"/>
        <v>266.77999999999997</v>
      </c>
      <c r="Q69" s="15">
        <f t="shared" si="83"/>
        <v>267.01</v>
      </c>
      <c r="R69" s="15">
        <f t="shared" si="83"/>
        <v>270.39999999999998</v>
      </c>
      <c r="S69" s="15">
        <f t="shared" si="83"/>
        <v>274.20999999999998</v>
      </c>
      <c r="T69" s="15">
        <f t="shared" si="83"/>
        <v>276.66000000000003</v>
      </c>
      <c r="U69" s="15">
        <f t="shared" si="83"/>
        <v>278.98</v>
      </c>
      <c r="V69" s="15">
        <f t="shared" si="83"/>
        <v>282.07</v>
      </c>
      <c r="W69" s="15">
        <f t="shared" si="83"/>
        <v>285.68</v>
      </c>
      <c r="X69" s="15">
        <f t="shared" si="83"/>
        <v>290.16000000000003</v>
      </c>
      <c r="Y69" s="15">
        <f t="shared" ref="Y69:AR69" si="84">Y64</f>
        <v>293.04000000000002</v>
      </c>
      <c r="Z69" s="15">
        <f t="shared" si="84"/>
        <v>290.89999999999998</v>
      </c>
      <c r="AA69" s="15">
        <f t="shared" si="84"/>
        <v>296.63</v>
      </c>
      <c r="AB69" s="15">
        <f t="shared" si="84"/>
        <v>299.72000000000003</v>
      </c>
      <c r="AC69" s="15">
        <f t="shared" si="84"/>
        <v>302.45</v>
      </c>
      <c r="AD69" s="15">
        <f t="shared" si="84"/>
        <v>303.87</v>
      </c>
      <c r="AE69" s="15">
        <f t="shared" si="84"/>
        <v>303.24</v>
      </c>
      <c r="AF69" s="15">
        <f t="shared" si="84"/>
        <v>308.2</v>
      </c>
      <c r="AG69" s="15">
        <f t="shared" si="84"/>
        <v>310.22000000000003</v>
      </c>
      <c r="AH69" s="15">
        <f t="shared" si="84"/>
        <v>312.83</v>
      </c>
      <c r="AI69" s="15">
        <f t="shared" si="84"/>
        <v>315.17</v>
      </c>
      <c r="AJ69" s="15">
        <f t="shared" si="84"/>
        <v>315</v>
      </c>
      <c r="AK69" s="15">
        <f t="shared" si="84"/>
        <v>315</v>
      </c>
      <c r="AL69" s="15">
        <f t="shared" si="84"/>
        <v>315</v>
      </c>
      <c r="AM69" s="15">
        <f t="shared" si="84"/>
        <v>315</v>
      </c>
      <c r="AN69" s="15">
        <f t="shared" si="84"/>
        <v>315</v>
      </c>
      <c r="AO69" s="15">
        <f t="shared" si="84"/>
        <v>315</v>
      </c>
      <c r="AP69" s="15">
        <f t="shared" si="84"/>
        <v>315</v>
      </c>
      <c r="AQ69" s="15">
        <f t="shared" si="84"/>
        <v>315</v>
      </c>
      <c r="AR69" s="15">
        <f t="shared" si="84"/>
        <v>315</v>
      </c>
      <c r="AS69" s="30">
        <v>544</v>
      </c>
    </row>
    <row r="70" spans="1:45" x14ac:dyDescent="0.35">
      <c r="A70" s="76" t="str">
        <f t="shared" si="78"/>
        <v>HIGH_PMR1b</v>
      </c>
      <c r="B70" s="51" t="s">
        <v>22</v>
      </c>
      <c r="C70" s="51" t="s">
        <v>9</v>
      </c>
      <c r="D70" s="3">
        <v>45.18</v>
      </c>
      <c r="E70" s="3">
        <v>45.18</v>
      </c>
      <c r="F70" s="3">
        <v>45.18</v>
      </c>
      <c r="G70" s="3">
        <v>45.18</v>
      </c>
      <c r="H70" s="3">
        <v>45.18</v>
      </c>
      <c r="I70" s="3">
        <v>45.18</v>
      </c>
      <c r="J70" s="55">
        <v>45</v>
      </c>
      <c r="K70" s="55">
        <v>45</v>
      </c>
      <c r="L70" s="55">
        <v>45</v>
      </c>
      <c r="M70" s="55">
        <v>45</v>
      </c>
      <c r="N70" s="55">
        <v>45</v>
      </c>
      <c r="O70" s="55">
        <v>45</v>
      </c>
      <c r="P70" s="55">
        <v>45</v>
      </c>
      <c r="Q70" s="55">
        <v>45</v>
      </c>
      <c r="R70" s="55">
        <v>45</v>
      </c>
      <c r="S70" s="55">
        <v>45</v>
      </c>
      <c r="T70" s="55">
        <v>45</v>
      </c>
      <c r="U70" s="55">
        <v>45</v>
      </c>
      <c r="V70" s="55">
        <v>45</v>
      </c>
      <c r="W70" s="55">
        <v>45</v>
      </c>
      <c r="X70" s="55">
        <v>45</v>
      </c>
      <c r="Y70" s="55">
        <v>45</v>
      </c>
      <c r="Z70" s="55">
        <v>45</v>
      </c>
      <c r="AA70" s="55">
        <v>45</v>
      </c>
      <c r="AB70" s="55">
        <v>45</v>
      </c>
      <c r="AC70" s="55">
        <v>45</v>
      </c>
      <c r="AD70" s="55">
        <v>45</v>
      </c>
      <c r="AE70" s="55">
        <v>45</v>
      </c>
      <c r="AF70" s="55">
        <v>45</v>
      </c>
      <c r="AG70" s="55">
        <v>45</v>
      </c>
      <c r="AH70" s="55">
        <v>45</v>
      </c>
      <c r="AI70" s="55">
        <v>45</v>
      </c>
      <c r="AJ70" s="55">
        <v>45</v>
      </c>
      <c r="AK70" s="55">
        <v>45</v>
      </c>
      <c r="AL70" s="55">
        <v>45</v>
      </c>
      <c r="AM70" s="55">
        <v>45</v>
      </c>
      <c r="AN70" s="55">
        <v>45</v>
      </c>
      <c r="AO70" s="55">
        <v>45</v>
      </c>
      <c r="AP70" s="55">
        <v>45</v>
      </c>
      <c r="AQ70" s="55">
        <v>45</v>
      </c>
      <c r="AR70" s="55">
        <v>45</v>
      </c>
      <c r="AS70" s="55">
        <v>45</v>
      </c>
    </row>
    <row r="71" spans="1:45" x14ac:dyDescent="0.35">
      <c r="A71" s="76" t="str">
        <f t="shared" si="78"/>
        <v>HIGH_PMR1b</v>
      </c>
      <c r="B71" s="50" t="s">
        <v>23</v>
      </c>
      <c r="C71" s="50" t="s">
        <v>9</v>
      </c>
      <c r="D71" s="7">
        <v>18</v>
      </c>
      <c r="E71" s="7">
        <v>18</v>
      </c>
      <c r="F71" s="7">
        <v>18</v>
      </c>
      <c r="G71" s="7">
        <v>18</v>
      </c>
      <c r="H71" s="7">
        <v>18</v>
      </c>
      <c r="I71" s="7">
        <v>18</v>
      </c>
      <c r="J71" s="56">
        <v>18</v>
      </c>
      <c r="K71" s="56">
        <v>18</v>
      </c>
      <c r="L71" s="56">
        <v>18</v>
      </c>
      <c r="M71" s="56">
        <v>18</v>
      </c>
      <c r="N71" s="56">
        <v>18</v>
      </c>
      <c r="O71" s="56">
        <v>18</v>
      </c>
      <c r="P71" s="56">
        <v>18</v>
      </c>
      <c r="Q71" s="56">
        <v>18</v>
      </c>
      <c r="R71" s="56">
        <v>18</v>
      </c>
      <c r="S71" s="56">
        <v>18</v>
      </c>
      <c r="T71" s="56">
        <v>18</v>
      </c>
      <c r="U71" s="56">
        <v>18</v>
      </c>
      <c r="V71" s="56">
        <v>18</v>
      </c>
      <c r="W71" s="56">
        <v>18</v>
      </c>
      <c r="X71" s="56">
        <v>18</v>
      </c>
      <c r="Y71" s="56">
        <v>18</v>
      </c>
      <c r="Z71" s="56">
        <v>18</v>
      </c>
      <c r="AA71" s="56">
        <v>18</v>
      </c>
      <c r="AB71" s="56">
        <v>18</v>
      </c>
      <c r="AC71" s="56">
        <v>18</v>
      </c>
      <c r="AD71" s="56">
        <v>18</v>
      </c>
      <c r="AE71" s="56">
        <v>18</v>
      </c>
      <c r="AF71" s="56">
        <v>18</v>
      </c>
      <c r="AG71" s="56">
        <v>18</v>
      </c>
      <c r="AH71" s="56">
        <v>18</v>
      </c>
      <c r="AI71" s="56">
        <v>18</v>
      </c>
      <c r="AJ71" s="56">
        <v>18</v>
      </c>
      <c r="AK71" s="56">
        <v>18</v>
      </c>
      <c r="AL71" s="56">
        <v>18</v>
      </c>
      <c r="AM71" s="56">
        <v>18</v>
      </c>
      <c r="AN71" s="56">
        <v>18</v>
      </c>
      <c r="AO71" s="56">
        <v>18</v>
      </c>
      <c r="AP71" s="56">
        <v>18</v>
      </c>
      <c r="AQ71" s="56">
        <v>18</v>
      </c>
      <c r="AR71" s="56">
        <v>18</v>
      </c>
      <c r="AS71" s="56">
        <v>18</v>
      </c>
    </row>
    <row r="72" spans="1:45" x14ac:dyDescent="0.35">
      <c r="A72" s="76" t="str">
        <f t="shared" si="78"/>
        <v>HIGH_PMR1b</v>
      </c>
      <c r="B72" s="51" t="s">
        <v>24</v>
      </c>
      <c r="C72" s="51" t="s">
        <v>9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  <c r="AA72" s="55">
        <v>0</v>
      </c>
      <c r="AB72" s="55">
        <v>0</v>
      </c>
      <c r="AC72" s="55">
        <v>0</v>
      </c>
      <c r="AD72" s="55">
        <v>0</v>
      </c>
      <c r="AE72" s="55">
        <v>0</v>
      </c>
      <c r="AF72" s="55">
        <v>0</v>
      </c>
      <c r="AG72" s="55">
        <v>0</v>
      </c>
      <c r="AH72" s="55">
        <v>0</v>
      </c>
      <c r="AI72" s="55">
        <v>0</v>
      </c>
      <c r="AJ72" s="55">
        <v>0</v>
      </c>
      <c r="AK72" s="55">
        <v>0</v>
      </c>
      <c r="AL72" s="55">
        <v>0</v>
      </c>
      <c r="AM72" s="55">
        <v>0</v>
      </c>
      <c r="AN72" s="55">
        <v>0</v>
      </c>
      <c r="AO72" s="55">
        <v>0</v>
      </c>
      <c r="AP72" s="55">
        <v>0</v>
      </c>
      <c r="AQ72" s="55">
        <v>0</v>
      </c>
      <c r="AR72" s="55">
        <v>0</v>
      </c>
      <c r="AS72" s="55">
        <v>0</v>
      </c>
    </row>
    <row r="73" spans="1:45" x14ac:dyDescent="0.35">
      <c r="A73" s="76" t="str">
        <f t="shared" si="78"/>
        <v>HIGH_PMR1b</v>
      </c>
      <c r="B73" s="52" t="s">
        <v>17</v>
      </c>
      <c r="C73" s="52" t="s">
        <v>9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57">
        <v>0</v>
      </c>
      <c r="K73" s="57">
        <v>0</v>
      </c>
      <c r="L73" s="57">
        <v>0</v>
      </c>
      <c r="M73" s="57">
        <v>0</v>
      </c>
      <c r="N73" s="57">
        <v>0</v>
      </c>
      <c r="O73" s="57">
        <v>0</v>
      </c>
      <c r="P73" s="57">
        <v>0</v>
      </c>
      <c r="Q73" s="57">
        <v>0</v>
      </c>
      <c r="R73" s="57">
        <v>0</v>
      </c>
      <c r="S73" s="57">
        <v>0</v>
      </c>
      <c r="T73" s="57">
        <v>0</v>
      </c>
      <c r="U73" s="57">
        <v>0</v>
      </c>
      <c r="V73" s="57">
        <v>0</v>
      </c>
      <c r="W73" s="57">
        <v>0</v>
      </c>
      <c r="X73" s="57">
        <v>0</v>
      </c>
      <c r="Y73" s="57">
        <v>0</v>
      </c>
      <c r="Z73" s="57">
        <v>0</v>
      </c>
      <c r="AA73" s="57">
        <v>0</v>
      </c>
      <c r="AB73" s="57">
        <v>0</v>
      </c>
      <c r="AC73" s="57">
        <v>0</v>
      </c>
      <c r="AD73" s="57">
        <v>0</v>
      </c>
      <c r="AE73" s="57">
        <v>0</v>
      </c>
      <c r="AF73" s="57">
        <v>0</v>
      </c>
      <c r="AG73" s="57">
        <v>0</v>
      </c>
      <c r="AH73" s="57">
        <v>0</v>
      </c>
      <c r="AI73" s="57">
        <v>0</v>
      </c>
      <c r="AJ73" s="57">
        <v>0</v>
      </c>
      <c r="AK73" s="57">
        <v>0</v>
      </c>
      <c r="AL73" s="57">
        <v>0</v>
      </c>
      <c r="AM73" s="57">
        <v>0</v>
      </c>
      <c r="AN73" s="57">
        <v>0</v>
      </c>
      <c r="AO73" s="57">
        <v>0</v>
      </c>
      <c r="AP73" s="57">
        <v>0</v>
      </c>
      <c r="AQ73" s="57">
        <v>0</v>
      </c>
      <c r="AR73" s="57">
        <v>0</v>
      </c>
      <c r="AS73" s="57">
        <v>0</v>
      </c>
    </row>
    <row r="74" spans="1:45" x14ac:dyDescent="0.35">
      <c r="A74" s="77" t="s">
        <v>69</v>
      </c>
      <c r="B74" s="51" t="s">
        <v>8</v>
      </c>
      <c r="C74" s="51" t="s">
        <v>9</v>
      </c>
      <c r="D74" s="3">
        <v>506.07771300000002</v>
      </c>
      <c r="E74" s="3">
        <v>509.25356820000002</v>
      </c>
      <c r="F74" s="3">
        <v>510.86624319999999</v>
      </c>
      <c r="G74" s="3">
        <v>513.04640219999999</v>
      </c>
      <c r="H74" s="3">
        <v>515.2993778</v>
      </c>
      <c r="I74" s="3">
        <v>517.93450080000002</v>
      </c>
      <c r="J74" s="32">
        <v>388.87</v>
      </c>
      <c r="K74" s="32">
        <v>388.6</v>
      </c>
      <c r="L74" s="32">
        <v>386.77</v>
      </c>
      <c r="M74" s="32">
        <v>384.37</v>
      </c>
      <c r="N74" s="32">
        <v>382.13</v>
      </c>
      <c r="O74" s="32">
        <v>381.53</v>
      </c>
      <c r="P74" s="32">
        <v>383.6</v>
      </c>
      <c r="Q74" s="32">
        <v>381.66</v>
      </c>
      <c r="R74" s="32">
        <v>386.9</v>
      </c>
      <c r="S74" s="32">
        <v>389.56</v>
      </c>
      <c r="T74" s="32">
        <v>390.76</v>
      </c>
      <c r="U74" s="32">
        <v>391.8</v>
      </c>
      <c r="V74" s="32">
        <v>394.01</v>
      </c>
      <c r="W74" s="32">
        <v>395.09</v>
      </c>
      <c r="X74" s="32">
        <v>397.38</v>
      </c>
      <c r="Y74" s="32">
        <v>399.25</v>
      </c>
      <c r="Z74" s="32">
        <v>400.63</v>
      </c>
      <c r="AA74" s="32">
        <v>400.03</v>
      </c>
      <c r="AB74" s="32">
        <v>404.73</v>
      </c>
      <c r="AC74" s="32">
        <v>404.67</v>
      </c>
      <c r="AD74" s="32">
        <v>406.38</v>
      </c>
      <c r="AE74" s="32">
        <v>408.01</v>
      </c>
      <c r="AF74" s="32">
        <v>417.44</v>
      </c>
      <c r="AG74" s="32">
        <v>419.63</v>
      </c>
      <c r="AH74" s="32">
        <v>422.8</v>
      </c>
      <c r="AI74" s="32">
        <v>424.07</v>
      </c>
      <c r="AJ74" s="33">
        <v>424</v>
      </c>
      <c r="AK74" s="33">
        <v>424</v>
      </c>
      <c r="AL74" s="33">
        <v>424</v>
      </c>
      <c r="AM74" s="33">
        <v>424</v>
      </c>
      <c r="AN74" s="33">
        <v>424</v>
      </c>
      <c r="AO74" s="33">
        <v>424</v>
      </c>
      <c r="AP74" s="33">
        <v>424</v>
      </c>
      <c r="AQ74" s="33">
        <v>424</v>
      </c>
      <c r="AR74" s="33">
        <v>424</v>
      </c>
      <c r="AS74" s="33">
        <v>424</v>
      </c>
    </row>
    <row r="75" spans="1:45" x14ac:dyDescent="0.35">
      <c r="A75" s="77" t="str">
        <f>A74</f>
        <v>BASE_PMR1b</v>
      </c>
      <c r="B75" s="50" t="s">
        <v>10</v>
      </c>
      <c r="C75" s="50" t="s">
        <v>9</v>
      </c>
      <c r="D75" s="7">
        <v>506.07771300000002</v>
      </c>
      <c r="E75" s="7">
        <v>509.25356820000002</v>
      </c>
      <c r="F75" s="7">
        <v>510.86624319999999</v>
      </c>
      <c r="G75" s="7">
        <v>513.04640219999999</v>
      </c>
      <c r="H75" s="7">
        <v>515.2993778</v>
      </c>
      <c r="I75" s="7">
        <v>517.93450080000002</v>
      </c>
      <c r="J75" s="32">
        <f>J74</f>
        <v>388.87</v>
      </c>
      <c r="K75" s="32">
        <f t="shared" ref="K75:AS75" si="85">K74</f>
        <v>388.6</v>
      </c>
      <c r="L75" s="32">
        <f t="shared" si="85"/>
        <v>386.77</v>
      </c>
      <c r="M75" s="32">
        <f t="shared" si="85"/>
        <v>384.37</v>
      </c>
      <c r="N75" s="32">
        <f t="shared" si="85"/>
        <v>382.13</v>
      </c>
      <c r="O75" s="32">
        <f t="shared" si="85"/>
        <v>381.53</v>
      </c>
      <c r="P75" s="32">
        <f t="shared" si="85"/>
        <v>383.6</v>
      </c>
      <c r="Q75" s="32">
        <f t="shared" si="85"/>
        <v>381.66</v>
      </c>
      <c r="R75" s="32">
        <f t="shared" si="85"/>
        <v>386.9</v>
      </c>
      <c r="S75" s="32">
        <f t="shared" si="85"/>
        <v>389.56</v>
      </c>
      <c r="T75" s="32">
        <f t="shared" si="85"/>
        <v>390.76</v>
      </c>
      <c r="U75" s="32">
        <f t="shared" si="85"/>
        <v>391.8</v>
      </c>
      <c r="V75" s="32">
        <f t="shared" si="85"/>
        <v>394.01</v>
      </c>
      <c r="W75" s="32">
        <f t="shared" si="85"/>
        <v>395.09</v>
      </c>
      <c r="X75" s="32">
        <f t="shared" si="85"/>
        <v>397.38</v>
      </c>
      <c r="Y75" s="32">
        <f t="shared" si="85"/>
        <v>399.25</v>
      </c>
      <c r="Z75" s="32">
        <f t="shared" si="85"/>
        <v>400.63</v>
      </c>
      <c r="AA75" s="32">
        <f t="shared" si="85"/>
        <v>400.03</v>
      </c>
      <c r="AB75" s="32">
        <f t="shared" si="85"/>
        <v>404.73</v>
      </c>
      <c r="AC75" s="32">
        <f t="shared" si="85"/>
        <v>404.67</v>
      </c>
      <c r="AD75" s="32">
        <f t="shared" si="85"/>
        <v>406.38</v>
      </c>
      <c r="AE75" s="32">
        <f t="shared" si="85"/>
        <v>408.01</v>
      </c>
      <c r="AF75" s="32">
        <f t="shared" si="85"/>
        <v>417.44</v>
      </c>
      <c r="AG75" s="32">
        <f t="shared" si="85"/>
        <v>419.63</v>
      </c>
      <c r="AH75" s="32">
        <f t="shared" si="85"/>
        <v>422.8</v>
      </c>
      <c r="AI75" s="32">
        <f t="shared" si="85"/>
        <v>424.07</v>
      </c>
      <c r="AJ75" s="32">
        <f t="shared" si="85"/>
        <v>424</v>
      </c>
      <c r="AK75" s="32">
        <f t="shared" si="85"/>
        <v>424</v>
      </c>
      <c r="AL75" s="32">
        <f t="shared" si="85"/>
        <v>424</v>
      </c>
      <c r="AM75" s="32">
        <f t="shared" si="85"/>
        <v>424</v>
      </c>
      <c r="AN75" s="32">
        <f t="shared" si="85"/>
        <v>424</v>
      </c>
      <c r="AO75" s="32">
        <f t="shared" si="85"/>
        <v>424</v>
      </c>
      <c r="AP75" s="32">
        <f t="shared" si="85"/>
        <v>424</v>
      </c>
      <c r="AQ75" s="32">
        <f t="shared" si="85"/>
        <v>424</v>
      </c>
      <c r="AR75" s="32">
        <f t="shared" si="85"/>
        <v>424</v>
      </c>
      <c r="AS75" s="32">
        <f t="shared" si="85"/>
        <v>424</v>
      </c>
    </row>
    <row r="76" spans="1:45" x14ac:dyDescent="0.35">
      <c r="A76" s="77" t="str">
        <f t="shared" ref="A76:A85" si="86">A75</f>
        <v>BASE_PMR1b</v>
      </c>
      <c r="B76" s="51" t="s">
        <v>11</v>
      </c>
      <c r="C76" s="51" t="s">
        <v>9</v>
      </c>
      <c r="D76" s="3">
        <v>272</v>
      </c>
      <c r="E76" s="3">
        <v>272</v>
      </c>
      <c r="F76" s="3">
        <v>272</v>
      </c>
      <c r="G76" s="3">
        <v>272</v>
      </c>
      <c r="H76" s="3">
        <v>272</v>
      </c>
      <c r="I76" s="3">
        <v>272</v>
      </c>
      <c r="J76" s="53">
        <v>216.16</v>
      </c>
      <c r="K76" s="53">
        <v>215.99</v>
      </c>
      <c r="L76" s="53">
        <v>214.82</v>
      </c>
      <c r="M76" s="53">
        <v>213.29</v>
      </c>
      <c r="N76" s="53">
        <v>211.85</v>
      </c>
      <c r="O76" s="53">
        <v>211.47</v>
      </c>
      <c r="P76" s="53">
        <v>212.8</v>
      </c>
      <c r="Q76" s="53">
        <v>211.55</v>
      </c>
      <c r="R76" s="53">
        <v>214.9</v>
      </c>
      <c r="S76" s="53">
        <v>216.6</v>
      </c>
      <c r="T76" s="53">
        <v>217.37</v>
      </c>
      <c r="U76" s="53">
        <v>218.03</v>
      </c>
      <c r="V76" s="53">
        <v>219.44</v>
      </c>
      <c r="W76" s="53">
        <v>220.13</v>
      </c>
      <c r="X76" s="53">
        <v>221.6</v>
      </c>
      <c r="Y76" s="53">
        <v>222.79</v>
      </c>
      <c r="Z76" s="53">
        <v>223.67</v>
      </c>
      <c r="AA76" s="53">
        <v>223.29</v>
      </c>
      <c r="AB76" s="53">
        <v>226.29</v>
      </c>
      <c r="AC76" s="53">
        <v>226.25</v>
      </c>
      <c r="AD76" s="53">
        <v>227.34</v>
      </c>
      <c r="AE76" s="53">
        <v>228.38</v>
      </c>
      <c r="AF76" s="53">
        <v>234.4</v>
      </c>
      <c r="AG76" s="53">
        <v>235.81</v>
      </c>
      <c r="AH76" s="53">
        <v>237.83</v>
      </c>
      <c r="AI76" s="53">
        <v>238.64</v>
      </c>
      <c r="AJ76" s="53">
        <f>AI76</f>
        <v>238.64</v>
      </c>
      <c r="AK76" s="53">
        <f t="shared" ref="AK76:AS76" si="87">AJ76</f>
        <v>238.64</v>
      </c>
      <c r="AL76" s="53">
        <f t="shared" si="87"/>
        <v>238.64</v>
      </c>
      <c r="AM76" s="53">
        <f t="shared" si="87"/>
        <v>238.64</v>
      </c>
      <c r="AN76" s="53">
        <f t="shared" si="87"/>
        <v>238.64</v>
      </c>
      <c r="AO76" s="53">
        <f t="shared" si="87"/>
        <v>238.64</v>
      </c>
      <c r="AP76" s="53">
        <f t="shared" si="87"/>
        <v>238.64</v>
      </c>
      <c r="AQ76" s="53">
        <f t="shared" si="87"/>
        <v>238.64</v>
      </c>
      <c r="AR76" s="53">
        <f t="shared" si="87"/>
        <v>238.64</v>
      </c>
      <c r="AS76" s="53">
        <f t="shared" si="87"/>
        <v>238.64</v>
      </c>
    </row>
    <row r="77" spans="1:45" x14ac:dyDescent="0.35">
      <c r="A77" s="77" t="str">
        <f t="shared" si="86"/>
        <v>BASE_PMR1b</v>
      </c>
      <c r="B77" s="50" t="s">
        <v>12</v>
      </c>
      <c r="C77" s="50" t="s">
        <v>9</v>
      </c>
      <c r="D77" s="7">
        <v>272</v>
      </c>
      <c r="E77" s="7">
        <v>272</v>
      </c>
      <c r="F77" s="7">
        <v>272</v>
      </c>
      <c r="G77" s="7">
        <v>272</v>
      </c>
      <c r="H77" s="7">
        <v>272</v>
      </c>
      <c r="I77" s="7">
        <v>272</v>
      </c>
      <c r="J77" s="54">
        <f>J76</f>
        <v>216.16</v>
      </c>
      <c r="K77" s="54">
        <f t="shared" ref="K77:X77" si="88">K76</f>
        <v>215.99</v>
      </c>
      <c r="L77" s="54">
        <f t="shared" si="88"/>
        <v>214.82</v>
      </c>
      <c r="M77" s="54">
        <f t="shared" si="88"/>
        <v>213.29</v>
      </c>
      <c r="N77" s="54">
        <f t="shared" si="88"/>
        <v>211.85</v>
      </c>
      <c r="O77" s="54">
        <f t="shared" si="88"/>
        <v>211.47</v>
      </c>
      <c r="P77" s="54">
        <f t="shared" si="88"/>
        <v>212.8</v>
      </c>
      <c r="Q77" s="54">
        <f t="shared" si="88"/>
        <v>211.55</v>
      </c>
      <c r="R77" s="54">
        <f t="shared" si="88"/>
        <v>214.9</v>
      </c>
      <c r="S77" s="54">
        <f t="shared" si="88"/>
        <v>216.6</v>
      </c>
      <c r="T77" s="54">
        <f t="shared" si="88"/>
        <v>217.37</v>
      </c>
      <c r="U77" s="54">
        <f t="shared" si="88"/>
        <v>218.03</v>
      </c>
      <c r="V77" s="54">
        <f t="shared" si="88"/>
        <v>219.44</v>
      </c>
      <c r="W77" s="54">
        <f t="shared" si="88"/>
        <v>220.13</v>
      </c>
      <c r="X77" s="54">
        <f t="shared" si="88"/>
        <v>221.6</v>
      </c>
      <c r="Y77" s="33">
        <f>Y74</f>
        <v>399.25</v>
      </c>
      <c r="Z77" s="33">
        <f t="shared" ref="Z77:AS77" si="89">Z74</f>
        <v>400.63</v>
      </c>
      <c r="AA77" s="33">
        <f t="shared" si="89"/>
        <v>400.03</v>
      </c>
      <c r="AB77" s="33">
        <f t="shared" si="89"/>
        <v>404.73</v>
      </c>
      <c r="AC77" s="33">
        <f t="shared" si="89"/>
        <v>404.67</v>
      </c>
      <c r="AD77" s="33">
        <f t="shared" si="89"/>
        <v>406.38</v>
      </c>
      <c r="AE77" s="33">
        <f t="shared" si="89"/>
        <v>408.01</v>
      </c>
      <c r="AF77" s="33">
        <f t="shared" si="89"/>
        <v>417.44</v>
      </c>
      <c r="AG77" s="33">
        <f t="shared" si="89"/>
        <v>419.63</v>
      </c>
      <c r="AH77" s="33">
        <f t="shared" si="89"/>
        <v>422.8</v>
      </c>
      <c r="AI77" s="33">
        <f t="shared" si="89"/>
        <v>424.07</v>
      </c>
      <c r="AJ77" s="33">
        <f t="shared" si="89"/>
        <v>424</v>
      </c>
      <c r="AK77" s="33">
        <f t="shared" si="89"/>
        <v>424</v>
      </c>
      <c r="AL77" s="33">
        <f t="shared" si="89"/>
        <v>424</v>
      </c>
      <c r="AM77" s="33">
        <f t="shared" si="89"/>
        <v>424</v>
      </c>
      <c r="AN77" s="33">
        <f t="shared" si="89"/>
        <v>424</v>
      </c>
      <c r="AO77" s="33">
        <f t="shared" si="89"/>
        <v>424</v>
      </c>
      <c r="AP77" s="33">
        <f t="shared" si="89"/>
        <v>424</v>
      </c>
      <c r="AQ77" s="33">
        <f t="shared" si="89"/>
        <v>424</v>
      </c>
      <c r="AR77" s="33">
        <f t="shared" si="89"/>
        <v>424</v>
      </c>
      <c r="AS77" s="33">
        <f t="shared" si="89"/>
        <v>424</v>
      </c>
    </row>
    <row r="78" spans="1:45" x14ac:dyDescent="0.35">
      <c r="A78" s="77" t="str">
        <f t="shared" si="86"/>
        <v>BASE_PMR1b</v>
      </c>
      <c r="B78" s="51" t="s">
        <v>13</v>
      </c>
      <c r="C78" s="51" t="s">
        <v>9</v>
      </c>
      <c r="D78" s="3">
        <v>272</v>
      </c>
      <c r="E78" s="3">
        <v>272</v>
      </c>
      <c r="F78" s="3">
        <v>272</v>
      </c>
      <c r="G78" s="3">
        <v>272</v>
      </c>
      <c r="H78" s="3">
        <v>272</v>
      </c>
      <c r="I78" s="3">
        <v>272</v>
      </c>
      <c r="J78" s="54">
        <f>J76</f>
        <v>216.16</v>
      </c>
      <c r="K78" s="54">
        <f t="shared" ref="K78:AC78" si="90">K76</f>
        <v>215.99</v>
      </c>
      <c r="L78" s="54">
        <f t="shared" si="90"/>
        <v>214.82</v>
      </c>
      <c r="M78" s="54">
        <f t="shared" si="90"/>
        <v>213.29</v>
      </c>
      <c r="N78" s="54">
        <f t="shared" si="90"/>
        <v>211.85</v>
      </c>
      <c r="O78" s="54">
        <f t="shared" si="90"/>
        <v>211.47</v>
      </c>
      <c r="P78" s="54">
        <f t="shared" si="90"/>
        <v>212.8</v>
      </c>
      <c r="Q78" s="54">
        <f t="shared" si="90"/>
        <v>211.55</v>
      </c>
      <c r="R78" s="54">
        <f t="shared" si="90"/>
        <v>214.9</v>
      </c>
      <c r="S78" s="54">
        <f t="shared" si="90"/>
        <v>216.6</v>
      </c>
      <c r="T78" s="54">
        <f t="shared" si="90"/>
        <v>217.37</v>
      </c>
      <c r="U78" s="54">
        <f t="shared" si="90"/>
        <v>218.03</v>
      </c>
      <c r="V78" s="54">
        <f t="shared" si="90"/>
        <v>219.44</v>
      </c>
      <c r="W78" s="54">
        <f t="shared" si="90"/>
        <v>220.13</v>
      </c>
      <c r="X78" s="54">
        <f t="shared" si="90"/>
        <v>221.6</v>
      </c>
      <c r="Y78" s="54">
        <f t="shared" si="90"/>
        <v>222.79</v>
      </c>
      <c r="Z78" s="54">
        <f t="shared" si="90"/>
        <v>223.67</v>
      </c>
      <c r="AA78" s="54">
        <f t="shared" si="90"/>
        <v>223.29</v>
      </c>
      <c r="AB78" s="54">
        <f t="shared" si="90"/>
        <v>226.29</v>
      </c>
      <c r="AC78" s="54">
        <f t="shared" si="90"/>
        <v>226.25</v>
      </c>
      <c r="AD78" s="32">
        <f>AD74</f>
        <v>406.38</v>
      </c>
      <c r="AE78" s="32">
        <f t="shared" ref="AE78:AS78" si="91">AE74</f>
        <v>408.01</v>
      </c>
      <c r="AF78" s="32">
        <f t="shared" si="91"/>
        <v>417.44</v>
      </c>
      <c r="AG78" s="32">
        <f t="shared" si="91"/>
        <v>419.63</v>
      </c>
      <c r="AH78" s="32">
        <f t="shared" si="91"/>
        <v>422.8</v>
      </c>
      <c r="AI78" s="32">
        <f t="shared" si="91"/>
        <v>424.07</v>
      </c>
      <c r="AJ78" s="32">
        <f t="shared" si="91"/>
        <v>424</v>
      </c>
      <c r="AK78" s="32">
        <f t="shared" si="91"/>
        <v>424</v>
      </c>
      <c r="AL78" s="32">
        <f t="shared" si="91"/>
        <v>424</v>
      </c>
      <c r="AM78" s="32">
        <f t="shared" si="91"/>
        <v>424</v>
      </c>
      <c r="AN78" s="32">
        <f t="shared" si="91"/>
        <v>424</v>
      </c>
      <c r="AO78" s="32">
        <f t="shared" si="91"/>
        <v>424</v>
      </c>
      <c r="AP78" s="32">
        <f t="shared" si="91"/>
        <v>424</v>
      </c>
      <c r="AQ78" s="32">
        <f t="shared" si="91"/>
        <v>424</v>
      </c>
      <c r="AR78" s="32">
        <f t="shared" si="91"/>
        <v>424</v>
      </c>
      <c r="AS78" s="32">
        <f t="shared" si="91"/>
        <v>424</v>
      </c>
    </row>
    <row r="79" spans="1:45" x14ac:dyDescent="0.35">
      <c r="A79" s="77" t="str">
        <f t="shared" si="86"/>
        <v>BASE_PMR1b</v>
      </c>
      <c r="B79" s="50" t="s">
        <v>14</v>
      </c>
      <c r="C79" s="50" t="s">
        <v>9</v>
      </c>
      <c r="D79" s="7">
        <v>272</v>
      </c>
      <c r="E79" s="7">
        <v>272</v>
      </c>
      <c r="F79" s="7">
        <v>272</v>
      </c>
      <c r="G79" s="7">
        <v>272</v>
      </c>
      <c r="H79" s="7">
        <v>272</v>
      </c>
      <c r="I79" s="7">
        <v>272</v>
      </c>
      <c r="J79" s="54">
        <f>J76</f>
        <v>216.16</v>
      </c>
      <c r="K79" s="54">
        <f t="shared" ref="K79:AH79" si="92">K76</f>
        <v>215.99</v>
      </c>
      <c r="L79" s="54">
        <f t="shared" si="92"/>
        <v>214.82</v>
      </c>
      <c r="M79" s="54">
        <f t="shared" si="92"/>
        <v>213.29</v>
      </c>
      <c r="N79" s="54">
        <f t="shared" si="92"/>
        <v>211.85</v>
      </c>
      <c r="O79" s="54">
        <f t="shared" si="92"/>
        <v>211.47</v>
      </c>
      <c r="P79" s="54">
        <f t="shared" si="92"/>
        <v>212.8</v>
      </c>
      <c r="Q79" s="54">
        <f t="shared" si="92"/>
        <v>211.55</v>
      </c>
      <c r="R79" s="54">
        <f t="shared" si="92"/>
        <v>214.9</v>
      </c>
      <c r="S79" s="54">
        <f t="shared" si="92"/>
        <v>216.6</v>
      </c>
      <c r="T79" s="54">
        <f t="shared" si="92"/>
        <v>217.37</v>
      </c>
      <c r="U79" s="54">
        <f t="shared" si="92"/>
        <v>218.03</v>
      </c>
      <c r="V79" s="54">
        <f t="shared" si="92"/>
        <v>219.44</v>
      </c>
      <c r="W79" s="54">
        <f t="shared" si="92"/>
        <v>220.13</v>
      </c>
      <c r="X79" s="54">
        <f t="shared" si="92"/>
        <v>221.6</v>
      </c>
      <c r="Y79" s="54">
        <f t="shared" si="92"/>
        <v>222.79</v>
      </c>
      <c r="Z79" s="54">
        <f t="shared" si="92"/>
        <v>223.67</v>
      </c>
      <c r="AA79" s="54">
        <f t="shared" si="92"/>
        <v>223.29</v>
      </c>
      <c r="AB79" s="54">
        <f t="shared" si="92"/>
        <v>226.29</v>
      </c>
      <c r="AC79" s="54">
        <f t="shared" si="92"/>
        <v>226.25</v>
      </c>
      <c r="AD79" s="54">
        <f t="shared" si="92"/>
        <v>227.34</v>
      </c>
      <c r="AE79" s="54">
        <f t="shared" si="92"/>
        <v>228.38</v>
      </c>
      <c r="AF79" s="54">
        <f t="shared" si="92"/>
        <v>234.4</v>
      </c>
      <c r="AG79" s="54">
        <f t="shared" si="92"/>
        <v>235.81</v>
      </c>
      <c r="AH79" s="54">
        <f t="shared" si="92"/>
        <v>237.83</v>
      </c>
      <c r="AI79" s="32">
        <f>AI74</f>
        <v>424.07</v>
      </c>
      <c r="AJ79" s="32">
        <f t="shared" ref="AJ79:AS79" si="93">AJ74</f>
        <v>424</v>
      </c>
      <c r="AK79" s="32">
        <f t="shared" si="93"/>
        <v>424</v>
      </c>
      <c r="AL79" s="32">
        <f t="shared" si="93"/>
        <v>424</v>
      </c>
      <c r="AM79" s="32">
        <f t="shared" si="93"/>
        <v>424</v>
      </c>
      <c r="AN79" s="32">
        <f t="shared" si="93"/>
        <v>424</v>
      </c>
      <c r="AO79" s="32">
        <f t="shared" si="93"/>
        <v>424</v>
      </c>
      <c r="AP79" s="32">
        <f t="shared" si="93"/>
        <v>424</v>
      </c>
      <c r="AQ79" s="32">
        <f t="shared" si="93"/>
        <v>424</v>
      </c>
      <c r="AR79" s="32">
        <f t="shared" si="93"/>
        <v>424</v>
      </c>
      <c r="AS79" s="32">
        <f t="shared" si="93"/>
        <v>424</v>
      </c>
    </row>
    <row r="80" spans="1:45" x14ac:dyDescent="0.35">
      <c r="A80" s="77" t="str">
        <f t="shared" si="86"/>
        <v>BASE_PMR1b</v>
      </c>
      <c r="B80" s="51" t="s">
        <v>15</v>
      </c>
      <c r="C80" s="51" t="s">
        <v>9</v>
      </c>
      <c r="D80" s="3">
        <v>272</v>
      </c>
      <c r="E80" s="3">
        <v>272</v>
      </c>
      <c r="F80" s="3">
        <v>272</v>
      </c>
      <c r="G80" s="3">
        <v>272</v>
      </c>
      <c r="H80" s="3">
        <v>272</v>
      </c>
      <c r="I80" s="3">
        <v>272</v>
      </c>
      <c r="J80" s="54">
        <f>J76</f>
        <v>216.16</v>
      </c>
      <c r="K80" s="54">
        <f t="shared" ref="K80:AM80" si="94">K76</f>
        <v>215.99</v>
      </c>
      <c r="L80" s="54">
        <f t="shared" si="94"/>
        <v>214.82</v>
      </c>
      <c r="M80" s="54">
        <f t="shared" si="94"/>
        <v>213.29</v>
      </c>
      <c r="N80" s="54">
        <f t="shared" si="94"/>
        <v>211.85</v>
      </c>
      <c r="O80" s="54">
        <f t="shared" si="94"/>
        <v>211.47</v>
      </c>
      <c r="P80" s="54">
        <f t="shared" si="94"/>
        <v>212.8</v>
      </c>
      <c r="Q80" s="54">
        <f t="shared" si="94"/>
        <v>211.55</v>
      </c>
      <c r="R80" s="54">
        <f t="shared" si="94"/>
        <v>214.9</v>
      </c>
      <c r="S80" s="54">
        <f t="shared" si="94"/>
        <v>216.6</v>
      </c>
      <c r="T80" s="54">
        <f t="shared" si="94"/>
        <v>217.37</v>
      </c>
      <c r="U80" s="54">
        <f t="shared" si="94"/>
        <v>218.03</v>
      </c>
      <c r="V80" s="54">
        <f t="shared" si="94"/>
        <v>219.44</v>
      </c>
      <c r="W80" s="54">
        <f t="shared" si="94"/>
        <v>220.13</v>
      </c>
      <c r="X80" s="54">
        <f t="shared" si="94"/>
        <v>221.6</v>
      </c>
      <c r="Y80" s="54">
        <f t="shared" si="94"/>
        <v>222.79</v>
      </c>
      <c r="Z80" s="54">
        <f t="shared" si="94"/>
        <v>223.67</v>
      </c>
      <c r="AA80" s="54">
        <f t="shared" si="94"/>
        <v>223.29</v>
      </c>
      <c r="AB80" s="54">
        <f t="shared" si="94"/>
        <v>226.29</v>
      </c>
      <c r="AC80" s="54">
        <f t="shared" si="94"/>
        <v>226.25</v>
      </c>
      <c r="AD80" s="54">
        <f t="shared" si="94"/>
        <v>227.34</v>
      </c>
      <c r="AE80" s="54">
        <f t="shared" si="94"/>
        <v>228.38</v>
      </c>
      <c r="AF80" s="54">
        <f t="shared" si="94"/>
        <v>234.4</v>
      </c>
      <c r="AG80" s="54">
        <f t="shared" si="94"/>
        <v>235.81</v>
      </c>
      <c r="AH80" s="54">
        <f t="shared" si="94"/>
        <v>237.83</v>
      </c>
      <c r="AI80" s="54">
        <f t="shared" si="94"/>
        <v>238.64</v>
      </c>
      <c r="AJ80" s="54">
        <f t="shared" si="94"/>
        <v>238.64</v>
      </c>
      <c r="AK80" s="54">
        <f t="shared" si="94"/>
        <v>238.64</v>
      </c>
      <c r="AL80" s="54">
        <f t="shared" si="94"/>
        <v>238.64</v>
      </c>
      <c r="AM80" s="54">
        <f t="shared" si="94"/>
        <v>238.64</v>
      </c>
      <c r="AN80" s="32">
        <f>AN74</f>
        <v>424</v>
      </c>
      <c r="AO80" s="32">
        <f t="shared" ref="AO80:AS80" si="95">AO74</f>
        <v>424</v>
      </c>
      <c r="AP80" s="32">
        <f t="shared" si="95"/>
        <v>424</v>
      </c>
      <c r="AQ80" s="32">
        <f t="shared" si="95"/>
        <v>424</v>
      </c>
      <c r="AR80" s="32">
        <f t="shared" si="95"/>
        <v>424</v>
      </c>
      <c r="AS80" s="32">
        <f t="shared" si="95"/>
        <v>424</v>
      </c>
    </row>
    <row r="81" spans="1:45" x14ac:dyDescent="0.35">
      <c r="A81" s="77" t="str">
        <f t="shared" si="86"/>
        <v>BASE_PMR1b</v>
      </c>
      <c r="B81" s="50" t="s">
        <v>16</v>
      </c>
      <c r="C81" s="50" t="s">
        <v>9</v>
      </c>
      <c r="D81" s="7">
        <v>272</v>
      </c>
      <c r="E81" s="7">
        <v>272</v>
      </c>
      <c r="F81" s="7">
        <v>272</v>
      </c>
      <c r="G81" s="7">
        <v>272</v>
      </c>
      <c r="H81" s="7">
        <v>272</v>
      </c>
      <c r="I81" s="7">
        <v>272</v>
      </c>
      <c r="J81" s="54">
        <f>J76</f>
        <v>216.16</v>
      </c>
      <c r="K81" s="54">
        <f t="shared" ref="K81:AR81" si="96">K76</f>
        <v>215.99</v>
      </c>
      <c r="L81" s="54">
        <f t="shared" si="96"/>
        <v>214.82</v>
      </c>
      <c r="M81" s="54">
        <f t="shared" si="96"/>
        <v>213.29</v>
      </c>
      <c r="N81" s="54">
        <f t="shared" si="96"/>
        <v>211.85</v>
      </c>
      <c r="O81" s="54">
        <f t="shared" si="96"/>
        <v>211.47</v>
      </c>
      <c r="P81" s="54">
        <f t="shared" si="96"/>
        <v>212.8</v>
      </c>
      <c r="Q81" s="54">
        <f t="shared" si="96"/>
        <v>211.55</v>
      </c>
      <c r="R81" s="54">
        <f t="shared" si="96"/>
        <v>214.9</v>
      </c>
      <c r="S81" s="54">
        <f t="shared" si="96"/>
        <v>216.6</v>
      </c>
      <c r="T81" s="54">
        <f t="shared" si="96"/>
        <v>217.37</v>
      </c>
      <c r="U81" s="54">
        <f t="shared" si="96"/>
        <v>218.03</v>
      </c>
      <c r="V81" s="54">
        <f t="shared" si="96"/>
        <v>219.44</v>
      </c>
      <c r="W81" s="54">
        <f t="shared" si="96"/>
        <v>220.13</v>
      </c>
      <c r="X81" s="54">
        <f t="shared" si="96"/>
        <v>221.6</v>
      </c>
      <c r="Y81" s="54">
        <f t="shared" si="96"/>
        <v>222.79</v>
      </c>
      <c r="Z81" s="54">
        <f t="shared" si="96"/>
        <v>223.67</v>
      </c>
      <c r="AA81" s="54">
        <f t="shared" si="96"/>
        <v>223.29</v>
      </c>
      <c r="AB81" s="54">
        <f t="shared" si="96"/>
        <v>226.29</v>
      </c>
      <c r="AC81" s="54">
        <f t="shared" si="96"/>
        <v>226.25</v>
      </c>
      <c r="AD81" s="54">
        <f t="shared" si="96"/>
        <v>227.34</v>
      </c>
      <c r="AE81" s="54">
        <f t="shared" si="96"/>
        <v>228.38</v>
      </c>
      <c r="AF81" s="54">
        <f t="shared" si="96"/>
        <v>234.4</v>
      </c>
      <c r="AG81" s="54">
        <f t="shared" si="96"/>
        <v>235.81</v>
      </c>
      <c r="AH81" s="54">
        <f t="shared" si="96"/>
        <v>237.83</v>
      </c>
      <c r="AI81" s="54">
        <f t="shared" si="96"/>
        <v>238.64</v>
      </c>
      <c r="AJ81" s="54">
        <f t="shared" si="96"/>
        <v>238.64</v>
      </c>
      <c r="AK81" s="54">
        <f t="shared" si="96"/>
        <v>238.64</v>
      </c>
      <c r="AL81" s="54">
        <f t="shared" si="96"/>
        <v>238.64</v>
      </c>
      <c r="AM81" s="54">
        <f t="shared" si="96"/>
        <v>238.64</v>
      </c>
      <c r="AN81" s="54">
        <f t="shared" si="96"/>
        <v>238.64</v>
      </c>
      <c r="AO81" s="54">
        <f t="shared" si="96"/>
        <v>238.64</v>
      </c>
      <c r="AP81" s="54">
        <f t="shared" si="96"/>
        <v>238.64</v>
      </c>
      <c r="AQ81" s="54">
        <f t="shared" si="96"/>
        <v>238.64</v>
      </c>
      <c r="AR81" s="54">
        <f t="shared" si="96"/>
        <v>238.64</v>
      </c>
      <c r="AS81" s="32">
        <f>AS74</f>
        <v>424</v>
      </c>
    </row>
    <row r="82" spans="1:45" x14ac:dyDescent="0.35">
      <c r="A82" s="77" t="str">
        <f t="shared" si="86"/>
        <v>BASE_PMR1b</v>
      </c>
      <c r="B82" s="51" t="s">
        <v>22</v>
      </c>
      <c r="C82" s="51" t="s">
        <v>9</v>
      </c>
      <c r="D82" s="3">
        <v>45.18</v>
      </c>
      <c r="E82" s="3">
        <v>45.18</v>
      </c>
      <c r="F82" s="3">
        <v>45.18</v>
      </c>
      <c r="G82" s="3">
        <v>45.18</v>
      </c>
      <c r="H82" s="3">
        <v>45.18</v>
      </c>
      <c r="I82" s="3">
        <v>45.18</v>
      </c>
      <c r="J82" s="55">
        <v>45</v>
      </c>
      <c r="K82" s="55">
        <v>45</v>
      </c>
      <c r="L82" s="55">
        <v>45</v>
      </c>
      <c r="M82" s="55">
        <v>45</v>
      </c>
      <c r="N82" s="55">
        <v>45</v>
      </c>
      <c r="O82" s="55">
        <v>45</v>
      </c>
      <c r="P82" s="55">
        <v>45</v>
      </c>
      <c r="Q82" s="55">
        <v>45</v>
      </c>
      <c r="R82" s="55">
        <v>45</v>
      </c>
      <c r="S82" s="55">
        <v>45</v>
      </c>
      <c r="T82" s="55">
        <v>45</v>
      </c>
      <c r="U82" s="55">
        <v>45</v>
      </c>
      <c r="V82" s="55">
        <v>45</v>
      </c>
      <c r="W82" s="55">
        <v>45</v>
      </c>
      <c r="X82" s="55">
        <v>45</v>
      </c>
      <c r="Y82" s="55">
        <v>45</v>
      </c>
      <c r="Z82" s="55">
        <v>45</v>
      </c>
      <c r="AA82" s="55">
        <v>45</v>
      </c>
      <c r="AB82" s="55">
        <v>45</v>
      </c>
      <c r="AC82" s="55">
        <v>45</v>
      </c>
      <c r="AD82" s="55">
        <v>45</v>
      </c>
      <c r="AE82" s="55">
        <v>45</v>
      </c>
      <c r="AF82" s="55">
        <v>45</v>
      </c>
      <c r="AG82" s="55">
        <v>45</v>
      </c>
      <c r="AH82" s="55">
        <v>45</v>
      </c>
      <c r="AI82" s="55">
        <v>45</v>
      </c>
      <c r="AJ82" s="55">
        <v>45</v>
      </c>
      <c r="AK82" s="55">
        <v>45</v>
      </c>
      <c r="AL82" s="55">
        <v>45</v>
      </c>
      <c r="AM82" s="55">
        <v>45</v>
      </c>
      <c r="AN82" s="55">
        <v>45</v>
      </c>
      <c r="AO82" s="55">
        <v>45</v>
      </c>
      <c r="AP82" s="55">
        <v>45</v>
      </c>
      <c r="AQ82" s="55">
        <v>45</v>
      </c>
      <c r="AR82" s="55">
        <v>45</v>
      </c>
      <c r="AS82" s="55">
        <v>45</v>
      </c>
    </row>
    <row r="83" spans="1:45" x14ac:dyDescent="0.35">
      <c r="A83" s="77" t="str">
        <f t="shared" si="86"/>
        <v>BASE_PMR1b</v>
      </c>
      <c r="B83" s="50" t="s">
        <v>23</v>
      </c>
      <c r="C83" s="50" t="s">
        <v>9</v>
      </c>
      <c r="D83" s="7">
        <v>18</v>
      </c>
      <c r="E83" s="7">
        <v>18</v>
      </c>
      <c r="F83" s="7">
        <v>18</v>
      </c>
      <c r="G83" s="7">
        <v>18</v>
      </c>
      <c r="H83" s="7">
        <v>18</v>
      </c>
      <c r="I83" s="7">
        <v>18</v>
      </c>
      <c r="J83" s="56">
        <v>18</v>
      </c>
      <c r="K83" s="56">
        <v>18</v>
      </c>
      <c r="L83" s="56">
        <v>18</v>
      </c>
      <c r="M83" s="56">
        <v>18</v>
      </c>
      <c r="N83" s="56">
        <v>18</v>
      </c>
      <c r="O83" s="56">
        <v>18</v>
      </c>
      <c r="P83" s="56">
        <v>18</v>
      </c>
      <c r="Q83" s="56">
        <v>18</v>
      </c>
      <c r="R83" s="56">
        <v>18</v>
      </c>
      <c r="S83" s="56">
        <v>18</v>
      </c>
      <c r="T83" s="56">
        <v>18</v>
      </c>
      <c r="U83" s="56">
        <v>18</v>
      </c>
      <c r="V83" s="56">
        <v>18</v>
      </c>
      <c r="W83" s="56">
        <v>18</v>
      </c>
      <c r="X83" s="56">
        <v>18</v>
      </c>
      <c r="Y83" s="56">
        <v>18</v>
      </c>
      <c r="Z83" s="56">
        <v>18</v>
      </c>
      <c r="AA83" s="56">
        <v>18</v>
      </c>
      <c r="AB83" s="56">
        <v>18</v>
      </c>
      <c r="AC83" s="56">
        <v>18</v>
      </c>
      <c r="AD83" s="56">
        <v>18</v>
      </c>
      <c r="AE83" s="56">
        <v>18</v>
      </c>
      <c r="AF83" s="56">
        <v>18</v>
      </c>
      <c r="AG83" s="56">
        <v>18</v>
      </c>
      <c r="AH83" s="56">
        <v>18</v>
      </c>
      <c r="AI83" s="56">
        <v>18</v>
      </c>
      <c r="AJ83" s="56">
        <v>18</v>
      </c>
      <c r="AK83" s="56">
        <v>18</v>
      </c>
      <c r="AL83" s="56">
        <v>18</v>
      </c>
      <c r="AM83" s="56">
        <v>18</v>
      </c>
      <c r="AN83" s="56">
        <v>18</v>
      </c>
      <c r="AO83" s="56">
        <v>18</v>
      </c>
      <c r="AP83" s="56">
        <v>18</v>
      </c>
      <c r="AQ83" s="56">
        <v>18</v>
      </c>
      <c r="AR83" s="56">
        <v>18</v>
      </c>
      <c r="AS83" s="56">
        <v>18</v>
      </c>
    </row>
    <row r="84" spans="1:45" x14ac:dyDescent="0.35">
      <c r="A84" s="77" t="str">
        <f t="shared" si="86"/>
        <v>BASE_PMR1b</v>
      </c>
      <c r="B84" s="51" t="s">
        <v>24</v>
      </c>
      <c r="C84" s="51" t="s">
        <v>9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55">
        <v>0</v>
      </c>
      <c r="K84" s="55">
        <v>0</v>
      </c>
      <c r="L84" s="55">
        <v>0</v>
      </c>
      <c r="M84" s="55">
        <v>0</v>
      </c>
      <c r="N84" s="55">
        <v>0</v>
      </c>
      <c r="O84" s="55">
        <v>0</v>
      </c>
      <c r="P84" s="55">
        <v>0</v>
      </c>
      <c r="Q84" s="55">
        <v>0</v>
      </c>
      <c r="R84" s="55">
        <v>0</v>
      </c>
      <c r="S84" s="55">
        <v>0</v>
      </c>
      <c r="T84" s="55">
        <v>0</v>
      </c>
      <c r="U84" s="55">
        <v>0</v>
      </c>
      <c r="V84" s="55">
        <v>0</v>
      </c>
      <c r="W84" s="55">
        <v>0</v>
      </c>
      <c r="X84" s="55">
        <v>0</v>
      </c>
      <c r="Y84" s="55">
        <v>0</v>
      </c>
      <c r="Z84" s="55">
        <v>0</v>
      </c>
      <c r="AA84" s="55">
        <v>0</v>
      </c>
      <c r="AB84" s="55">
        <v>0</v>
      </c>
      <c r="AC84" s="55">
        <v>0</v>
      </c>
      <c r="AD84" s="55">
        <v>0</v>
      </c>
      <c r="AE84" s="55">
        <v>0</v>
      </c>
      <c r="AF84" s="55">
        <v>0</v>
      </c>
      <c r="AG84" s="55">
        <v>0</v>
      </c>
      <c r="AH84" s="55">
        <v>0</v>
      </c>
      <c r="AI84" s="55">
        <v>0</v>
      </c>
      <c r="AJ84" s="55">
        <v>0</v>
      </c>
      <c r="AK84" s="55">
        <v>0</v>
      </c>
      <c r="AL84" s="55">
        <v>0</v>
      </c>
      <c r="AM84" s="55">
        <v>0</v>
      </c>
      <c r="AN84" s="55">
        <v>0</v>
      </c>
      <c r="AO84" s="55">
        <v>0</v>
      </c>
      <c r="AP84" s="55">
        <v>0</v>
      </c>
      <c r="AQ84" s="55">
        <v>0</v>
      </c>
      <c r="AR84" s="55">
        <v>0</v>
      </c>
      <c r="AS84" s="55">
        <v>0</v>
      </c>
    </row>
    <row r="85" spans="1:45" x14ac:dyDescent="0.35">
      <c r="A85" s="77" t="str">
        <f t="shared" si="86"/>
        <v>BASE_PMR1b</v>
      </c>
      <c r="B85" s="52" t="s">
        <v>17</v>
      </c>
      <c r="C85" s="52" t="s">
        <v>9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57">
        <v>0</v>
      </c>
      <c r="K85" s="57">
        <v>0</v>
      </c>
      <c r="L85" s="57">
        <v>0</v>
      </c>
      <c r="M85" s="57">
        <v>0</v>
      </c>
      <c r="N85" s="57">
        <v>0</v>
      </c>
      <c r="O85" s="57">
        <v>0</v>
      </c>
      <c r="P85" s="57">
        <v>0</v>
      </c>
      <c r="Q85" s="57">
        <v>0</v>
      </c>
      <c r="R85" s="57">
        <v>0</v>
      </c>
      <c r="S85" s="57">
        <v>0</v>
      </c>
      <c r="T85" s="57">
        <v>0</v>
      </c>
      <c r="U85" s="57">
        <v>0</v>
      </c>
      <c r="V85" s="57">
        <v>0</v>
      </c>
      <c r="W85" s="57">
        <v>0</v>
      </c>
      <c r="X85" s="57">
        <v>0</v>
      </c>
      <c r="Y85" s="57">
        <v>0</v>
      </c>
      <c r="Z85" s="57">
        <v>0</v>
      </c>
      <c r="AA85" s="57">
        <v>0</v>
      </c>
      <c r="AB85" s="57">
        <v>0</v>
      </c>
      <c r="AC85" s="57">
        <v>0</v>
      </c>
      <c r="AD85" s="57">
        <v>0</v>
      </c>
      <c r="AE85" s="57">
        <v>0</v>
      </c>
      <c r="AF85" s="57">
        <v>0</v>
      </c>
      <c r="AG85" s="57">
        <v>0</v>
      </c>
      <c r="AH85" s="57">
        <v>0</v>
      </c>
      <c r="AI85" s="57">
        <v>0</v>
      </c>
      <c r="AJ85" s="57">
        <v>0</v>
      </c>
      <c r="AK85" s="57">
        <v>0</v>
      </c>
      <c r="AL85" s="57">
        <v>0</v>
      </c>
      <c r="AM85" s="57">
        <v>0</v>
      </c>
      <c r="AN85" s="57">
        <v>0</v>
      </c>
      <c r="AO85" s="57">
        <v>0</v>
      </c>
      <c r="AP85" s="57">
        <v>0</v>
      </c>
      <c r="AQ85" s="57">
        <v>0</v>
      </c>
      <c r="AR85" s="57">
        <v>0</v>
      </c>
      <c r="AS85" s="57">
        <v>0</v>
      </c>
    </row>
    <row r="86" spans="1:45" x14ac:dyDescent="0.35">
      <c r="A86" s="78" t="s">
        <v>70</v>
      </c>
      <c r="B86" s="51" t="s">
        <v>8</v>
      </c>
      <c r="C86" s="51" t="s">
        <v>9</v>
      </c>
      <c r="D86" s="3">
        <v>400.69668080000002</v>
      </c>
      <c r="E86" s="3">
        <v>402.46947069999999</v>
      </c>
      <c r="F86" s="3">
        <v>402.49143750000002</v>
      </c>
      <c r="G86" s="3">
        <v>405.597127</v>
      </c>
      <c r="H86" s="3">
        <v>406.51069790000003</v>
      </c>
      <c r="I86" s="3">
        <v>408.73353279999998</v>
      </c>
      <c r="J86" s="34">
        <v>388.87</v>
      </c>
      <c r="K86" s="34">
        <v>372.94</v>
      </c>
      <c r="L86" s="34">
        <v>356.79</v>
      </c>
      <c r="M86" s="34">
        <v>341.89</v>
      </c>
      <c r="N86" s="34">
        <v>326.08</v>
      </c>
      <c r="O86" s="34">
        <v>311.33</v>
      </c>
      <c r="P86" s="34">
        <v>313.23</v>
      </c>
      <c r="Q86" s="34">
        <v>312.72000000000003</v>
      </c>
      <c r="R86" s="34">
        <v>316.02999999999997</v>
      </c>
      <c r="S86" s="34">
        <v>317.45999999999998</v>
      </c>
      <c r="T86" s="34">
        <v>318.45</v>
      </c>
      <c r="U86" s="34">
        <v>320.16000000000003</v>
      </c>
      <c r="V86" s="34">
        <v>321.70999999999998</v>
      </c>
      <c r="W86" s="34">
        <v>323.02999999999997</v>
      </c>
      <c r="X86" s="34">
        <v>325.39</v>
      </c>
      <c r="Y86" s="34">
        <v>326.70999999999998</v>
      </c>
      <c r="Z86" s="34">
        <v>327.79</v>
      </c>
      <c r="AA86" s="34">
        <v>327.88</v>
      </c>
      <c r="AB86" s="34">
        <v>330.62</v>
      </c>
      <c r="AC86" s="34">
        <v>330.97</v>
      </c>
      <c r="AD86" s="34">
        <v>332.22</v>
      </c>
      <c r="AE86" s="34">
        <v>335.09</v>
      </c>
      <c r="AF86" s="34">
        <v>339.96</v>
      </c>
      <c r="AG86" s="34">
        <v>341.7</v>
      </c>
      <c r="AH86" s="34">
        <v>343.5</v>
      </c>
      <c r="AI86" s="34">
        <v>344.94</v>
      </c>
      <c r="AJ86" s="35">
        <v>345</v>
      </c>
      <c r="AK86" s="35">
        <v>345</v>
      </c>
      <c r="AL86" s="35">
        <v>345</v>
      </c>
      <c r="AM86" s="35">
        <v>345</v>
      </c>
      <c r="AN86" s="35">
        <v>345</v>
      </c>
      <c r="AO86" s="35">
        <v>345</v>
      </c>
      <c r="AP86" s="35">
        <v>345</v>
      </c>
      <c r="AQ86" s="35">
        <v>345</v>
      </c>
      <c r="AR86" s="35">
        <v>345</v>
      </c>
      <c r="AS86" s="35">
        <v>345</v>
      </c>
    </row>
    <row r="87" spans="1:45" x14ac:dyDescent="0.35">
      <c r="A87" s="78" t="str">
        <f>A86</f>
        <v>LOW_PMR1b</v>
      </c>
      <c r="B87" s="50" t="s">
        <v>10</v>
      </c>
      <c r="C87" s="50" t="s">
        <v>9</v>
      </c>
      <c r="D87" s="7">
        <v>400.69668080000002</v>
      </c>
      <c r="E87" s="7">
        <v>402.46947069999999</v>
      </c>
      <c r="F87" s="7">
        <v>402.49143750000002</v>
      </c>
      <c r="G87" s="7">
        <v>405.597127</v>
      </c>
      <c r="H87" s="7">
        <v>406.51069790000003</v>
      </c>
      <c r="I87" s="7">
        <v>408.73353279999998</v>
      </c>
      <c r="J87" s="34">
        <v>388.87</v>
      </c>
      <c r="K87" s="34">
        <v>372.94</v>
      </c>
      <c r="L87" s="34">
        <v>356.79</v>
      </c>
      <c r="M87" s="34">
        <v>341.89</v>
      </c>
      <c r="N87" s="34">
        <v>326.08</v>
      </c>
      <c r="O87" s="34">
        <v>311.33</v>
      </c>
      <c r="P87" s="34">
        <v>313.23</v>
      </c>
      <c r="Q87" s="34">
        <v>312.72000000000003</v>
      </c>
      <c r="R87" s="34">
        <v>316.02999999999997</v>
      </c>
      <c r="S87" s="34">
        <v>317.45999999999998</v>
      </c>
      <c r="T87" s="34">
        <v>318.45</v>
      </c>
      <c r="U87" s="34">
        <v>320.16000000000003</v>
      </c>
      <c r="V87" s="34">
        <v>321.70999999999998</v>
      </c>
      <c r="W87" s="34">
        <v>323.02999999999997</v>
      </c>
      <c r="X87" s="34">
        <v>325.39</v>
      </c>
      <c r="Y87" s="34">
        <v>326.70999999999998</v>
      </c>
      <c r="Z87" s="34">
        <v>327.79</v>
      </c>
      <c r="AA87" s="34">
        <v>327.88</v>
      </c>
      <c r="AB87" s="34">
        <v>330.62</v>
      </c>
      <c r="AC87" s="34">
        <v>330.97</v>
      </c>
      <c r="AD87" s="34">
        <v>332.22</v>
      </c>
      <c r="AE87" s="34">
        <v>335.09</v>
      </c>
      <c r="AF87" s="34">
        <v>339.96</v>
      </c>
      <c r="AG87" s="34">
        <v>341.7</v>
      </c>
      <c r="AH87" s="34">
        <v>343.5</v>
      </c>
      <c r="AI87" s="34">
        <v>344.94</v>
      </c>
      <c r="AJ87" s="35">
        <v>345</v>
      </c>
      <c r="AK87" s="35">
        <v>345</v>
      </c>
      <c r="AL87" s="35">
        <v>345</v>
      </c>
      <c r="AM87" s="35">
        <v>345</v>
      </c>
      <c r="AN87" s="35">
        <v>345</v>
      </c>
      <c r="AO87" s="35">
        <v>345</v>
      </c>
      <c r="AP87" s="35">
        <v>345</v>
      </c>
      <c r="AQ87" s="35">
        <v>345</v>
      </c>
      <c r="AR87" s="35">
        <v>345</v>
      </c>
      <c r="AS87" s="35">
        <v>345</v>
      </c>
    </row>
    <row r="88" spans="1:45" x14ac:dyDescent="0.35">
      <c r="A88" s="78" t="str">
        <f t="shared" ref="A88:A97" si="97">A87</f>
        <v>LOW_PMR1b</v>
      </c>
      <c r="B88" s="51" t="s">
        <v>11</v>
      </c>
      <c r="C88" s="51" t="s">
        <v>9</v>
      </c>
      <c r="D88" s="3">
        <v>272</v>
      </c>
      <c r="E88" s="3">
        <v>272</v>
      </c>
      <c r="F88" s="3">
        <v>272</v>
      </c>
      <c r="G88" s="3">
        <v>272</v>
      </c>
      <c r="H88" s="3">
        <v>272</v>
      </c>
      <c r="I88" s="3">
        <v>272</v>
      </c>
      <c r="J88" s="53">
        <v>206.85</v>
      </c>
      <c r="K88" s="53">
        <v>196.67</v>
      </c>
      <c r="L88" s="53">
        <v>186.36</v>
      </c>
      <c r="M88" s="53">
        <v>176.85</v>
      </c>
      <c r="N88" s="53">
        <v>166.75</v>
      </c>
      <c r="O88" s="53">
        <v>157.32</v>
      </c>
      <c r="P88" s="53">
        <v>158.54</v>
      </c>
      <c r="Q88" s="53">
        <v>158.21</v>
      </c>
      <c r="R88" s="53">
        <v>160.33000000000001</v>
      </c>
      <c r="S88" s="53">
        <v>161.24</v>
      </c>
      <c r="T88" s="53">
        <v>161.87</v>
      </c>
      <c r="U88" s="53">
        <v>162.97</v>
      </c>
      <c r="V88" s="53">
        <v>163.95</v>
      </c>
      <c r="W88" s="53">
        <v>164.8</v>
      </c>
      <c r="X88" s="53">
        <v>166.3</v>
      </c>
      <c r="Y88" s="53">
        <v>167.15</v>
      </c>
      <c r="Z88" s="53">
        <v>167.84</v>
      </c>
      <c r="AA88" s="53">
        <v>167.89</v>
      </c>
      <c r="AB88" s="53">
        <v>169.64</v>
      </c>
      <c r="AC88" s="53">
        <v>169.87</v>
      </c>
      <c r="AD88" s="53">
        <v>170.67</v>
      </c>
      <c r="AE88" s="53">
        <v>172.5</v>
      </c>
      <c r="AF88" s="53">
        <v>175.61</v>
      </c>
      <c r="AG88" s="53">
        <v>176.72</v>
      </c>
      <c r="AH88" s="53">
        <v>177.87</v>
      </c>
      <c r="AI88" s="53">
        <v>178.79</v>
      </c>
      <c r="AJ88" s="53">
        <f>AI88</f>
        <v>178.79</v>
      </c>
      <c r="AK88" s="53">
        <f t="shared" ref="AK88:AS88" si="98">AJ88</f>
        <v>178.79</v>
      </c>
      <c r="AL88" s="53">
        <f t="shared" si="98"/>
        <v>178.79</v>
      </c>
      <c r="AM88" s="53">
        <f t="shared" si="98"/>
        <v>178.79</v>
      </c>
      <c r="AN88" s="53">
        <f t="shared" si="98"/>
        <v>178.79</v>
      </c>
      <c r="AO88" s="53">
        <f t="shared" si="98"/>
        <v>178.79</v>
      </c>
      <c r="AP88" s="53">
        <f t="shared" si="98"/>
        <v>178.79</v>
      </c>
      <c r="AQ88" s="53">
        <f t="shared" si="98"/>
        <v>178.79</v>
      </c>
      <c r="AR88" s="53">
        <f t="shared" si="98"/>
        <v>178.79</v>
      </c>
      <c r="AS88" s="53">
        <f t="shared" si="98"/>
        <v>178.79</v>
      </c>
    </row>
    <row r="89" spans="1:45" x14ac:dyDescent="0.35">
      <c r="A89" s="78" t="str">
        <f t="shared" si="97"/>
        <v>LOW_PMR1b</v>
      </c>
      <c r="B89" s="50" t="s">
        <v>12</v>
      </c>
      <c r="C89" s="50" t="s">
        <v>9</v>
      </c>
      <c r="D89" s="7">
        <v>272</v>
      </c>
      <c r="E89" s="7">
        <v>272</v>
      </c>
      <c r="F89" s="7">
        <v>272</v>
      </c>
      <c r="G89" s="7">
        <v>272</v>
      </c>
      <c r="H89" s="7">
        <v>272</v>
      </c>
      <c r="I89" s="7">
        <v>272</v>
      </c>
      <c r="J89" s="54">
        <f>J88</f>
        <v>206.85</v>
      </c>
      <c r="K89" s="54">
        <f t="shared" ref="K89:X89" si="99">K88</f>
        <v>196.67</v>
      </c>
      <c r="L89" s="54">
        <f t="shared" si="99"/>
        <v>186.36</v>
      </c>
      <c r="M89" s="54">
        <f t="shared" si="99"/>
        <v>176.85</v>
      </c>
      <c r="N89" s="54">
        <f t="shared" si="99"/>
        <v>166.75</v>
      </c>
      <c r="O89" s="54">
        <f t="shared" si="99"/>
        <v>157.32</v>
      </c>
      <c r="P89" s="54">
        <f t="shared" si="99"/>
        <v>158.54</v>
      </c>
      <c r="Q89" s="54">
        <f t="shared" si="99"/>
        <v>158.21</v>
      </c>
      <c r="R89" s="54">
        <f t="shared" si="99"/>
        <v>160.33000000000001</v>
      </c>
      <c r="S89" s="54">
        <f t="shared" si="99"/>
        <v>161.24</v>
      </c>
      <c r="T89" s="54">
        <f t="shared" si="99"/>
        <v>161.87</v>
      </c>
      <c r="U89" s="54">
        <f t="shared" si="99"/>
        <v>162.97</v>
      </c>
      <c r="V89" s="54">
        <f t="shared" si="99"/>
        <v>163.95</v>
      </c>
      <c r="W89" s="54">
        <f t="shared" si="99"/>
        <v>164.8</v>
      </c>
      <c r="X89" s="54">
        <f t="shared" si="99"/>
        <v>166.3</v>
      </c>
      <c r="Y89" s="35">
        <v>327</v>
      </c>
      <c r="Z89" s="35">
        <v>328</v>
      </c>
      <c r="AA89" s="35">
        <v>328</v>
      </c>
      <c r="AB89" s="35">
        <v>331</v>
      </c>
      <c r="AC89" s="35">
        <v>331</v>
      </c>
      <c r="AD89" s="35">
        <v>332</v>
      </c>
      <c r="AE89" s="35">
        <v>335</v>
      </c>
      <c r="AF89" s="35">
        <v>340</v>
      </c>
      <c r="AG89" s="35">
        <v>342</v>
      </c>
      <c r="AH89" s="35">
        <v>344</v>
      </c>
      <c r="AI89" s="35">
        <v>345</v>
      </c>
      <c r="AJ89" s="35">
        <v>345</v>
      </c>
      <c r="AK89" s="35">
        <v>345</v>
      </c>
      <c r="AL89" s="35">
        <v>345</v>
      </c>
      <c r="AM89" s="35">
        <v>345</v>
      </c>
      <c r="AN89" s="35">
        <v>345</v>
      </c>
      <c r="AO89" s="35">
        <v>345</v>
      </c>
      <c r="AP89" s="35">
        <v>345</v>
      </c>
      <c r="AQ89" s="35">
        <v>345</v>
      </c>
      <c r="AR89" s="35">
        <v>345</v>
      </c>
      <c r="AS89" s="35">
        <v>345</v>
      </c>
    </row>
    <row r="90" spans="1:45" x14ac:dyDescent="0.35">
      <c r="A90" s="78" t="str">
        <f t="shared" si="97"/>
        <v>LOW_PMR1b</v>
      </c>
      <c r="B90" s="51" t="s">
        <v>13</v>
      </c>
      <c r="C90" s="51" t="s">
        <v>9</v>
      </c>
      <c r="D90" s="3">
        <v>272</v>
      </c>
      <c r="E90" s="3">
        <v>272</v>
      </c>
      <c r="F90" s="3">
        <v>272</v>
      </c>
      <c r="G90" s="3">
        <v>272</v>
      </c>
      <c r="H90" s="3">
        <v>272</v>
      </c>
      <c r="I90" s="3">
        <v>272</v>
      </c>
      <c r="J90" s="54">
        <f>J88</f>
        <v>206.85</v>
      </c>
      <c r="K90" s="54">
        <f t="shared" ref="K90:AC90" si="100">K88</f>
        <v>196.67</v>
      </c>
      <c r="L90" s="54">
        <f t="shared" si="100"/>
        <v>186.36</v>
      </c>
      <c r="M90" s="54">
        <f t="shared" si="100"/>
        <v>176.85</v>
      </c>
      <c r="N90" s="54">
        <f t="shared" si="100"/>
        <v>166.75</v>
      </c>
      <c r="O90" s="54">
        <f t="shared" si="100"/>
        <v>157.32</v>
      </c>
      <c r="P90" s="54">
        <f t="shared" si="100"/>
        <v>158.54</v>
      </c>
      <c r="Q90" s="54">
        <f t="shared" si="100"/>
        <v>158.21</v>
      </c>
      <c r="R90" s="54">
        <f t="shared" si="100"/>
        <v>160.33000000000001</v>
      </c>
      <c r="S90" s="54">
        <f t="shared" si="100"/>
        <v>161.24</v>
      </c>
      <c r="T90" s="54">
        <f t="shared" si="100"/>
        <v>161.87</v>
      </c>
      <c r="U90" s="54">
        <f t="shared" si="100"/>
        <v>162.97</v>
      </c>
      <c r="V90" s="54">
        <f t="shared" si="100"/>
        <v>163.95</v>
      </c>
      <c r="W90" s="54">
        <f t="shared" si="100"/>
        <v>164.8</v>
      </c>
      <c r="X90" s="54">
        <f t="shared" si="100"/>
        <v>166.3</v>
      </c>
      <c r="Y90" s="54">
        <f t="shared" si="100"/>
        <v>167.15</v>
      </c>
      <c r="Z90" s="54">
        <f t="shared" si="100"/>
        <v>167.84</v>
      </c>
      <c r="AA90" s="54">
        <f t="shared" si="100"/>
        <v>167.89</v>
      </c>
      <c r="AB90" s="54">
        <f t="shared" si="100"/>
        <v>169.64</v>
      </c>
      <c r="AC90" s="54">
        <f t="shared" si="100"/>
        <v>169.87</v>
      </c>
      <c r="AD90" s="34">
        <v>332</v>
      </c>
      <c r="AE90" s="34">
        <v>335</v>
      </c>
      <c r="AF90" s="34">
        <v>340</v>
      </c>
      <c r="AG90" s="34">
        <v>342</v>
      </c>
      <c r="AH90" s="34">
        <v>344</v>
      </c>
      <c r="AI90" s="34">
        <v>345</v>
      </c>
      <c r="AJ90" s="34">
        <v>345</v>
      </c>
      <c r="AK90" s="34">
        <v>345</v>
      </c>
      <c r="AL90" s="34">
        <v>345</v>
      </c>
      <c r="AM90" s="34">
        <v>345</v>
      </c>
      <c r="AN90" s="34">
        <v>345</v>
      </c>
      <c r="AO90" s="34">
        <v>345</v>
      </c>
      <c r="AP90" s="34">
        <v>345</v>
      </c>
      <c r="AQ90" s="34">
        <v>345</v>
      </c>
      <c r="AR90" s="34">
        <v>345</v>
      </c>
      <c r="AS90" s="34">
        <v>345</v>
      </c>
    </row>
    <row r="91" spans="1:45" x14ac:dyDescent="0.35">
      <c r="A91" s="78" t="str">
        <f t="shared" si="97"/>
        <v>LOW_PMR1b</v>
      </c>
      <c r="B91" s="50" t="s">
        <v>14</v>
      </c>
      <c r="C91" s="50" t="s">
        <v>9</v>
      </c>
      <c r="D91" s="7">
        <v>272</v>
      </c>
      <c r="E91" s="7">
        <v>272</v>
      </c>
      <c r="F91" s="7">
        <v>272</v>
      </c>
      <c r="G91" s="7">
        <v>272</v>
      </c>
      <c r="H91" s="7">
        <v>272</v>
      </c>
      <c r="I91" s="7">
        <v>272</v>
      </c>
      <c r="J91" s="54">
        <f>J88</f>
        <v>206.85</v>
      </c>
      <c r="K91" s="54">
        <f t="shared" ref="K91:AH91" si="101">K88</f>
        <v>196.67</v>
      </c>
      <c r="L91" s="54">
        <f t="shared" si="101"/>
        <v>186.36</v>
      </c>
      <c r="M91" s="54">
        <f t="shared" si="101"/>
        <v>176.85</v>
      </c>
      <c r="N91" s="54">
        <f t="shared" si="101"/>
        <v>166.75</v>
      </c>
      <c r="O91" s="54">
        <f t="shared" si="101"/>
        <v>157.32</v>
      </c>
      <c r="P91" s="54">
        <f t="shared" si="101"/>
        <v>158.54</v>
      </c>
      <c r="Q91" s="54">
        <f t="shared" si="101"/>
        <v>158.21</v>
      </c>
      <c r="R91" s="54">
        <f t="shared" si="101"/>
        <v>160.33000000000001</v>
      </c>
      <c r="S91" s="54">
        <f t="shared" si="101"/>
        <v>161.24</v>
      </c>
      <c r="T91" s="54">
        <f t="shared" si="101"/>
        <v>161.87</v>
      </c>
      <c r="U91" s="54">
        <f t="shared" si="101"/>
        <v>162.97</v>
      </c>
      <c r="V91" s="54">
        <f t="shared" si="101"/>
        <v>163.95</v>
      </c>
      <c r="W91" s="54">
        <f t="shared" si="101"/>
        <v>164.8</v>
      </c>
      <c r="X91" s="54">
        <f t="shared" si="101"/>
        <v>166.3</v>
      </c>
      <c r="Y91" s="54">
        <f t="shared" si="101"/>
        <v>167.15</v>
      </c>
      <c r="Z91" s="54">
        <f t="shared" si="101"/>
        <v>167.84</v>
      </c>
      <c r="AA91" s="54">
        <f t="shared" si="101"/>
        <v>167.89</v>
      </c>
      <c r="AB91" s="54">
        <f t="shared" si="101"/>
        <v>169.64</v>
      </c>
      <c r="AC91" s="54">
        <f t="shared" si="101"/>
        <v>169.87</v>
      </c>
      <c r="AD91" s="54">
        <f t="shared" si="101"/>
        <v>170.67</v>
      </c>
      <c r="AE91" s="54">
        <f t="shared" si="101"/>
        <v>172.5</v>
      </c>
      <c r="AF91" s="54">
        <f t="shared" si="101"/>
        <v>175.61</v>
      </c>
      <c r="AG91" s="54">
        <f t="shared" si="101"/>
        <v>176.72</v>
      </c>
      <c r="AH91" s="54">
        <f t="shared" si="101"/>
        <v>177.87</v>
      </c>
      <c r="AI91" s="35">
        <v>345</v>
      </c>
      <c r="AJ91" s="35">
        <v>345</v>
      </c>
      <c r="AK91" s="35">
        <v>345</v>
      </c>
      <c r="AL91" s="35">
        <v>345</v>
      </c>
      <c r="AM91" s="35">
        <v>345</v>
      </c>
      <c r="AN91" s="35">
        <v>345</v>
      </c>
      <c r="AO91" s="35">
        <v>345</v>
      </c>
      <c r="AP91" s="35">
        <v>345</v>
      </c>
      <c r="AQ91" s="35">
        <v>345</v>
      </c>
      <c r="AR91" s="35">
        <v>345</v>
      </c>
      <c r="AS91" s="35">
        <v>345</v>
      </c>
    </row>
    <row r="92" spans="1:45" x14ac:dyDescent="0.35">
      <c r="A92" s="78" t="str">
        <f t="shared" si="97"/>
        <v>LOW_PMR1b</v>
      </c>
      <c r="B92" s="51" t="s">
        <v>15</v>
      </c>
      <c r="C92" s="51" t="s">
        <v>9</v>
      </c>
      <c r="D92" s="3">
        <v>272</v>
      </c>
      <c r="E92" s="3">
        <v>272</v>
      </c>
      <c r="F92" s="3">
        <v>272</v>
      </c>
      <c r="G92" s="3">
        <v>272</v>
      </c>
      <c r="H92" s="3">
        <v>272</v>
      </c>
      <c r="I92" s="3">
        <v>272</v>
      </c>
      <c r="J92" s="54">
        <f>J88</f>
        <v>206.85</v>
      </c>
      <c r="K92" s="54">
        <f t="shared" ref="K92:AM92" si="102">K88</f>
        <v>196.67</v>
      </c>
      <c r="L92" s="54">
        <f t="shared" si="102"/>
        <v>186.36</v>
      </c>
      <c r="M92" s="54">
        <f t="shared" si="102"/>
        <v>176.85</v>
      </c>
      <c r="N92" s="54">
        <f t="shared" si="102"/>
        <v>166.75</v>
      </c>
      <c r="O92" s="54">
        <f t="shared" si="102"/>
        <v>157.32</v>
      </c>
      <c r="P92" s="54">
        <f t="shared" si="102"/>
        <v>158.54</v>
      </c>
      <c r="Q92" s="54">
        <f t="shared" si="102"/>
        <v>158.21</v>
      </c>
      <c r="R92" s="54">
        <f t="shared" si="102"/>
        <v>160.33000000000001</v>
      </c>
      <c r="S92" s="54">
        <f t="shared" si="102"/>
        <v>161.24</v>
      </c>
      <c r="T92" s="54">
        <f t="shared" si="102"/>
        <v>161.87</v>
      </c>
      <c r="U92" s="54">
        <f t="shared" si="102"/>
        <v>162.97</v>
      </c>
      <c r="V92" s="54">
        <f t="shared" si="102"/>
        <v>163.95</v>
      </c>
      <c r="W92" s="54">
        <f t="shared" si="102"/>
        <v>164.8</v>
      </c>
      <c r="X92" s="54">
        <f t="shared" si="102"/>
        <v>166.3</v>
      </c>
      <c r="Y92" s="54">
        <f t="shared" si="102"/>
        <v>167.15</v>
      </c>
      <c r="Z92" s="54">
        <f t="shared" si="102"/>
        <v>167.84</v>
      </c>
      <c r="AA92" s="54">
        <f t="shared" si="102"/>
        <v>167.89</v>
      </c>
      <c r="AB92" s="54">
        <f t="shared" si="102"/>
        <v>169.64</v>
      </c>
      <c r="AC92" s="54">
        <f t="shared" si="102"/>
        <v>169.87</v>
      </c>
      <c r="AD92" s="54">
        <f t="shared" si="102"/>
        <v>170.67</v>
      </c>
      <c r="AE92" s="54">
        <f t="shared" si="102"/>
        <v>172.5</v>
      </c>
      <c r="AF92" s="54">
        <f t="shared" si="102"/>
        <v>175.61</v>
      </c>
      <c r="AG92" s="54">
        <f t="shared" si="102"/>
        <v>176.72</v>
      </c>
      <c r="AH92" s="54">
        <f t="shared" si="102"/>
        <v>177.87</v>
      </c>
      <c r="AI92" s="54">
        <f t="shared" si="102"/>
        <v>178.79</v>
      </c>
      <c r="AJ92" s="54">
        <f t="shared" si="102"/>
        <v>178.79</v>
      </c>
      <c r="AK92" s="54">
        <f t="shared" si="102"/>
        <v>178.79</v>
      </c>
      <c r="AL92" s="54">
        <f t="shared" si="102"/>
        <v>178.79</v>
      </c>
      <c r="AM92" s="54">
        <f t="shared" si="102"/>
        <v>178.79</v>
      </c>
      <c r="AN92" s="34">
        <v>345</v>
      </c>
      <c r="AO92" s="34">
        <v>345</v>
      </c>
      <c r="AP92" s="34">
        <v>345</v>
      </c>
      <c r="AQ92" s="34">
        <v>345</v>
      </c>
      <c r="AR92" s="34">
        <v>345</v>
      </c>
      <c r="AS92" s="34">
        <v>345</v>
      </c>
    </row>
    <row r="93" spans="1:45" x14ac:dyDescent="0.35">
      <c r="A93" s="78" t="str">
        <f t="shared" si="97"/>
        <v>LOW_PMR1b</v>
      </c>
      <c r="B93" s="50" t="s">
        <v>16</v>
      </c>
      <c r="C93" s="50" t="s">
        <v>9</v>
      </c>
      <c r="D93" s="7">
        <v>272</v>
      </c>
      <c r="E93" s="7">
        <v>272</v>
      </c>
      <c r="F93" s="7">
        <v>272</v>
      </c>
      <c r="G93" s="7">
        <v>272</v>
      </c>
      <c r="H93" s="7">
        <v>272</v>
      </c>
      <c r="I93" s="7">
        <v>272</v>
      </c>
      <c r="J93" s="54">
        <f>J88</f>
        <v>206.85</v>
      </c>
      <c r="K93" s="54">
        <f t="shared" ref="K93:AR93" si="103">K88</f>
        <v>196.67</v>
      </c>
      <c r="L93" s="54">
        <f t="shared" si="103"/>
        <v>186.36</v>
      </c>
      <c r="M93" s="54">
        <f t="shared" si="103"/>
        <v>176.85</v>
      </c>
      <c r="N93" s="54">
        <f t="shared" si="103"/>
        <v>166.75</v>
      </c>
      <c r="O93" s="54">
        <f t="shared" si="103"/>
        <v>157.32</v>
      </c>
      <c r="P93" s="54">
        <f t="shared" si="103"/>
        <v>158.54</v>
      </c>
      <c r="Q93" s="54">
        <f t="shared" si="103"/>
        <v>158.21</v>
      </c>
      <c r="R93" s="54">
        <f t="shared" si="103"/>
        <v>160.33000000000001</v>
      </c>
      <c r="S93" s="54">
        <f t="shared" si="103"/>
        <v>161.24</v>
      </c>
      <c r="T93" s="54">
        <f t="shared" si="103"/>
        <v>161.87</v>
      </c>
      <c r="U93" s="54">
        <f t="shared" si="103"/>
        <v>162.97</v>
      </c>
      <c r="V93" s="54">
        <f t="shared" si="103"/>
        <v>163.95</v>
      </c>
      <c r="W93" s="54">
        <f t="shared" si="103"/>
        <v>164.8</v>
      </c>
      <c r="X93" s="54">
        <f t="shared" si="103"/>
        <v>166.3</v>
      </c>
      <c r="Y93" s="54">
        <f t="shared" si="103"/>
        <v>167.15</v>
      </c>
      <c r="Z93" s="54">
        <f t="shared" si="103"/>
        <v>167.84</v>
      </c>
      <c r="AA93" s="54">
        <f t="shared" si="103"/>
        <v>167.89</v>
      </c>
      <c r="AB93" s="54">
        <f t="shared" si="103"/>
        <v>169.64</v>
      </c>
      <c r="AC93" s="54">
        <f t="shared" si="103"/>
        <v>169.87</v>
      </c>
      <c r="AD93" s="54">
        <f t="shared" si="103"/>
        <v>170.67</v>
      </c>
      <c r="AE93" s="54">
        <f t="shared" si="103"/>
        <v>172.5</v>
      </c>
      <c r="AF93" s="54">
        <f t="shared" si="103"/>
        <v>175.61</v>
      </c>
      <c r="AG93" s="54">
        <f t="shared" si="103"/>
        <v>176.72</v>
      </c>
      <c r="AH93" s="54">
        <f t="shared" si="103"/>
        <v>177.87</v>
      </c>
      <c r="AI93" s="54">
        <f t="shared" si="103"/>
        <v>178.79</v>
      </c>
      <c r="AJ93" s="54">
        <f t="shared" si="103"/>
        <v>178.79</v>
      </c>
      <c r="AK93" s="54">
        <f t="shared" si="103"/>
        <v>178.79</v>
      </c>
      <c r="AL93" s="54">
        <f t="shared" si="103"/>
        <v>178.79</v>
      </c>
      <c r="AM93" s="54">
        <f t="shared" si="103"/>
        <v>178.79</v>
      </c>
      <c r="AN93" s="54">
        <f t="shared" si="103"/>
        <v>178.79</v>
      </c>
      <c r="AO93" s="54">
        <f t="shared" si="103"/>
        <v>178.79</v>
      </c>
      <c r="AP93" s="54">
        <f t="shared" si="103"/>
        <v>178.79</v>
      </c>
      <c r="AQ93" s="54">
        <f t="shared" si="103"/>
        <v>178.79</v>
      </c>
      <c r="AR93" s="54">
        <f t="shared" si="103"/>
        <v>178.79</v>
      </c>
      <c r="AS93" s="35">
        <v>345</v>
      </c>
    </row>
    <row r="94" spans="1:45" x14ac:dyDescent="0.35">
      <c r="A94" s="78" t="str">
        <f t="shared" si="97"/>
        <v>LOW_PMR1b</v>
      </c>
      <c r="B94" s="51" t="s">
        <v>22</v>
      </c>
      <c r="C94" s="51" t="s">
        <v>9</v>
      </c>
      <c r="D94" s="3">
        <v>45.18</v>
      </c>
      <c r="E94" s="3">
        <v>45.18</v>
      </c>
      <c r="F94" s="3">
        <v>45.18</v>
      </c>
      <c r="G94" s="3">
        <v>45.18</v>
      </c>
      <c r="H94" s="3">
        <v>45.18</v>
      </c>
      <c r="I94" s="3">
        <v>45.18</v>
      </c>
      <c r="J94" s="55">
        <v>45</v>
      </c>
      <c r="K94" s="55">
        <v>45</v>
      </c>
      <c r="L94" s="55">
        <v>45</v>
      </c>
      <c r="M94" s="55">
        <v>45</v>
      </c>
      <c r="N94" s="55">
        <v>45</v>
      </c>
      <c r="O94" s="55">
        <v>45</v>
      </c>
      <c r="P94" s="55">
        <v>45</v>
      </c>
      <c r="Q94" s="55">
        <v>45</v>
      </c>
      <c r="R94" s="55">
        <v>45</v>
      </c>
      <c r="S94" s="55">
        <v>45</v>
      </c>
      <c r="T94" s="55">
        <v>45</v>
      </c>
      <c r="U94" s="55">
        <v>45</v>
      </c>
      <c r="V94" s="55">
        <v>45</v>
      </c>
      <c r="W94" s="55">
        <v>45</v>
      </c>
      <c r="X94" s="55">
        <v>45</v>
      </c>
      <c r="Y94" s="55">
        <v>45</v>
      </c>
      <c r="Z94" s="55">
        <v>45</v>
      </c>
      <c r="AA94" s="55">
        <v>45</v>
      </c>
      <c r="AB94" s="55">
        <v>45</v>
      </c>
      <c r="AC94" s="55">
        <v>45</v>
      </c>
      <c r="AD94" s="55">
        <v>45</v>
      </c>
      <c r="AE94" s="55">
        <v>45</v>
      </c>
      <c r="AF94" s="55">
        <v>45</v>
      </c>
      <c r="AG94" s="55">
        <v>45</v>
      </c>
      <c r="AH94" s="55">
        <v>45</v>
      </c>
      <c r="AI94" s="55">
        <v>45</v>
      </c>
      <c r="AJ94" s="55">
        <v>45</v>
      </c>
      <c r="AK94" s="55">
        <v>45</v>
      </c>
      <c r="AL94" s="55">
        <v>45</v>
      </c>
      <c r="AM94" s="55">
        <v>45</v>
      </c>
      <c r="AN94" s="55">
        <v>45</v>
      </c>
      <c r="AO94" s="55">
        <v>45</v>
      </c>
      <c r="AP94" s="55">
        <v>45</v>
      </c>
      <c r="AQ94" s="55">
        <v>45</v>
      </c>
      <c r="AR94" s="55">
        <v>45</v>
      </c>
      <c r="AS94" s="55">
        <v>45</v>
      </c>
    </row>
    <row r="95" spans="1:45" x14ac:dyDescent="0.35">
      <c r="A95" s="78" t="str">
        <f t="shared" si="97"/>
        <v>LOW_PMR1b</v>
      </c>
      <c r="B95" s="50" t="s">
        <v>23</v>
      </c>
      <c r="C95" s="50" t="s">
        <v>9</v>
      </c>
      <c r="D95" s="7">
        <v>18</v>
      </c>
      <c r="E95" s="7">
        <v>18</v>
      </c>
      <c r="F95" s="7">
        <v>18</v>
      </c>
      <c r="G95" s="7">
        <v>18</v>
      </c>
      <c r="H95" s="7">
        <v>18</v>
      </c>
      <c r="I95" s="7">
        <v>18</v>
      </c>
      <c r="J95" s="56">
        <v>18</v>
      </c>
      <c r="K95" s="56">
        <v>18</v>
      </c>
      <c r="L95" s="56">
        <v>18</v>
      </c>
      <c r="M95" s="56">
        <v>18</v>
      </c>
      <c r="N95" s="56">
        <v>18</v>
      </c>
      <c r="O95" s="56">
        <v>18</v>
      </c>
      <c r="P95" s="56">
        <v>18</v>
      </c>
      <c r="Q95" s="56">
        <v>18</v>
      </c>
      <c r="R95" s="56">
        <v>18</v>
      </c>
      <c r="S95" s="56">
        <v>18</v>
      </c>
      <c r="T95" s="56">
        <v>18</v>
      </c>
      <c r="U95" s="56">
        <v>18</v>
      </c>
      <c r="V95" s="56">
        <v>18</v>
      </c>
      <c r="W95" s="56">
        <v>18</v>
      </c>
      <c r="X95" s="56">
        <v>18</v>
      </c>
      <c r="Y95" s="56">
        <v>18</v>
      </c>
      <c r="Z95" s="56">
        <v>18</v>
      </c>
      <c r="AA95" s="56">
        <v>18</v>
      </c>
      <c r="AB95" s="56">
        <v>18</v>
      </c>
      <c r="AC95" s="56">
        <v>18</v>
      </c>
      <c r="AD95" s="56">
        <v>18</v>
      </c>
      <c r="AE95" s="56">
        <v>18</v>
      </c>
      <c r="AF95" s="56">
        <v>18</v>
      </c>
      <c r="AG95" s="56">
        <v>18</v>
      </c>
      <c r="AH95" s="56">
        <v>18</v>
      </c>
      <c r="AI95" s="56">
        <v>18</v>
      </c>
      <c r="AJ95" s="56">
        <v>18</v>
      </c>
      <c r="AK95" s="56">
        <v>18</v>
      </c>
      <c r="AL95" s="56">
        <v>18</v>
      </c>
      <c r="AM95" s="56">
        <v>18</v>
      </c>
      <c r="AN95" s="56">
        <v>18</v>
      </c>
      <c r="AO95" s="56">
        <v>18</v>
      </c>
      <c r="AP95" s="56">
        <v>18</v>
      </c>
      <c r="AQ95" s="56">
        <v>18</v>
      </c>
      <c r="AR95" s="56">
        <v>18</v>
      </c>
      <c r="AS95" s="56">
        <v>18</v>
      </c>
    </row>
    <row r="96" spans="1:45" x14ac:dyDescent="0.35">
      <c r="A96" s="78" t="str">
        <f t="shared" si="97"/>
        <v>LOW_PMR1b</v>
      </c>
      <c r="B96" s="51" t="s">
        <v>24</v>
      </c>
      <c r="C96" s="51" t="s">
        <v>9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55">
        <v>0</v>
      </c>
      <c r="K96" s="55">
        <v>0</v>
      </c>
      <c r="L96" s="55">
        <v>0</v>
      </c>
      <c r="M96" s="55">
        <v>0</v>
      </c>
      <c r="N96" s="55">
        <v>0</v>
      </c>
      <c r="O96" s="55">
        <v>0</v>
      </c>
      <c r="P96" s="55">
        <v>0</v>
      </c>
      <c r="Q96" s="55">
        <v>0</v>
      </c>
      <c r="R96" s="55">
        <v>0</v>
      </c>
      <c r="S96" s="55">
        <v>0</v>
      </c>
      <c r="T96" s="55">
        <v>0</v>
      </c>
      <c r="U96" s="55">
        <v>0</v>
      </c>
      <c r="V96" s="55">
        <v>0</v>
      </c>
      <c r="W96" s="55">
        <v>0</v>
      </c>
      <c r="X96" s="55">
        <v>0</v>
      </c>
      <c r="Y96" s="55">
        <v>0</v>
      </c>
      <c r="Z96" s="55">
        <v>0</v>
      </c>
      <c r="AA96" s="55">
        <v>0</v>
      </c>
      <c r="AB96" s="55">
        <v>0</v>
      </c>
      <c r="AC96" s="55">
        <v>0</v>
      </c>
      <c r="AD96" s="55">
        <v>0</v>
      </c>
      <c r="AE96" s="55">
        <v>0</v>
      </c>
      <c r="AF96" s="55">
        <v>0</v>
      </c>
      <c r="AG96" s="55">
        <v>0</v>
      </c>
      <c r="AH96" s="55">
        <v>0</v>
      </c>
      <c r="AI96" s="55">
        <v>0</v>
      </c>
      <c r="AJ96" s="55">
        <v>0</v>
      </c>
      <c r="AK96" s="55">
        <v>0</v>
      </c>
      <c r="AL96" s="55">
        <v>0</v>
      </c>
      <c r="AM96" s="55">
        <v>0</v>
      </c>
      <c r="AN96" s="55">
        <v>0</v>
      </c>
      <c r="AO96" s="55">
        <v>0</v>
      </c>
      <c r="AP96" s="55">
        <v>0</v>
      </c>
      <c r="AQ96" s="55">
        <v>0</v>
      </c>
      <c r="AR96" s="55">
        <v>0</v>
      </c>
      <c r="AS96" s="55">
        <v>0</v>
      </c>
    </row>
    <row r="97" spans="1:45" x14ac:dyDescent="0.35">
      <c r="A97" s="78" t="str">
        <f t="shared" si="97"/>
        <v>LOW_PMR1b</v>
      </c>
      <c r="B97" s="52" t="s">
        <v>17</v>
      </c>
      <c r="C97" s="52" t="s">
        <v>9</v>
      </c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57">
        <v>0</v>
      </c>
      <c r="K97" s="57">
        <v>0</v>
      </c>
      <c r="L97" s="57">
        <v>0</v>
      </c>
      <c r="M97" s="57">
        <v>0</v>
      </c>
      <c r="N97" s="57">
        <v>0</v>
      </c>
      <c r="O97" s="57">
        <v>0</v>
      </c>
      <c r="P97" s="57">
        <v>0</v>
      </c>
      <c r="Q97" s="57">
        <v>0</v>
      </c>
      <c r="R97" s="57">
        <v>0</v>
      </c>
      <c r="S97" s="57">
        <v>0</v>
      </c>
      <c r="T97" s="57">
        <v>0</v>
      </c>
      <c r="U97" s="57">
        <v>0</v>
      </c>
      <c r="V97" s="57">
        <v>0</v>
      </c>
      <c r="W97" s="57">
        <v>0</v>
      </c>
      <c r="X97" s="57">
        <v>0</v>
      </c>
      <c r="Y97" s="57">
        <v>0</v>
      </c>
      <c r="Z97" s="57">
        <v>0</v>
      </c>
      <c r="AA97" s="57">
        <v>0</v>
      </c>
      <c r="AB97" s="57">
        <v>0</v>
      </c>
      <c r="AC97" s="57">
        <v>0</v>
      </c>
      <c r="AD97" s="57">
        <v>0</v>
      </c>
      <c r="AE97" s="57">
        <v>0</v>
      </c>
      <c r="AF97" s="57">
        <v>0</v>
      </c>
      <c r="AG97" s="57">
        <v>0</v>
      </c>
      <c r="AH97" s="57">
        <v>0</v>
      </c>
      <c r="AI97" s="57">
        <v>0</v>
      </c>
      <c r="AJ97" s="57">
        <v>0</v>
      </c>
      <c r="AK97" s="57">
        <v>0</v>
      </c>
      <c r="AL97" s="57">
        <v>0</v>
      </c>
      <c r="AM97" s="57">
        <v>0</v>
      </c>
      <c r="AN97" s="57">
        <v>0</v>
      </c>
      <c r="AO97" s="57">
        <v>0</v>
      </c>
      <c r="AP97" s="57">
        <v>0</v>
      </c>
      <c r="AQ97" s="57">
        <v>0</v>
      </c>
      <c r="AR97" s="57">
        <v>0</v>
      </c>
      <c r="AS97" s="57">
        <v>0</v>
      </c>
    </row>
    <row r="98" spans="1:45" x14ac:dyDescent="0.35">
      <c r="A98" s="77" t="s">
        <v>71</v>
      </c>
      <c r="B98" s="51" t="s">
        <v>8</v>
      </c>
      <c r="C98" s="51" t="s">
        <v>9</v>
      </c>
      <c r="D98" s="3">
        <v>506.07771300000002</v>
      </c>
      <c r="E98" s="3">
        <v>509.25356820000002</v>
      </c>
      <c r="F98" s="3">
        <v>510.86624319999999</v>
      </c>
      <c r="G98" s="3">
        <v>513.04640219999999</v>
      </c>
      <c r="H98" s="3">
        <v>515.2993778</v>
      </c>
      <c r="I98" s="3">
        <v>517.93450080000002</v>
      </c>
      <c r="J98" s="32">
        <v>388.87</v>
      </c>
      <c r="K98" s="32">
        <v>388.6</v>
      </c>
      <c r="L98" s="32">
        <v>386.77</v>
      </c>
      <c r="M98" s="32">
        <v>384.37</v>
      </c>
      <c r="N98" s="32">
        <v>382.13</v>
      </c>
      <c r="O98" s="32">
        <v>381.53</v>
      </c>
      <c r="P98" s="32">
        <v>383.6</v>
      </c>
      <c r="Q98" s="32">
        <v>381.66</v>
      </c>
      <c r="R98" s="32">
        <v>386.9</v>
      </c>
      <c r="S98" s="32">
        <v>389.56</v>
      </c>
      <c r="T98" s="32">
        <v>390.76</v>
      </c>
      <c r="U98" s="32">
        <v>391.8</v>
      </c>
      <c r="V98" s="32">
        <v>394.01</v>
      </c>
      <c r="W98" s="32">
        <v>395.09</v>
      </c>
      <c r="X98" s="32">
        <v>397.38</v>
      </c>
      <c r="Y98" s="32">
        <v>399.25</v>
      </c>
      <c r="Z98" s="32">
        <v>400.63</v>
      </c>
      <c r="AA98" s="32">
        <v>400.03</v>
      </c>
      <c r="AB98" s="32">
        <v>404.73</v>
      </c>
      <c r="AC98" s="32">
        <v>404.67</v>
      </c>
      <c r="AD98" s="32">
        <v>406.38</v>
      </c>
      <c r="AE98" s="32">
        <v>408.01</v>
      </c>
      <c r="AF98" s="32">
        <v>417.44</v>
      </c>
      <c r="AG98" s="32">
        <v>419.63</v>
      </c>
      <c r="AH98" s="32">
        <v>422.8</v>
      </c>
      <c r="AI98" s="32">
        <v>424.07</v>
      </c>
      <c r="AJ98" s="33">
        <v>424</v>
      </c>
      <c r="AK98" s="33">
        <v>424</v>
      </c>
      <c r="AL98" s="33">
        <v>424</v>
      </c>
      <c r="AM98" s="33">
        <v>424</v>
      </c>
      <c r="AN98" s="33">
        <v>424</v>
      </c>
      <c r="AO98" s="33">
        <v>424</v>
      </c>
      <c r="AP98" s="33">
        <v>424</v>
      </c>
      <c r="AQ98" s="33">
        <v>424</v>
      </c>
      <c r="AR98" s="33">
        <v>424</v>
      </c>
      <c r="AS98" s="33">
        <v>424</v>
      </c>
    </row>
    <row r="99" spans="1:45" x14ac:dyDescent="0.35">
      <c r="A99" s="77" t="str">
        <f>A98</f>
        <v>BASE_PMR1b_archive</v>
      </c>
      <c r="B99" s="50" t="s">
        <v>10</v>
      </c>
      <c r="C99" s="50" t="s">
        <v>9</v>
      </c>
      <c r="D99" s="7">
        <v>506.07771300000002</v>
      </c>
      <c r="E99" s="7">
        <v>509.25356820000002</v>
      </c>
      <c r="F99" s="7">
        <v>510.86624319999999</v>
      </c>
      <c r="G99" s="7">
        <v>513.04640219999999</v>
      </c>
      <c r="H99" s="7">
        <v>515.2993778</v>
      </c>
      <c r="I99" s="7">
        <v>517.93450080000002</v>
      </c>
      <c r="J99" s="32">
        <v>388.87</v>
      </c>
      <c r="K99" s="32">
        <v>388.6</v>
      </c>
      <c r="L99" s="32">
        <v>386.77</v>
      </c>
      <c r="M99" s="32">
        <v>384.37</v>
      </c>
      <c r="N99" s="32">
        <v>382.13</v>
      </c>
      <c r="O99" s="32">
        <v>381.53</v>
      </c>
      <c r="P99" s="32">
        <v>383.6</v>
      </c>
      <c r="Q99" s="32">
        <v>381.66</v>
      </c>
      <c r="R99" s="32">
        <v>386.9</v>
      </c>
      <c r="S99" s="32">
        <v>389.56</v>
      </c>
      <c r="T99" s="32">
        <v>390.76</v>
      </c>
      <c r="U99" s="32">
        <v>391.8</v>
      </c>
      <c r="V99" s="32">
        <v>394.01</v>
      </c>
      <c r="W99" s="32">
        <v>395.09</v>
      </c>
      <c r="X99" s="32">
        <v>397.38</v>
      </c>
      <c r="Y99" s="32">
        <v>399.25</v>
      </c>
      <c r="Z99" s="32">
        <v>400.63</v>
      </c>
      <c r="AA99" s="32">
        <v>400.03</v>
      </c>
      <c r="AB99" s="32">
        <v>404.73</v>
      </c>
      <c r="AC99" s="32">
        <v>404.67</v>
      </c>
      <c r="AD99" s="32">
        <v>406.38</v>
      </c>
      <c r="AE99" s="32">
        <v>408.01</v>
      </c>
      <c r="AF99" s="32">
        <v>417.44</v>
      </c>
      <c r="AG99" s="32">
        <v>419.63</v>
      </c>
      <c r="AH99" s="32">
        <v>422.8</v>
      </c>
      <c r="AI99" s="32">
        <v>424.07</v>
      </c>
      <c r="AJ99" s="33">
        <v>424</v>
      </c>
      <c r="AK99" s="33">
        <v>424</v>
      </c>
      <c r="AL99" s="33">
        <v>424</v>
      </c>
      <c r="AM99" s="33">
        <v>424</v>
      </c>
      <c r="AN99" s="33">
        <v>424</v>
      </c>
      <c r="AO99" s="33">
        <v>424</v>
      </c>
      <c r="AP99" s="33">
        <v>424</v>
      </c>
      <c r="AQ99" s="33">
        <v>424</v>
      </c>
      <c r="AR99" s="33">
        <v>424</v>
      </c>
      <c r="AS99" s="33">
        <v>424</v>
      </c>
    </row>
    <row r="100" spans="1:45" x14ac:dyDescent="0.35">
      <c r="A100" s="77" t="str">
        <f t="shared" ref="A100:A109" si="104">A99</f>
        <v>BASE_PMR1b_archive</v>
      </c>
      <c r="B100" s="51" t="s">
        <v>11</v>
      </c>
      <c r="C100" s="51" t="s">
        <v>9</v>
      </c>
      <c r="D100" s="3">
        <v>272</v>
      </c>
      <c r="E100" s="3">
        <v>272</v>
      </c>
      <c r="F100" s="3">
        <v>272</v>
      </c>
      <c r="G100" s="3">
        <v>272</v>
      </c>
      <c r="H100" s="3">
        <v>272</v>
      </c>
      <c r="I100" s="3">
        <v>272</v>
      </c>
      <c r="J100" s="53">
        <v>206.85</v>
      </c>
      <c r="K100" s="53">
        <v>206.68</v>
      </c>
      <c r="L100" s="53">
        <v>205.5</v>
      </c>
      <c r="M100" s="53">
        <v>203.97</v>
      </c>
      <c r="N100" s="53">
        <v>202.54</v>
      </c>
      <c r="O100" s="53">
        <v>202.16</v>
      </c>
      <c r="P100" s="53">
        <v>203.48</v>
      </c>
      <c r="Q100" s="53">
        <v>202.24</v>
      </c>
      <c r="R100" s="53">
        <v>205.59</v>
      </c>
      <c r="S100" s="53">
        <v>207.29</v>
      </c>
      <c r="T100" s="53">
        <v>208.06</v>
      </c>
      <c r="U100" s="53">
        <v>208.72</v>
      </c>
      <c r="V100" s="53">
        <v>210.13</v>
      </c>
      <c r="W100" s="53">
        <v>210.82</v>
      </c>
      <c r="X100" s="53">
        <v>212.28</v>
      </c>
      <c r="Y100" s="53">
        <v>213.48</v>
      </c>
      <c r="Z100" s="53">
        <v>214.35</v>
      </c>
      <c r="AA100" s="53">
        <v>213.97</v>
      </c>
      <c r="AB100" s="53">
        <v>216.98</v>
      </c>
      <c r="AC100" s="53">
        <v>216.94</v>
      </c>
      <c r="AD100" s="53">
        <v>218.03</v>
      </c>
      <c r="AE100" s="53">
        <v>219.07</v>
      </c>
      <c r="AF100" s="53">
        <v>225.09</v>
      </c>
      <c r="AG100" s="53">
        <v>226.49</v>
      </c>
      <c r="AH100" s="53">
        <v>228.52</v>
      </c>
      <c r="AI100" s="53">
        <v>229.33</v>
      </c>
      <c r="AJ100" s="53">
        <v>229</v>
      </c>
      <c r="AK100" s="53">
        <v>229</v>
      </c>
      <c r="AL100" s="53">
        <v>229</v>
      </c>
      <c r="AM100" s="53">
        <v>229</v>
      </c>
      <c r="AN100" s="53">
        <v>229</v>
      </c>
      <c r="AO100" s="53">
        <v>229</v>
      </c>
      <c r="AP100" s="53">
        <v>229</v>
      </c>
      <c r="AQ100" s="53">
        <v>229</v>
      </c>
      <c r="AR100" s="53">
        <v>229</v>
      </c>
      <c r="AS100" s="53">
        <v>229</v>
      </c>
    </row>
    <row r="101" spans="1:45" x14ac:dyDescent="0.35">
      <c r="A101" s="77" t="str">
        <f t="shared" si="104"/>
        <v>BASE_PMR1b_archive</v>
      </c>
      <c r="B101" s="50" t="s">
        <v>12</v>
      </c>
      <c r="C101" s="50" t="s">
        <v>9</v>
      </c>
      <c r="D101" s="7">
        <v>272</v>
      </c>
      <c r="E101" s="7">
        <v>272</v>
      </c>
      <c r="F101" s="7">
        <v>272</v>
      </c>
      <c r="G101" s="7">
        <v>272</v>
      </c>
      <c r="H101" s="7">
        <v>272</v>
      </c>
      <c r="I101" s="7">
        <v>272</v>
      </c>
      <c r="J101" s="54">
        <v>184</v>
      </c>
      <c r="K101" s="54">
        <v>206</v>
      </c>
      <c r="L101" s="54">
        <v>203</v>
      </c>
      <c r="M101" s="54">
        <v>202</v>
      </c>
      <c r="N101" s="54">
        <v>201</v>
      </c>
      <c r="O101" s="54">
        <v>202</v>
      </c>
      <c r="P101" s="54">
        <v>203</v>
      </c>
      <c r="Q101" s="54">
        <v>202</v>
      </c>
      <c r="R101" s="54">
        <v>206</v>
      </c>
      <c r="S101" s="54">
        <v>207</v>
      </c>
      <c r="T101" s="54">
        <v>208</v>
      </c>
      <c r="U101" s="54">
        <v>209</v>
      </c>
      <c r="V101" s="54">
        <v>210</v>
      </c>
      <c r="W101" s="54">
        <v>211</v>
      </c>
      <c r="X101" s="54">
        <v>212</v>
      </c>
      <c r="Y101" s="33">
        <v>399</v>
      </c>
      <c r="Z101" s="33">
        <v>401</v>
      </c>
      <c r="AA101" s="33">
        <v>400</v>
      </c>
      <c r="AB101" s="33">
        <v>405</v>
      </c>
      <c r="AC101" s="33">
        <v>405</v>
      </c>
      <c r="AD101" s="33">
        <v>406</v>
      </c>
      <c r="AE101" s="33">
        <v>408</v>
      </c>
      <c r="AF101" s="33">
        <v>417</v>
      </c>
      <c r="AG101" s="33">
        <v>420</v>
      </c>
      <c r="AH101" s="33">
        <v>423</v>
      </c>
      <c r="AI101" s="33">
        <v>424</v>
      </c>
      <c r="AJ101" s="33">
        <v>424</v>
      </c>
      <c r="AK101" s="33">
        <v>424</v>
      </c>
      <c r="AL101" s="33">
        <v>424</v>
      </c>
      <c r="AM101" s="33">
        <v>424</v>
      </c>
      <c r="AN101" s="33">
        <v>424</v>
      </c>
      <c r="AO101" s="33">
        <v>424</v>
      </c>
      <c r="AP101" s="33">
        <v>424</v>
      </c>
      <c r="AQ101" s="33">
        <v>424</v>
      </c>
      <c r="AR101" s="33">
        <v>424</v>
      </c>
      <c r="AS101" s="33">
        <v>424</v>
      </c>
    </row>
    <row r="102" spans="1:45" x14ac:dyDescent="0.35">
      <c r="A102" s="77" t="str">
        <f t="shared" si="104"/>
        <v>BASE_PMR1b_archive</v>
      </c>
      <c r="B102" s="51" t="s">
        <v>13</v>
      </c>
      <c r="C102" s="51" t="s">
        <v>9</v>
      </c>
      <c r="D102" s="3">
        <v>272</v>
      </c>
      <c r="E102" s="3">
        <v>272</v>
      </c>
      <c r="F102" s="3">
        <v>272</v>
      </c>
      <c r="G102" s="3">
        <v>272</v>
      </c>
      <c r="H102" s="3">
        <v>272</v>
      </c>
      <c r="I102" s="3">
        <v>272</v>
      </c>
      <c r="J102" s="53">
        <v>184</v>
      </c>
      <c r="K102" s="53">
        <v>206</v>
      </c>
      <c r="L102" s="53">
        <v>203</v>
      </c>
      <c r="M102" s="53">
        <v>202</v>
      </c>
      <c r="N102" s="53">
        <v>201</v>
      </c>
      <c r="O102" s="53">
        <v>202</v>
      </c>
      <c r="P102" s="53">
        <v>203</v>
      </c>
      <c r="Q102" s="53">
        <v>202</v>
      </c>
      <c r="R102" s="53">
        <v>206</v>
      </c>
      <c r="S102" s="53">
        <v>207</v>
      </c>
      <c r="T102" s="53">
        <v>208</v>
      </c>
      <c r="U102" s="53">
        <v>209</v>
      </c>
      <c r="V102" s="53">
        <v>210</v>
      </c>
      <c r="W102" s="53">
        <v>211</v>
      </c>
      <c r="X102" s="53">
        <v>212</v>
      </c>
      <c r="Y102" s="53">
        <v>213</v>
      </c>
      <c r="Z102" s="53">
        <v>214</v>
      </c>
      <c r="AA102" s="53">
        <v>214</v>
      </c>
      <c r="AB102" s="53">
        <v>217</v>
      </c>
      <c r="AC102" s="53">
        <v>217</v>
      </c>
      <c r="AD102" s="32">
        <v>406</v>
      </c>
      <c r="AE102" s="32">
        <v>408</v>
      </c>
      <c r="AF102" s="32">
        <v>417</v>
      </c>
      <c r="AG102" s="32">
        <v>420</v>
      </c>
      <c r="AH102" s="32">
        <v>423</v>
      </c>
      <c r="AI102" s="32">
        <v>424</v>
      </c>
      <c r="AJ102" s="32">
        <v>424</v>
      </c>
      <c r="AK102" s="32">
        <v>424</v>
      </c>
      <c r="AL102" s="32">
        <v>424</v>
      </c>
      <c r="AM102" s="32">
        <v>424</v>
      </c>
      <c r="AN102" s="32">
        <v>424</v>
      </c>
      <c r="AO102" s="32">
        <v>424</v>
      </c>
      <c r="AP102" s="32">
        <v>424</v>
      </c>
      <c r="AQ102" s="32">
        <v>424</v>
      </c>
      <c r="AR102" s="32">
        <v>424</v>
      </c>
      <c r="AS102" s="32">
        <v>424</v>
      </c>
    </row>
    <row r="103" spans="1:45" x14ac:dyDescent="0.35">
      <c r="A103" s="77" t="str">
        <f t="shared" si="104"/>
        <v>BASE_PMR1b_archive</v>
      </c>
      <c r="B103" s="50" t="s">
        <v>14</v>
      </c>
      <c r="C103" s="50" t="s">
        <v>9</v>
      </c>
      <c r="D103" s="7">
        <v>272</v>
      </c>
      <c r="E103" s="7">
        <v>272</v>
      </c>
      <c r="F103" s="7">
        <v>272</v>
      </c>
      <c r="G103" s="7">
        <v>272</v>
      </c>
      <c r="H103" s="7">
        <v>272</v>
      </c>
      <c r="I103" s="7">
        <v>272</v>
      </c>
      <c r="J103" s="54">
        <v>184</v>
      </c>
      <c r="K103" s="54">
        <v>206</v>
      </c>
      <c r="L103" s="54">
        <v>203</v>
      </c>
      <c r="M103" s="54">
        <v>202</v>
      </c>
      <c r="N103" s="54">
        <v>201</v>
      </c>
      <c r="O103" s="54">
        <v>202</v>
      </c>
      <c r="P103" s="54">
        <v>203</v>
      </c>
      <c r="Q103" s="54">
        <v>202</v>
      </c>
      <c r="R103" s="54">
        <v>206</v>
      </c>
      <c r="S103" s="54">
        <v>207</v>
      </c>
      <c r="T103" s="54">
        <v>208</v>
      </c>
      <c r="U103" s="54">
        <v>209</v>
      </c>
      <c r="V103" s="54">
        <v>210</v>
      </c>
      <c r="W103" s="54">
        <v>211</v>
      </c>
      <c r="X103" s="54">
        <v>212</v>
      </c>
      <c r="Y103" s="54">
        <v>213</v>
      </c>
      <c r="Z103" s="54">
        <v>214</v>
      </c>
      <c r="AA103" s="54">
        <v>214</v>
      </c>
      <c r="AB103" s="54">
        <v>217</v>
      </c>
      <c r="AC103" s="54">
        <v>217</v>
      </c>
      <c r="AD103" s="15">
        <v>218</v>
      </c>
      <c r="AE103" s="15">
        <v>219</v>
      </c>
      <c r="AF103" s="15">
        <v>225</v>
      </c>
      <c r="AG103" s="15">
        <v>226</v>
      </c>
      <c r="AH103" s="15">
        <v>229</v>
      </c>
      <c r="AI103" s="32">
        <v>424</v>
      </c>
      <c r="AJ103" s="32">
        <v>424</v>
      </c>
      <c r="AK103" s="32">
        <v>424</v>
      </c>
      <c r="AL103" s="32">
        <v>424</v>
      </c>
      <c r="AM103" s="32">
        <v>424</v>
      </c>
      <c r="AN103" s="32">
        <v>424</v>
      </c>
      <c r="AO103" s="32">
        <v>424</v>
      </c>
      <c r="AP103" s="32">
        <v>424</v>
      </c>
      <c r="AQ103" s="32">
        <v>424</v>
      </c>
      <c r="AR103" s="32">
        <v>424</v>
      </c>
      <c r="AS103" s="32">
        <v>424</v>
      </c>
    </row>
    <row r="104" spans="1:45" x14ac:dyDescent="0.35">
      <c r="A104" s="77" t="str">
        <f t="shared" si="104"/>
        <v>BASE_PMR1b_archive</v>
      </c>
      <c r="B104" s="51" t="s">
        <v>15</v>
      </c>
      <c r="C104" s="51" t="s">
        <v>9</v>
      </c>
      <c r="D104" s="3">
        <v>272</v>
      </c>
      <c r="E104" s="3">
        <v>272</v>
      </c>
      <c r="F104" s="3">
        <v>272</v>
      </c>
      <c r="G104" s="3">
        <v>272</v>
      </c>
      <c r="H104" s="3">
        <v>272</v>
      </c>
      <c r="I104" s="3">
        <v>272</v>
      </c>
      <c r="J104" s="53">
        <v>184</v>
      </c>
      <c r="K104" s="53">
        <v>206</v>
      </c>
      <c r="L104" s="53">
        <v>203</v>
      </c>
      <c r="M104" s="53">
        <v>202</v>
      </c>
      <c r="N104" s="53">
        <v>201</v>
      </c>
      <c r="O104" s="53">
        <v>202</v>
      </c>
      <c r="P104" s="53">
        <v>203</v>
      </c>
      <c r="Q104" s="53">
        <v>202</v>
      </c>
      <c r="R104" s="53">
        <v>206</v>
      </c>
      <c r="S104" s="53">
        <v>207</v>
      </c>
      <c r="T104" s="53">
        <v>208</v>
      </c>
      <c r="U104" s="53">
        <v>209</v>
      </c>
      <c r="V104" s="53">
        <v>210</v>
      </c>
      <c r="W104" s="53">
        <v>211</v>
      </c>
      <c r="X104" s="53">
        <v>212</v>
      </c>
      <c r="Y104" s="53">
        <v>213</v>
      </c>
      <c r="Z104" s="53">
        <v>214</v>
      </c>
      <c r="AA104" s="53">
        <v>214</v>
      </c>
      <c r="AB104" s="53">
        <v>217</v>
      </c>
      <c r="AC104" s="53">
        <v>217</v>
      </c>
      <c r="AD104" s="53">
        <v>218</v>
      </c>
      <c r="AE104" s="53">
        <v>219</v>
      </c>
      <c r="AF104" s="53">
        <v>225</v>
      </c>
      <c r="AG104" s="53">
        <v>226</v>
      </c>
      <c r="AH104" s="53">
        <v>229</v>
      </c>
      <c r="AI104" s="53">
        <v>229</v>
      </c>
      <c r="AJ104" s="53">
        <v>229</v>
      </c>
      <c r="AK104" s="53">
        <v>229</v>
      </c>
      <c r="AL104" s="53">
        <v>229</v>
      </c>
      <c r="AM104" s="53">
        <v>229</v>
      </c>
      <c r="AN104" s="32">
        <v>424</v>
      </c>
      <c r="AO104" s="32">
        <v>424</v>
      </c>
      <c r="AP104" s="32">
        <v>424</v>
      </c>
      <c r="AQ104" s="32">
        <v>424</v>
      </c>
      <c r="AR104" s="32">
        <v>424</v>
      </c>
      <c r="AS104" s="32">
        <v>424</v>
      </c>
    </row>
    <row r="105" spans="1:45" x14ac:dyDescent="0.35">
      <c r="A105" s="77" t="str">
        <f t="shared" si="104"/>
        <v>BASE_PMR1b_archive</v>
      </c>
      <c r="B105" s="50" t="s">
        <v>16</v>
      </c>
      <c r="C105" s="50" t="s">
        <v>9</v>
      </c>
      <c r="D105" s="7">
        <v>272</v>
      </c>
      <c r="E105" s="7">
        <v>272</v>
      </c>
      <c r="F105" s="7">
        <v>272</v>
      </c>
      <c r="G105" s="7">
        <v>272</v>
      </c>
      <c r="H105" s="7">
        <v>272</v>
      </c>
      <c r="I105" s="7">
        <v>272</v>
      </c>
      <c r="J105" s="54">
        <v>184</v>
      </c>
      <c r="K105" s="54">
        <v>206</v>
      </c>
      <c r="L105" s="54">
        <v>203</v>
      </c>
      <c r="M105" s="54">
        <v>202</v>
      </c>
      <c r="N105" s="54">
        <v>201</v>
      </c>
      <c r="O105" s="54">
        <v>202</v>
      </c>
      <c r="P105" s="54">
        <v>203</v>
      </c>
      <c r="Q105" s="54">
        <v>202</v>
      </c>
      <c r="R105" s="54">
        <v>206</v>
      </c>
      <c r="S105" s="54">
        <v>207</v>
      </c>
      <c r="T105" s="54">
        <v>208</v>
      </c>
      <c r="U105" s="54">
        <v>209</v>
      </c>
      <c r="V105" s="54">
        <v>210</v>
      </c>
      <c r="W105" s="54">
        <v>211</v>
      </c>
      <c r="X105" s="54">
        <v>212</v>
      </c>
      <c r="Y105" s="54">
        <v>213</v>
      </c>
      <c r="Z105" s="54">
        <v>214</v>
      </c>
      <c r="AA105" s="54">
        <v>214</v>
      </c>
      <c r="AB105" s="54">
        <v>217</v>
      </c>
      <c r="AC105" s="54">
        <v>217</v>
      </c>
      <c r="AD105" s="54">
        <v>218</v>
      </c>
      <c r="AE105" s="54">
        <v>219</v>
      </c>
      <c r="AF105" s="54">
        <v>225</v>
      </c>
      <c r="AG105" s="54">
        <v>226</v>
      </c>
      <c r="AH105" s="54">
        <v>229</v>
      </c>
      <c r="AI105" s="54">
        <v>229</v>
      </c>
      <c r="AJ105" s="54">
        <v>229</v>
      </c>
      <c r="AK105" s="54">
        <v>229</v>
      </c>
      <c r="AL105" s="54">
        <v>229</v>
      </c>
      <c r="AM105" s="54">
        <v>229</v>
      </c>
      <c r="AN105" s="54">
        <v>229</v>
      </c>
      <c r="AO105" s="54">
        <v>229</v>
      </c>
      <c r="AP105" s="54">
        <v>229</v>
      </c>
      <c r="AQ105" s="54">
        <v>229</v>
      </c>
      <c r="AR105" s="54">
        <v>229</v>
      </c>
      <c r="AS105" s="32">
        <v>424</v>
      </c>
    </row>
    <row r="106" spans="1:45" x14ac:dyDescent="0.35">
      <c r="A106" s="77" t="str">
        <f t="shared" si="104"/>
        <v>BASE_PMR1b_archive</v>
      </c>
      <c r="B106" s="51" t="s">
        <v>22</v>
      </c>
      <c r="C106" s="51" t="s">
        <v>9</v>
      </c>
      <c r="D106" s="3">
        <v>45.18</v>
      </c>
      <c r="E106" s="3">
        <v>45.18</v>
      </c>
      <c r="F106" s="3">
        <v>45.18</v>
      </c>
      <c r="G106" s="3">
        <v>45.18</v>
      </c>
      <c r="H106" s="3">
        <v>45.18</v>
      </c>
      <c r="I106" s="3">
        <v>45.18</v>
      </c>
      <c r="J106" s="55">
        <v>45</v>
      </c>
      <c r="K106" s="55">
        <v>45</v>
      </c>
      <c r="L106" s="55">
        <v>45</v>
      </c>
      <c r="M106" s="55">
        <v>45</v>
      </c>
      <c r="N106" s="55">
        <v>45</v>
      </c>
      <c r="O106" s="55">
        <v>45</v>
      </c>
      <c r="P106" s="55">
        <v>45</v>
      </c>
      <c r="Q106" s="55">
        <v>45</v>
      </c>
      <c r="R106" s="55">
        <v>45</v>
      </c>
      <c r="S106" s="55">
        <v>45</v>
      </c>
      <c r="T106" s="55">
        <v>45</v>
      </c>
      <c r="U106" s="55">
        <v>45</v>
      </c>
      <c r="V106" s="55">
        <v>45</v>
      </c>
      <c r="W106" s="55">
        <v>45</v>
      </c>
      <c r="X106" s="55">
        <v>45</v>
      </c>
      <c r="Y106" s="55">
        <v>45</v>
      </c>
      <c r="Z106" s="55">
        <v>45</v>
      </c>
      <c r="AA106" s="55">
        <v>45</v>
      </c>
      <c r="AB106" s="55">
        <v>45</v>
      </c>
      <c r="AC106" s="55">
        <v>45</v>
      </c>
      <c r="AD106" s="55">
        <v>45</v>
      </c>
      <c r="AE106" s="55">
        <v>45</v>
      </c>
      <c r="AF106" s="55">
        <v>45</v>
      </c>
      <c r="AG106" s="55">
        <v>45</v>
      </c>
      <c r="AH106" s="55">
        <v>45</v>
      </c>
      <c r="AI106" s="55">
        <v>45</v>
      </c>
      <c r="AJ106" s="55">
        <v>45</v>
      </c>
      <c r="AK106" s="55">
        <v>45</v>
      </c>
      <c r="AL106" s="55">
        <v>45</v>
      </c>
      <c r="AM106" s="55">
        <v>45</v>
      </c>
      <c r="AN106" s="55">
        <v>45</v>
      </c>
      <c r="AO106" s="55">
        <v>45</v>
      </c>
      <c r="AP106" s="55">
        <v>45</v>
      </c>
      <c r="AQ106" s="55">
        <v>45</v>
      </c>
      <c r="AR106" s="55">
        <v>45</v>
      </c>
      <c r="AS106" s="55">
        <v>45</v>
      </c>
    </row>
    <row r="107" spans="1:45" x14ac:dyDescent="0.35">
      <c r="A107" s="77" t="str">
        <f t="shared" si="104"/>
        <v>BASE_PMR1b_archive</v>
      </c>
      <c r="B107" s="50" t="s">
        <v>23</v>
      </c>
      <c r="C107" s="50" t="s">
        <v>9</v>
      </c>
      <c r="D107" s="7">
        <v>18</v>
      </c>
      <c r="E107" s="7">
        <v>18</v>
      </c>
      <c r="F107" s="7">
        <v>18</v>
      </c>
      <c r="G107" s="7">
        <v>18</v>
      </c>
      <c r="H107" s="7">
        <v>18</v>
      </c>
      <c r="I107" s="7">
        <v>18</v>
      </c>
      <c r="J107" s="56">
        <v>18</v>
      </c>
      <c r="K107" s="56">
        <v>18</v>
      </c>
      <c r="L107" s="56">
        <v>18</v>
      </c>
      <c r="M107" s="56">
        <v>18</v>
      </c>
      <c r="N107" s="56">
        <v>18</v>
      </c>
      <c r="O107" s="56">
        <v>18</v>
      </c>
      <c r="P107" s="56">
        <v>18</v>
      </c>
      <c r="Q107" s="56">
        <v>18</v>
      </c>
      <c r="R107" s="56">
        <v>18</v>
      </c>
      <c r="S107" s="56">
        <v>18</v>
      </c>
      <c r="T107" s="56">
        <v>18</v>
      </c>
      <c r="U107" s="56">
        <v>18</v>
      </c>
      <c r="V107" s="56">
        <v>18</v>
      </c>
      <c r="W107" s="56">
        <v>18</v>
      </c>
      <c r="X107" s="56">
        <v>18</v>
      </c>
      <c r="Y107" s="56">
        <v>18</v>
      </c>
      <c r="Z107" s="56">
        <v>18</v>
      </c>
      <c r="AA107" s="56">
        <v>18</v>
      </c>
      <c r="AB107" s="56">
        <v>18</v>
      </c>
      <c r="AC107" s="56">
        <v>18</v>
      </c>
      <c r="AD107" s="56">
        <v>18</v>
      </c>
      <c r="AE107" s="56">
        <v>18</v>
      </c>
      <c r="AF107" s="56">
        <v>18</v>
      </c>
      <c r="AG107" s="56">
        <v>18</v>
      </c>
      <c r="AH107" s="56">
        <v>18</v>
      </c>
      <c r="AI107" s="56">
        <v>18</v>
      </c>
      <c r="AJ107" s="56">
        <v>18</v>
      </c>
      <c r="AK107" s="56">
        <v>18</v>
      </c>
      <c r="AL107" s="56">
        <v>18</v>
      </c>
      <c r="AM107" s="56">
        <v>18</v>
      </c>
      <c r="AN107" s="56">
        <v>18</v>
      </c>
      <c r="AO107" s="56">
        <v>18</v>
      </c>
      <c r="AP107" s="56">
        <v>18</v>
      </c>
      <c r="AQ107" s="56">
        <v>18</v>
      </c>
      <c r="AR107" s="56">
        <v>18</v>
      </c>
      <c r="AS107" s="56">
        <v>18</v>
      </c>
    </row>
    <row r="108" spans="1:45" x14ac:dyDescent="0.35">
      <c r="A108" s="77" t="str">
        <f t="shared" si="104"/>
        <v>BASE_PMR1b_archive</v>
      </c>
      <c r="B108" s="51" t="s">
        <v>24</v>
      </c>
      <c r="C108" s="51" t="s">
        <v>9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55">
        <v>0</v>
      </c>
      <c r="K108" s="55">
        <v>0</v>
      </c>
      <c r="L108" s="55">
        <v>0</v>
      </c>
      <c r="M108" s="55">
        <v>0</v>
      </c>
      <c r="N108" s="55">
        <v>0</v>
      </c>
      <c r="O108" s="55">
        <v>0</v>
      </c>
      <c r="P108" s="55">
        <v>0</v>
      </c>
      <c r="Q108" s="55">
        <v>0</v>
      </c>
      <c r="R108" s="55">
        <v>0</v>
      </c>
      <c r="S108" s="55">
        <v>0</v>
      </c>
      <c r="T108" s="55">
        <v>0</v>
      </c>
      <c r="U108" s="55">
        <v>0</v>
      </c>
      <c r="V108" s="55">
        <v>0</v>
      </c>
      <c r="W108" s="55">
        <v>0</v>
      </c>
      <c r="X108" s="55">
        <v>0</v>
      </c>
      <c r="Y108" s="55">
        <v>0</v>
      </c>
      <c r="Z108" s="55">
        <v>0</v>
      </c>
      <c r="AA108" s="55">
        <v>0</v>
      </c>
      <c r="AB108" s="55">
        <v>0</v>
      </c>
      <c r="AC108" s="55">
        <v>0</v>
      </c>
      <c r="AD108" s="55">
        <v>0</v>
      </c>
      <c r="AE108" s="55">
        <v>0</v>
      </c>
      <c r="AF108" s="55">
        <v>0</v>
      </c>
      <c r="AG108" s="55">
        <v>0</v>
      </c>
      <c r="AH108" s="55">
        <v>0</v>
      </c>
      <c r="AI108" s="55">
        <v>0</v>
      </c>
      <c r="AJ108" s="55">
        <v>0</v>
      </c>
      <c r="AK108" s="55">
        <v>0</v>
      </c>
      <c r="AL108" s="55">
        <v>0</v>
      </c>
      <c r="AM108" s="55">
        <v>0</v>
      </c>
      <c r="AN108" s="55">
        <v>0</v>
      </c>
      <c r="AO108" s="55">
        <v>0</v>
      </c>
      <c r="AP108" s="55">
        <v>0</v>
      </c>
      <c r="AQ108" s="55">
        <v>0</v>
      </c>
      <c r="AR108" s="55">
        <v>0</v>
      </c>
      <c r="AS108" s="55">
        <v>0</v>
      </c>
    </row>
    <row r="109" spans="1:45" x14ac:dyDescent="0.35">
      <c r="A109" s="77" t="str">
        <f t="shared" si="104"/>
        <v>BASE_PMR1b_archive</v>
      </c>
      <c r="B109" s="52" t="s">
        <v>17</v>
      </c>
      <c r="C109" s="52" t="s">
        <v>9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57">
        <v>0</v>
      </c>
      <c r="K109" s="57">
        <v>0</v>
      </c>
      <c r="L109" s="57">
        <v>0</v>
      </c>
      <c r="M109" s="57">
        <v>0</v>
      </c>
      <c r="N109" s="57">
        <v>0</v>
      </c>
      <c r="O109" s="57">
        <v>0</v>
      </c>
      <c r="P109" s="57">
        <v>0</v>
      </c>
      <c r="Q109" s="57">
        <v>0</v>
      </c>
      <c r="R109" s="57">
        <v>0</v>
      </c>
      <c r="S109" s="57">
        <v>0</v>
      </c>
      <c r="T109" s="57">
        <v>0</v>
      </c>
      <c r="U109" s="57">
        <v>0</v>
      </c>
      <c r="V109" s="57">
        <v>0</v>
      </c>
      <c r="W109" s="57">
        <v>0</v>
      </c>
      <c r="X109" s="57">
        <v>0</v>
      </c>
      <c r="Y109" s="57">
        <v>0</v>
      </c>
      <c r="Z109" s="57">
        <v>0</v>
      </c>
      <c r="AA109" s="57">
        <v>0</v>
      </c>
      <c r="AB109" s="57">
        <v>0</v>
      </c>
      <c r="AC109" s="57">
        <v>0</v>
      </c>
      <c r="AD109" s="57">
        <v>0</v>
      </c>
      <c r="AE109" s="57">
        <v>0</v>
      </c>
      <c r="AF109" s="57">
        <v>0</v>
      </c>
      <c r="AG109" s="57">
        <v>0</v>
      </c>
      <c r="AH109" s="57">
        <v>0</v>
      </c>
      <c r="AI109" s="57">
        <v>0</v>
      </c>
      <c r="AJ109" s="57">
        <v>0</v>
      </c>
      <c r="AK109" s="57">
        <v>0</v>
      </c>
      <c r="AL109" s="57">
        <v>0</v>
      </c>
      <c r="AM109" s="57">
        <v>0</v>
      </c>
      <c r="AN109" s="57">
        <v>0</v>
      </c>
      <c r="AO109" s="57">
        <v>0</v>
      </c>
      <c r="AP109" s="57">
        <v>0</v>
      </c>
      <c r="AQ109" s="57">
        <v>0</v>
      </c>
      <c r="AR109" s="57">
        <v>0</v>
      </c>
      <c r="AS109" s="57">
        <v>0</v>
      </c>
    </row>
    <row r="111" spans="1:45" x14ac:dyDescent="0.35"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</row>
  </sheetData>
  <phoneticPr fontId="7" type="noConversion"/>
  <pageMargins left="0.7" right="0.7" top="0.75" bottom="0.75" header="0.511811023622047" footer="0.511811023622047"/>
  <pageSetup paperSize="9" orientation="portrait" horizontalDpi="300" verticalDpi="300"/>
  <customProperties>
    <customPr name="LastActive" r:id="rId1"/>
  </customPropertie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95FC-D3C3-447B-B304-899D2F095228}">
  <dimension ref="A1:P89"/>
  <sheetViews>
    <sheetView workbookViewId="0">
      <selection activeCell="Z18" sqref="Z18"/>
    </sheetView>
  </sheetViews>
  <sheetFormatPr defaultColWidth="8.81640625" defaultRowHeight="14.5" x14ac:dyDescent="0.35"/>
  <sheetData>
    <row r="1" spans="1:16" x14ac:dyDescent="0.35">
      <c r="A1">
        <v>2020.0467480964801</v>
      </c>
      <c r="B1">
        <v>714.28399468612395</v>
      </c>
      <c r="C1">
        <v>1394.4129896677</v>
      </c>
      <c r="D1" t="s">
        <v>43</v>
      </c>
      <c r="E1" t="s">
        <v>26</v>
      </c>
      <c r="F1">
        <v>1.8499999999999999E-2</v>
      </c>
      <c r="G1" t="s">
        <v>27</v>
      </c>
    </row>
    <row r="2" spans="1:16" x14ac:dyDescent="0.35">
      <c r="A2">
        <v>2029.99936531142</v>
      </c>
      <c r="B2">
        <v>473.07826147856099</v>
      </c>
      <c r="C2">
        <v>948.23786376956798</v>
      </c>
      <c r="D2" t="s">
        <v>43</v>
      </c>
      <c r="F2">
        <v>18.7</v>
      </c>
      <c r="G2" t="s">
        <v>28</v>
      </c>
    </row>
    <row r="3" spans="1:16" x14ac:dyDescent="0.35">
      <c r="A3">
        <v>2050.0065657438799</v>
      </c>
      <c r="B3">
        <v>313.65871700987299</v>
      </c>
      <c r="C3">
        <v>611.79273259694901</v>
      </c>
      <c r="D3" t="s">
        <v>43</v>
      </c>
    </row>
    <row r="6" spans="1:16" x14ac:dyDescent="0.35">
      <c r="A6">
        <v>2020</v>
      </c>
      <c r="B6">
        <f>B1/1000</f>
        <v>0.71428399468612391</v>
      </c>
      <c r="C6">
        <f>C1/1000</f>
        <v>1.3944129896677</v>
      </c>
      <c r="D6" t="s">
        <v>44</v>
      </c>
      <c r="E6" s="26">
        <f t="shared" ref="E6:F9" si="0">B6/$F$1*$F$2</f>
        <v>722.00598381786574</v>
      </c>
      <c r="F6" s="26">
        <f>C6/$F$1*$F$2</f>
        <v>1409.4877246911346</v>
      </c>
      <c r="G6" t="s">
        <v>9</v>
      </c>
      <c r="H6">
        <f>E6/0.278</f>
        <v>2597.14382668297</v>
      </c>
      <c r="I6">
        <f>H6/0.5</f>
        <v>5194.2876533659401</v>
      </c>
    </row>
    <row r="7" spans="1:16" x14ac:dyDescent="0.35">
      <c r="A7">
        <v>2030</v>
      </c>
      <c r="B7">
        <f>B2/1000</f>
        <v>0.47307826147856097</v>
      </c>
      <c r="C7">
        <f>C2/1000</f>
        <v>0.94823786376956798</v>
      </c>
      <c r="D7" t="s">
        <v>44</v>
      </c>
      <c r="E7" s="26">
        <f t="shared" si="0"/>
        <v>478.19262106211301</v>
      </c>
      <c r="F7" s="26">
        <f t="shared" si="0"/>
        <v>958.48908391842815</v>
      </c>
      <c r="G7" t="s">
        <v>9</v>
      </c>
      <c r="H7">
        <f t="shared" ref="H7:H9" si="1">E7/0.278</f>
        <v>1720.1173419500467</v>
      </c>
      <c r="I7">
        <f t="shared" ref="I7:I9" si="2">H7/0.5</f>
        <v>3440.2346839000934</v>
      </c>
    </row>
    <row r="8" spans="1:16" x14ac:dyDescent="0.35">
      <c r="A8">
        <v>2040</v>
      </c>
      <c r="B8">
        <f>0.5*B7+0.5*B9</f>
        <v>0.39336848924421697</v>
      </c>
      <c r="C8">
        <f>0.5*C7+0.5*C9</f>
        <v>0.78001529818325843</v>
      </c>
      <c r="D8" t="s">
        <v>44</v>
      </c>
      <c r="E8" s="26">
        <f t="shared" si="0"/>
        <v>397.62112156037068</v>
      </c>
      <c r="F8" s="26">
        <f t="shared" si="0"/>
        <v>788.44789600145589</v>
      </c>
      <c r="G8" t="s">
        <v>9</v>
      </c>
      <c r="H8">
        <f t="shared" si="1"/>
        <v>1430.2918041739952</v>
      </c>
      <c r="I8">
        <f t="shared" si="2"/>
        <v>2860.5836083479903</v>
      </c>
    </row>
    <row r="9" spans="1:16" x14ac:dyDescent="0.35">
      <c r="A9">
        <v>2050</v>
      </c>
      <c r="B9">
        <f>B3/1000</f>
        <v>0.31365871700987297</v>
      </c>
      <c r="C9">
        <f>C3/1000</f>
        <v>0.611792732596949</v>
      </c>
      <c r="D9" t="s">
        <v>44</v>
      </c>
      <c r="E9" s="26">
        <f t="shared" si="0"/>
        <v>317.04962205862836</v>
      </c>
      <c r="F9" s="26">
        <f t="shared" si="0"/>
        <v>618.40670808448363</v>
      </c>
      <c r="G9" t="s">
        <v>9</v>
      </c>
      <c r="H9">
        <f t="shared" si="1"/>
        <v>1140.4662663979436</v>
      </c>
      <c r="I9">
        <f t="shared" si="2"/>
        <v>2280.9325327958873</v>
      </c>
    </row>
    <row r="10" spans="1:16" x14ac:dyDescent="0.35">
      <c r="A10">
        <v>2060</v>
      </c>
    </row>
    <row r="12" spans="1:16" x14ac:dyDescent="0.35">
      <c r="A12" t="s">
        <v>42</v>
      </c>
    </row>
    <row r="16" spans="1:16" x14ac:dyDescent="0.35">
      <c r="P16" t="s">
        <v>36</v>
      </c>
    </row>
    <row r="23" spans="11:12" x14ac:dyDescent="0.35">
      <c r="K23">
        <f>600/0.278</f>
        <v>2158.2733812949637</v>
      </c>
      <c r="L23">
        <f>K23/0.5</f>
        <v>4316.5467625899273</v>
      </c>
    </row>
    <row r="38" spans="7:8" x14ac:dyDescent="0.35">
      <c r="H38" t="s">
        <v>37</v>
      </c>
    </row>
    <row r="41" spans="7:8" x14ac:dyDescent="0.35">
      <c r="G41" t="s">
        <v>38</v>
      </c>
    </row>
    <row r="89" spans="1:1" x14ac:dyDescent="0.35">
      <c r="A89" t="s">
        <v>39</v>
      </c>
    </row>
  </sheetData>
  <pageMargins left="0.7" right="0.7" top="0.75" bottom="0.75" header="0.3" footer="0.3"/>
  <customProperties>
    <customPr name="LastActive" r:id="rId1"/>
  </customPropertie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1E3B-B619-439B-AAA1-B2CABFAA3183}">
  <dimension ref="A1:AS80"/>
  <sheetViews>
    <sheetView workbookViewId="0">
      <selection activeCell="M26" sqref="M26"/>
    </sheetView>
  </sheetViews>
  <sheetFormatPr defaultColWidth="8.81640625" defaultRowHeight="14.5" x14ac:dyDescent="0.35"/>
  <cols>
    <col min="1" max="1" width="13.453125" customWidth="1"/>
    <col min="2" max="2" width="19.6328125" bestFit="1" customWidth="1"/>
    <col min="3" max="3" width="8.453125" bestFit="1" customWidth="1"/>
    <col min="4" max="9" width="0" hidden="1" customWidth="1"/>
  </cols>
  <sheetData>
    <row r="1" spans="1:45" ht="29" x14ac:dyDescent="0.35">
      <c r="A1" s="1" t="s">
        <v>0</v>
      </c>
      <c r="B1" s="1" t="s">
        <v>1</v>
      </c>
      <c r="C1" s="2" t="s">
        <v>2</v>
      </c>
      <c r="D1" s="2">
        <v>2019</v>
      </c>
      <c r="E1" s="2">
        <v>2020</v>
      </c>
      <c r="F1" s="2">
        <f t="shared" ref="F1:AS1" si="0">E1+1</f>
        <v>2021</v>
      </c>
      <c r="G1" s="2">
        <f t="shared" si="0"/>
        <v>2022</v>
      </c>
      <c r="H1" s="2">
        <f t="shared" si="0"/>
        <v>2023</v>
      </c>
      <c r="I1" s="2">
        <f t="shared" si="0"/>
        <v>2024</v>
      </c>
      <c r="J1" s="12">
        <f t="shared" si="0"/>
        <v>2025</v>
      </c>
      <c r="K1" s="12">
        <f t="shared" si="0"/>
        <v>2026</v>
      </c>
      <c r="L1" s="12">
        <f t="shared" si="0"/>
        <v>2027</v>
      </c>
      <c r="M1" s="12">
        <f t="shared" si="0"/>
        <v>2028</v>
      </c>
      <c r="N1" s="12">
        <f t="shared" si="0"/>
        <v>2029</v>
      </c>
      <c r="O1" s="12">
        <f t="shared" si="0"/>
        <v>2030</v>
      </c>
      <c r="P1" s="12">
        <f t="shared" si="0"/>
        <v>2031</v>
      </c>
      <c r="Q1" s="12">
        <f t="shared" si="0"/>
        <v>2032</v>
      </c>
      <c r="R1" s="12">
        <f t="shared" si="0"/>
        <v>2033</v>
      </c>
      <c r="S1" s="12">
        <f t="shared" si="0"/>
        <v>2034</v>
      </c>
      <c r="T1" s="12">
        <f t="shared" si="0"/>
        <v>2035</v>
      </c>
      <c r="U1" s="12">
        <f t="shared" si="0"/>
        <v>2036</v>
      </c>
      <c r="V1" s="12">
        <f t="shared" si="0"/>
        <v>2037</v>
      </c>
      <c r="W1" s="12">
        <f t="shared" si="0"/>
        <v>2038</v>
      </c>
      <c r="X1" s="12">
        <f t="shared" si="0"/>
        <v>2039</v>
      </c>
      <c r="Y1" s="12">
        <f t="shared" si="0"/>
        <v>2040</v>
      </c>
      <c r="Z1" s="12">
        <f t="shared" si="0"/>
        <v>2041</v>
      </c>
      <c r="AA1" s="12">
        <f t="shared" si="0"/>
        <v>2042</v>
      </c>
      <c r="AB1" s="12">
        <f t="shared" si="0"/>
        <v>2043</v>
      </c>
      <c r="AC1" s="12">
        <f t="shared" si="0"/>
        <v>2044</v>
      </c>
      <c r="AD1" s="12">
        <f t="shared" si="0"/>
        <v>2045</v>
      </c>
      <c r="AE1" s="12">
        <f t="shared" si="0"/>
        <v>2046</v>
      </c>
      <c r="AF1" s="12">
        <f t="shared" si="0"/>
        <v>2047</v>
      </c>
      <c r="AG1" s="12">
        <f t="shared" si="0"/>
        <v>2048</v>
      </c>
      <c r="AH1" s="12">
        <f t="shared" si="0"/>
        <v>2049</v>
      </c>
      <c r="AI1" s="12">
        <f t="shared" si="0"/>
        <v>2050</v>
      </c>
      <c r="AJ1" s="12">
        <f t="shared" si="0"/>
        <v>2051</v>
      </c>
      <c r="AK1" s="12">
        <f t="shared" si="0"/>
        <v>2052</v>
      </c>
      <c r="AL1" s="12">
        <f t="shared" si="0"/>
        <v>2053</v>
      </c>
      <c r="AM1" s="12">
        <f t="shared" si="0"/>
        <v>2054</v>
      </c>
      <c r="AN1" s="12">
        <f t="shared" si="0"/>
        <v>2055</v>
      </c>
      <c r="AO1" s="12">
        <f t="shared" si="0"/>
        <v>2056</v>
      </c>
      <c r="AP1" s="12">
        <f t="shared" si="0"/>
        <v>2057</v>
      </c>
      <c r="AQ1" s="12">
        <f t="shared" si="0"/>
        <v>2058</v>
      </c>
      <c r="AR1" s="12">
        <f t="shared" si="0"/>
        <v>2059</v>
      </c>
      <c r="AS1" s="12">
        <f t="shared" si="0"/>
        <v>2060</v>
      </c>
    </row>
    <row r="2" spans="1:45" x14ac:dyDescent="0.35">
      <c r="A2" s="14" t="s">
        <v>3</v>
      </c>
      <c r="B2" s="7" t="s">
        <v>8</v>
      </c>
      <c r="C2" s="7" t="s">
        <v>9</v>
      </c>
      <c r="J2" s="40">
        <f>extendable_generators!J2+74/1000*carbon_tax!D6</f>
        <v>431.86</v>
      </c>
      <c r="K2" s="40">
        <f>extendable_generators!K2+74/1000*carbon_tax!E6</f>
        <v>473.61</v>
      </c>
      <c r="L2" s="40">
        <f>extendable_generators!L2+74/1000*carbon_tax!F6</f>
        <v>515.29000000000008</v>
      </c>
      <c r="M2" s="40">
        <f>extendable_generators!M2+74/1000*carbon_tax!G6</f>
        <v>561.12</v>
      </c>
      <c r="N2" s="40">
        <f>extendable_generators!N2+74/1000*carbon_tax!H6</f>
        <v>608.33000000000004</v>
      </c>
      <c r="O2" s="40">
        <f>extendable_generators!O2+74/1000*carbon_tax!I6</f>
        <v>613.31000000000006</v>
      </c>
      <c r="P2" s="40">
        <f>extendable_generators!P2+74/1000*carbon_tax!J6</f>
        <v>650.548</v>
      </c>
      <c r="Q2" s="40">
        <f>extendable_generators!Q2+74/1000*carbon_tax!K6</f>
        <v>650.05799999999999</v>
      </c>
      <c r="R2" s="40">
        <f>extendable_generators!R2+74/1000*carbon_tax!L6</f>
        <v>654.09799999999996</v>
      </c>
      <c r="S2" s="40">
        <f>extendable_generators!S2+74/1000*carbon_tax!M6</f>
        <v>661.70799999999997</v>
      </c>
      <c r="T2" s="40">
        <f>extendable_generators!T2+74/1000*carbon_tax!N6</f>
        <v>663.70799999999997</v>
      </c>
      <c r="U2" s="40">
        <f>extendable_generators!U2+74/1000*carbon_tax!O6</f>
        <v>672.36479999999995</v>
      </c>
      <c r="V2" s="40">
        <f>extendable_generators!V2+74/1000*carbon_tax!P6</f>
        <v>687.12159999999994</v>
      </c>
      <c r="W2" s="40">
        <f>extendable_generators!W2+74/1000*carbon_tax!Q6</f>
        <v>689.27840000000003</v>
      </c>
      <c r="X2" s="40">
        <f>extendable_generators!X2+74/1000*carbon_tax!R6</f>
        <v>699.02520000000004</v>
      </c>
      <c r="Y2" s="40">
        <f>extendable_generators!Y2+74/1000*carbon_tax!S6</f>
        <v>708.93200000000002</v>
      </c>
      <c r="Z2" s="40">
        <f>extendable_generators!Z2+74/1000*carbon_tax!T6</f>
        <v>721.93880000000001</v>
      </c>
      <c r="AA2" s="40">
        <f>extendable_generators!AA2+74/1000*carbon_tax!U6</f>
        <v>733.78560000000004</v>
      </c>
      <c r="AB2" s="40">
        <f>extendable_generators!AB2+74/1000*carbon_tax!V6</f>
        <v>742.94240000000002</v>
      </c>
      <c r="AC2" s="40">
        <f>extendable_generators!AC2+74/1000*carbon_tax!W6</f>
        <v>754.24919999999997</v>
      </c>
      <c r="AD2" s="40">
        <f>extendable_generators!AD2+74/1000*carbon_tax!X6</f>
        <v>761.55600000000004</v>
      </c>
      <c r="AE2" s="40">
        <f>extendable_generators!AE2+74/1000*carbon_tax!Y6</f>
        <v>771.12279999999998</v>
      </c>
      <c r="AF2" s="40">
        <f>extendable_generators!AF2+74/1000*carbon_tax!Z6</f>
        <v>782.41960000000006</v>
      </c>
      <c r="AG2" s="40">
        <f>extendable_generators!AG2+74/1000*carbon_tax!AA6</f>
        <v>796.27640000000008</v>
      </c>
      <c r="AH2" s="40">
        <f>extendable_generators!AH2+74/1000*carbon_tax!AB6</f>
        <v>805.7432</v>
      </c>
      <c r="AI2" s="40">
        <f>extendable_generators!AI2+74/1000*carbon_tax!AC6</f>
        <v>815.64</v>
      </c>
      <c r="AJ2" s="40">
        <f>extendable_generators!AJ2+74/1000*carbon_tax!AD6</f>
        <v>824.01679999999988</v>
      </c>
      <c r="AK2" s="40">
        <f>extendable_generators!AK2+74/1000*carbon_tax!AE6</f>
        <v>832.39359999999999</v>
      </c>
      <c r="AL2" s="40">
        <f>extendable_generators!AL2+74/1000*carbon_tax!AF6</f>
        <v>840.77039999999988</v>
      </c>
      <c r="AM2" s="40">
        <f>extendable_generators!AM2+74/1000*carbon_tax!AG6</f>
        <v>849.1472</v>
      </c>
      <c r="AN2" s="40">
        <f>extendable_generators!AN2+74/1000*carbon_tax!AH6</f>
        <v>857.52399999999989</v>
      </c>
      <c r="AO2" s="40">
        <f>extendable_generators!AO2+74/1000*carbon_tax!AI6</f>
        <v>865.90079999999989</v>
      </c>
      <c r="AP2" s="40">
        <f>extendable_generators!AP2+74/1000*carbon_tax!AJ6</f>
        <v>874.27759999999989</v>
      </c>
      <c r="AQ2" s="40">
        <f>extendable_generators!AQ2+74/1000*carbon_tax!AK6</f>
        <v>882.6543999999999</v>
      </c>
      <c r="AR2" s="40">
        <f>extendable_generators!AR2+74/1000*carbon_tax!AL6</f>
        <v>891.0311999999999</v>
      </c>
      <c r="AS2" s="40">
        <f>extendable_generators!AS2+74/1000*carbon_tax!AM6</f>
        <v>899.4079999999999</v>
      </c>
    </row>
    <row r="3" spans="1:45" x14ac:dyDescent="0.35">
      <c r="A3" s="14" t="s">
        <v>3</v>
      </c>
      <c r="B3" s="3" t="s">
        <v>10</v>
      </c>
      <c r="C3" s="3" t="s">
        <v>9</v>
      </c>
      <c r="J3" s="40">
        <f>extendable_generators!J3+74/1000*carbon_tax!D7</f>
        <v>429.64</v>
      </c>
      <c r="K3" s="40">
        <f>extendable_generators!K3+74/1000*carbon_tax!E7</f>
        <v>471.39</v>
      </c>
      <c r="L3" s="40">
        <f>extendable_generators!L3+74/1000*carbon_tax!F7</f>
        <v>513.07000000000005</v>
      </c>
      <c r="M3" s="40">
        <f>extendable_generators!M3+74/1000*carbon_tax!G7</f>
        <v>558.9</v>
      </c>
      <c r="N3" s="40">
        <f>extendable_generators!N3+74/1000*carbon_tax!H7</f>
        <v>606.11</v>
      </c>
      <c r="O3" s="40">
        <f>extendable_generators!O3+74/1000*carbon_tax!I7</f>
        <v>611.09</v>
      </c>
      <c r="P3" s="40">
        <f>extendable_generators!P3+74/1000*carbon_tax!J7</f>
        <v>616.36</v>
      </c>
      <c r="Q3" s="40">
        <f>extendable_generators!Q3+74/1000*carbon_tax!K7</f>
        <v>615.87</v>
      </c>
      <c r="R3" s="40">
        <f>extendable_generators!R3+74/1000*carbon_tax!L7</f>
        <v>619.91</v>
      </c>
      <c r="S3" s="40">
        <f>extendable_generators!S3+74/1000*carbon_tax!M7</f>
        <v>627.52</v>
      </c>
      <c r="T3" s="40">
        <f>extendable_generators!T3+74/1000*carbon_tax!N7</f>
        <v>629.52</v>
      </c>
      <c r="U3" s="40">
        <f>extendable_generators!U3+74/1000*carbon_tax!O7</f>
        <v>629.79999999999995</v>
      </c>
      <c r="V3" s="40">
        <f>extendable_generators!V3+74/1000*carbon_tax!P7</f>
        <v>636.17999999999995</v>
      </c>
      <c r="W3" s="40">
        <f>extendable_generators!W3+74/1000*carbon_tax!Q7</f>
        <v>629.96</v>
      </c>
      <c r="X3" s="40">
        <f>extendable_generators!X3+74/1000*carbon_tax!R7</f>
        <v>631.33000000000004</v>
      </c>
      <c r="Y3" s="40">
        <f>extendable_generators!Y3+74/1000*carbon_tax!S7</f>
        <v>632.86</v>
      </c>
      <c r="Z3" s="40">
        <f>extendable_generators!Z3+74/1000*carbon_tax!T7</f>
        <v>637.49</v>
      </c>
      <c r="AA3" s="40">
        <f>extendable_generators!AA3+74/1000*carbon_tax!U7</f>
        <v>640.96</v>
      </c>
      <c r="AB3" s="40">
        <f>extendable_generators!AB3+74/1000*carbon_tax!V7</f>
        <v>641.74</v>
      </c>
      <c r="AC3" s="40">
        <f>extendable_generators!AC3+74/1000*carbon_tax!W7</f>
        <v>644.66999999999996</v>
      </c>
      <c r="AD3" s="40">
        <f>extendable_generators!AD3+74/1000*carbon_tax!X7</f>
        <v>643.6</v>
      </c>
      <c r="AE3" s="40">
        <f>extendable_generators!AE3+74/1000*carbon_tax!Y7</f>
        <v>644.79</v>
      </c>
      <c r="AF3" s="40">
        <f>extendable_generators!AF3+74/1000*carbon_tax!Z7</f>
        <v>647.71</v>
      </c>
      <c r="AG3" s="40">
        <f>extendable_generators!AG3+74/1000*carbon_tax!AA7</f>
        <v>653.19000000000005</v>
      </c>
      <c r="AH3" s="40">
        <f>extendable_generators!AH3+74/1000*carbon_tax!AB7</f>
        <v>654.28</v>
      </c>
      <c r="AI3" s="40">
        <f>extendable_generators!AI3+74/1000*carbon_tax!AC7</f>
        <v>655.8</v>
      </c>
      <c r="AJ3" s="40">
        <f>extendable_generators!AJ3+74/1000*carbon_tax!AD7</f>
        <v>655.8</v>
      </c>
      <c r="AK3" s="40">
        <f>extendable_generators!AK3+74/1000*carbon_tax!AE7</f>
        <v>655.8</v>
      </c>
      <c r="AL3" s="40">
        <f>extendable_generators!AL3+74/1000*carbon_tax!AF7</f>
        <v>655.8</v>
      </c>
      <c r="AM3" s="40">
        <f>extendable_generators!AM3+74/1000*carbon_tax!AG7</f>
        <v>655.8</v>
      </c>
      <c r="AN3" s="40">
        <f>extendable_generators!AN3+74/1000*carbon_tax!AH7</f>
        <v>655.8</v>
      </c>
      <c r="AO3" s="40">
        <f>extendable_generators!AO3+74/1000*carbon_tax!AI7</f>
        <v>655.8</v>
      </c>
      <c r="AP3" s="40">
        <f>extendable_generators!AP3+74/1000*carbon_tax!AJ7</f>
        <v>655.8</v>
      </c>
      <c r="AQ3" s="40">
        <f>extendable_generators!AQ3+74/1000*carbon_tax!AK7</f>
        <v>655.8</v>
      </c>
      <c r="AR3" s="40">
        <f>extendable_generators!AR3+74/1000*carbon_tax!AL7</f>
        <v>655.8</v>
      </c>
      <c r="AS3" s="40">
        <f>extendable_generators!AS3+74/1000*carbon_tax!AM7</f>
        <v>655.8</v>
      </c>
    </row>
    <row r="4" spans="1:45" x14ac:dyDescent="0.35">
      <c r="A4" s="14" t="s">
        <v>3</v>
      </c>
      <c r="B4" s="7" t="s">
        <v>11</v>
      </c>
      <c r="C4" s="7" t="s">
        <v>9</v>
      </c>
      <c r="J4" s="40">
        <f>extendable_generators!J4+0.069*carbon_tax!D6</f>
        <v>246.73999999999998</v>
      </c>
      <c r="K4" s="40">
        <f>extendable_generators!K4+0.069*carbon_tax!E6</f>
        <v>273.39999999999998</v>
      </c>
      <c r="L4" s="40">
        <f>extendable_generators!L4+0.069*carbon_tax!F6</f>
        <v>300.02</v>
      </c>
      <c r="M4" s="40">
        <f>extendable_generators!M4+0.069*carbon_tax!G6</f>
        <v>329.29</v>
      </c>
      <c r="N4" s="40">
        <f>extendable_generators!N4+0.069*carbon_tax!H6</f>
        <v>359.44</v>
      </c>
      <c r="O4" s="40">
        <f>extendable_generators!O4+0.069*carbon_tax!I6</f>
        <v>362.62</v>
      </c>
      <c r="P4" s="40">
        <f>extendable_generators!P4+0.069*carbon_tax!J6</f>
        <v>395.798</v>
      </c>
      <c r="Q4" s="40">
        <f>extendable_generators!Q4+0.069*carbon_tax!K6</f>
        <v>395.488</v>
      </c>
      <c r="R4" s="40">
        <f>extendable_generators!R4+0.069*carbon_tax!L6</f>
        <v>398.05799999999999</v>
      </c>
      <c r="S4" s="40">
        <f>extendable_generators!S4+0.069*carbon_tax!M6</f>
        <v>402.91800000000001</v>
      </c>
      <c r="T4" s="40">
        <f>extendable_generators!T4+0.069*carbon_tax!N6</f>
        <v>404.19799999999998</v>
      </c>
      <c r="U4" s="40">
        <f>extendable_generators!U4+0.069*carbon_tax!O6</f>
        <v>412.18880000000001</v>
      </c>
      <c r="V4" s="40">
        <f>extendable_generators!V4+0.069*carbon_tax!P6</f>
        <v>424.07959999999997</v>
      </c>
      <c r="W4" s="40">
        <f>extendable_generators!W4+0.069*carbon_tax!Q6</f>
        <v>427.91040000000004</v>
      </c>
      <c r="X4" s="40">
        <f>extendable_generators!X4+0.069*carbon_tax!R6</f>
        <v>436.60120000000001</v>
      </c>
      <c r="Y4" s="40">
        <f>extendable_generators!Y4+0.069*carbon_tax!S6</f>
        <v>445.392</v>
      </c>
      <c r="Z4" s="40">
        <f>extendable_generators!Z4+0.069*carbon_tax!T6</f>
        <v>456.15280000000007</v>
      </c>
      <c r="AA4" s="40">
        <f>extendable_generators!AA4+0.069*carbon_tax!U6</f>
        <v>466.18360000000001</v>
      </c>
      <c r="AB4" s="40">
        <f>extendable_generators!AB4+0.069*carbon_tax!V6</f>
        <v>474.49439999999998</v>
      </c>
      <c r="AC4" s="40">
        <f>extendable_generators!AC4+0.069*carbon_tax!W6</f>
        <v>484.17520000000002</v>
      </c>
      <c r="AD4" s="40">
        <f>extendable_generators!AD4+0.069*carbon_tax!X6</f>
        <v>491.30599999999998</v>
      </c>
      <c r="AE4" s="40">
        <f>extendable_generators!AE4+0.069*carbon_tax!Y6</f>
        <v>499.8768</v>
      </c>
      <c r="AF4" s="40">
        <f>extendable_generators!AF4+0.069*carbon_tax!Z6</f>
        <v>509.54759999999999</v>
      </c>
      <c r="AG4" s="40">
        <f>extendable_generators!AG4+0.069*carbon_tax!AA6</f>
        <v>520.85839999999996</v>
      </c>
      <c r="AH4" s="40">
        <f>extendable_generators!AH4+0.069*carbon_tax!AB6</f>
        <v>529.36919999999998</v>
      </c>
      <c r="AI4" s="40">
        <f>extendable_generators!AI4+0.069*carbon_tax!AC6</f>
        <v>538.1400000000001</v>
      </c>
      <c r="AJ4" s="40">
        <f>extendable_generators!AJ4+0.069*carbon_tax!AD6</f>
        <v>545.95080000000007</v>
      </c>
      <c r="AK4" s="40">
        <f>extendable_generators!AK4+0.069*carbon_tax!AE6</f>
        <v>553.76160000000004</v>
      </c>
      <c r="AL4" s="40">
        <f>extendable_generators!AL4+0.069*carbon_tax!AF6</f>
        <v>561.57240000000002</v>
      </c>
      <c r="AM4" s="40">
        <f>extendable_generators!AM4+0.069*carbon_tax!AG6</f>
        <v>569.38319999999999</v>
      </c>
      <c r="AN4" s="40">
        <f>extendable_generators!AN4+0.069*carbon_tax!AH6</f>
        <v>577.19400000000007</v>
      </c>
      <c r="AO4" s="40">
        <f>extendable_generators!AO4+0.069*carbon_tax!AI6</f>
        <v>585.00480000000005</v>
      </c>
      <c r="AP4" s="40">
        <f>extendable_generators!AP4+0.069*carbon_tax!AJ6</f>
        <v>592.81560000000002</v>
      </c>
      <c r="AQ4" s="40">
        <f>extendable_generators!AQ4+0.069*carbon_tax!AK6</f>
        <v>600.6264000000001</v>
      </c>
      <c r="AR4" s="40">
        <f>extendable_generators!AR4+0.069*carbon_tax!AL6</f>
        <v>608.43720000000008</v>
      </c>
      <c r="AS4" s="40">
        <f>extendable_generators!AS4+0.069*carbon_tax!AM6</f>
        <v>616.24800000000005</v>
      </c>
    </row>
    <row r="5" spans="1:45" x14ac:dyDescent="0.35">
      <c r="A5" s="14" t="s">
        <v>3</v>
      </c>
      <c r="B5" s="3" t="s">
        <v>12</v>
      </c>
      <c r="C5" s="3" t="s">
        <v>9</v>
      </c>
    </row>
    <row r="6" spans="1:45" x14ac:dyDescent="0.35">
      <c r="A6" s="14" t="s">
        <v>3</v>
      </c>
      <c r="B6" s="7" t="s">
        <v>13</v>
      </c>
      <c r="C6" s="7" t="s">
        <v>9</v>
      </c>
    </row>
    <row r="7" spans="1:45" x14ac:dyDescent="0.35">
      <c r="A7" s="14" t="s">
        <v>3</v>
      </c>
      <c r="B7" s="3" t="s">
        <v>14</v>
      </c>
      <c r="C7" s="3" t="s">
        <v>9</v>
      </c>
    </row>
    <row r="8" spans="1:45" x14ac:dyDescent="0.35">
      <c r="A8" s="14" t="s">
        <v>3</v>
      </c>
      <c r="B8" s="7" t="s">
        <v>15</v>
      </c>
      <c r="C8" s="7" t="s">
        <v>9</v>
      </c>
    </row>
    <row r="9" spans="1:45" x14ac:dyDescent="0.35">
      <c r="A9" s="14" t="s">
        <v>3</v>
      </c>
      <c r="B9" s="3" t="s">
        <v>16</v>
      </c>
      <c r="C9" s="3" t="s">
        <v>9</v>
      </c>
    </row>
    <row r="10" spans="1:45" x14ac:dyDescent="0.35">
      <c r="A10" s="14" t="s">
        <v>3</v>
      </c>
      <c r="B10" s="7" t="s">
        <v>17</v>
      </c>
      <c r="C10" s="7" t="s">
        <v>9</v>
      </c>
    </row>
    <row r="11" spans="1:45" x14ac:dyDescent="0.35">
      <c r="A11" s="14" t="s">
        <v>3</v>
      </c>
      <c r="B11" s="3" t="s">
        <v>18</v>
      </c>
      <c r="C11" s="3" t="s">
        <v>9</v>
      </c>
    </row>
    <row r="12" spans="1:45" x14ac:dyDescent="0.35">
      <c r="A12" s="14" t="s">
        <v>3</v>
      </c>
      <c r="B12" s="7" t="s">
        <v>19</v>
      </c>
      <c r="C12" s="7" t="s">
        <v>9</v>
      </c>
    </row>
    <row r="13" spans="1:45" x14ac:dyDescent="0.35">
      <c r="A13" s="14" t="s">
        <v>3</v>
      </c>
      <c r="B13" s="3" t="s">
        <v>20</v>
      </c>
      <c r="C13" s="3" t="s">
        <v>9</v>
      </c>
    </row>
    <row r="14" spans="1:45" x14ac:dyDescent="0.35">
      <c r="A14" s="14" t="s">
        <v>3</v>
      </c>
      <c r="B14" s="7" t="s">
        <v>21</v>
      </c>
      <c r="C14" s="7" t="s">
        <v>9</v>
      </c>
    </row>
    <row r="15" spans="1:45" x14ac:dyDescent="0.35">
      <c r="A15" s="14" t="s">
        <v>3</v>
      </c>
      <c r="B15" s="3" t="s">
        <v>22</v>
      </c>
      <c r="C15" s="3" t="s">
        <v>9</v>
      </c>
    </row>
    <row r="16" spans="1:45" x14ac:dyDescent="0.35">
      <c r="A16" s="14" t="s">
        <v>3</v>
      </c>
      <c r="B16" s="7" t="s">
        <v>23</v>
      </c>
      <c r="C16" s="7" t="s">
        <v>9</v>
      </c>
    </row>
    <row r="17" spans="1:3" x14ac:dyDescent="0.35">
      <c r="A17" s="14" t="s">
        <v>3</v>
      </c>
      <c r="B17" s="3" t="s">
        <v>24</v>
      </c>
      <c r="C17" s="3" t="s">
        <v>9</v>
      </c>
    </row>
    <row r="18" spans="1:3" x14ac:dyDescent="0.35">
      <c r="A18" s="17" t="s">
        <v>3</v>
      </c>
      <c r="B18" s="18" t="s">
        <v>17</v>
      </c>
      <c r="C18" s="18" t="s">
        <v>9</v>
      </c>
    </row>
    <row r="19" spans="1:3" x14ac:dyDescent="0.35">
      <c r="A19" s="19" t="s">
        <v>5</v>
      </c>
      <c r="B19" s="3" t="s">
        <v>8</v>
      </c>
      <c r="C19" s="3" t="s">
        <v>9</v>
      </c>
    </row>
    <row r="20" spans="1:3" x14ac:dyDescent="0.35">
      <c r="A20" s="19" t="s">
        <v>5</v>
      </c>
      <c r="B20" s="7" t="s">
        <v>10</v>
      </c>
      <c r="C20" s="7" t="s">
        <v>9</v>
      </c>
    </row>
    <row r="21" spans="1:3" x14ac:dyDescent="0.35">
      <c r="A21" s="19" t="s">
        <v>5</v>
      </c>
      <c r="B21" s="3" t="s">
        <v>11</v>
      </c>
      <c r="C21" s="3" t="s">
        <v>9</v>
      </c>
    </row>
    <row r="22" spans="1:3" x14ac:dyDescent="0.35">
      <c r="A22" s="19" t="s">
        <v>5</v>
      </c>
      <c r="B22" s="7" t="s">
        <v>12</v>
      </c>
      <c r="C22" s="7" t="s">
        <v>9</v>
      </c>
    </row>
    <row r="23" spans="1:3" x14ac:dyDescent="0.35">
      <c r="A23" s="19" t="s">
        <v>5</v>
      </c>
      <c r="B23" s="3" t="s">
        <v>13</v>
      </c>
      <c r="C23" s="3" t="s">
        <v>9</v>
      </c>
    </row>
    <row r="24" spans="1:3" x14ac:dyDescent="0.35">
      <c r="A24" s="19" t="s">
        <v>5</v>
      </c>
      <c r="B24" s="7" t="s">
        <v>14</v>
      </c>
      <c r="C24" s="7" t="s">
        <v>9</v>
      </c>
    </row>
    <row r="25" spans="1:3" x14ac:dyDescent="0.35">
      <c r="A25" s="19" t="s">
        <v>5</v>
      </c>
      <c r="B25" s="3" t="s">
        <v>15</v>
      </c>
      <c r="C25" s="3" t="s">
        <v>9</v>
      </c>
    </row>
    <row r="26" spans="1:3" x14ac:dyDescent="0.35">
      <c r="A26" s="19" t="s">
        <v>5</v>
      </c>
      <c r="B26" s="7" t="s">
        <v>16</v>
      </c>
      <c r="C26" s="7" t="s">
        <v>9</v>
      </c>
    </row>
    <row r="27" spans="1:3" x14ac:dyDescent="0.35">
      <c r="A27" s="19" t="s">
        <v>5</v>
      </c>
      <c r="B27" s="3" t="s">
        <v>18</v>
      </c>
      <c r="C27" s="3" t="s">
        <v>9</v>
      </c>
    </row>
    <row r="28" spans="1:3" x14ac:dyDescent="0.35">
      <c r="A28" s="19" t="s">
        <v>5</v>
      </c>
      <c r="B28" s="7" t="s">
        <v>19</v>
      </c>
      <c r="C28" s="7" t="s">
        <v>9</v>
      </c>
    </row>
    <row r="29" spans="1:3" x14ac:dyDescent="0.35">
      <c r="A29" s="19" t="s">
        <v>5</v>
      </c>
      <c r="B29" s="3" t="s">
        <v>20</v>
      </c>
      <c r="C29" s="3" t="s">
        <v>9</v>
      </c>
    </row>
    <row r="30" spans="1:3" x14ac:dyDescent="0.35">
      <c r="A30" s="19" t="s">
        <v>5</v>
      </c>
      <c r="B30" s="7" t="s">
        <v>21</v>
      </c>
      <c r="C30" s="7" t="s">
        <v>9</v>
      </c>
    </row>
    <row r="31" spans="1:3" x14ac:dyDescent="0.35">
      <c r="A31" s="19" t="s">
        <v>5</v>
      </c>
      <c r="B31" s="3" t="s">
        <v>22</v>
      </c>
      <c r="C31" s="3" t="s">
        <v>9</v>
      </c>
    </row>
    <row r="32" spans="1:3" x14ac:dyDescent="0.35">
      <c r="A32" s="19" t="s">
        <v>5</v>
      </c>
      <c r="B32" s="7" t="s">
        <v>23</v>
      </c>
      <c r="C32" s="7" t="s">
        <v>9</v>
      </c>
    </row>
    <row r="33" spans="1:45" x14ac:dyDescent="0.35">
      <c r="A33" s="19" t="s">
        <v>5</v>
      </c>
      <c r="B33" s="3" t="s">
        <v>24</v>
      </c>
      <c r="C33" s="3" t="s">
        <v>9</v>
      </c>
    </row>
    <row r="34" spans="1:45" x14ac:dyDescent="0.35">
      <c r="A34" s="20" t="s">
        <v>5</v>
      </c>
      <c r="B34" s="18" t="s">
        <v>17</v>
      </c>
      <c r="C34" s="18" t="s">
        <v>9</v>
      </c>
    </row>
    <row r="35" spans="1:45" x14ac:dyDescent="0.35">
      <c r="A35" s="21" t="s">
        <v>6</v>
      </c>
      <c r="B35" s="3" t="s">
        <v>8</v>
      </c>
      <c r="C35" s="3" t="s">
        <v>9</v>
      </c>
      <c r="J35">
        <f>extendable_generators!J26+0.074*carbon_tax!C4</f>
        <v>382.41</v>
      </c>
      <c r="K35">
        <f>extendable_generators!K26+0.074*carbon_tax!D4</f>
        <v>374.59000000000003</v>
      </c>
      <c r="L35">
        <f>extendable_generators!L26+0.074*carbon_tax!E4</f>
        <v>366.57000000000005</v>
      </c>
      <c r="M35">
        <f>extendable_generators!M26+0.074*carbon_tax!F4</f>
        <v>360.76000000000005</v>
      </c>
      <c r="N35">
        <f>extendable_generators!N26+0.074*carbon_tax!G4</f>
        <v>354.42</v>
      </c>
      <c r="O35">
        <f>extendable_generators!O26+0.074*carbon_tax!H4</f>
        <v>356.79</v>
      </c>
      <c r="P35">
        <f>extendable_generators!P26+0.074*carbon_tax!I4</f>
        <v>359.05</v>
      </c>
      <c r="Q35">
        <f>extendable_generators!Q26+0.074*carbon_tax!J4</f>
        <v>369.06170000000003</v>
      </c>
      <c r="R35">
        <f>extendable_generators!R26+0.074*carbon_tax!K4</f>
        <v>372.0564</v>
      </c>
      <c r="S35">
        <f>extendable_generators!S26+0.074*carbon_tax!L4</f>
        <v>374.17110000000002</v>
      </c>
      <c r="T35">
        <f>extendable_generators!T26+0.074*carbon_tax!M4</f>
        <v>377.69580000000002</v>
      </c>
      <c r="U35">
        <f>extendable_generators!U26+0.074*carbon_tax!N4</f>
        <v>381.01049999999998</v>
      </c>
      <c r="V35">
        <f>extendable_generators!V26+0.074*carbon_tax!O4</f>
        <v>387.23591999999996</v>
      </c>
      <c r="W35">
        <f>extendable_generators!W26+0.074*carbon_tax!P4</f>
        <v>393.04017999999996</v>
      </c>
      <c r="X35">
        <f>extendable_generators!X26+0.074*carbon_tax!Q4</f>
        <v>399.99328000000003</v>
      </c>
      <c r="Y35">
        <f>extendable_generators!Y26+0.074*carbon_tax!R4</f>
        <v>404.93521999999996</v>
      </c>
      <c r="Z35">
        <f>extendable_generators!Z26+0.074*carbon_tax!S4</f>
        <v>411.93599999999998</v>
      </c>
      <c r="AA35">
        <f>extendable_generators!AA26+0.074*carbon_tax!T4</f>
        <v>419.14562000000001</v>
      </c>
      <c r="AB35">
        <f>extendable_generators!AB26+0.074*carbon_tax!U4</f>
        <v>426.62407999999999</v>
      </c>
      <c r="AC35">
        <f>extendable_generators!AC26+0.074*carbon_tax!V4</f>
        <v>435.61138</v>
      </c>
      <c r="AD35">
        <f>extendable_generators!AD26+0.074*carbon_tax!W4</f>
        <v>443.89751999999999</v>
      </c>
      <c r="AE35">
        <f>extendable_generators!AE26+0.074*carbon_tax!X4</f>
        <v>455.07249999999999</v>
      </c>
      <c r="AF35">
        <f>extendable_generators!AF26+0.074*carbon_tax!Y4</f>
        <v>463.11631999999997</v>
      </c>
      <c r="AG35">
        <f>extendable_generators!AG26+0.074*carbon_tax!Z4</f>
        <v>471.05124000000001</v>
      </c>
      <c r="AH35">
        <f>extendable_generators!AH26+0.074*carbon_tax!AA4</f>
        <v>477.20615999999995</v>
      </c>
      <c r="AI35">
        <f>extendable_generators!AI26+0.074*carbon_tax!AB4</f>
        <v>484.90107999999998</v>
      </c>
      <c r="AJ35">
        <f>extendable_generators!AJ26+0.074*carbon_tax!AC4</f>
        <v>490.346</v>
      </c>
      <c r="AK35">
        <f>extendable_generators!AK26+0.074*carbon_tax!AD4</f>
        <v>495.79091999999997</v>
      </c>
      <c r="AL35">
        <f>extendable_generators!AL26+0.074*carbon_tax!AE4</f>
        <v>501.23584</v>
      </c>
      <c r="AM35">
        <f>extendable_generators!AM26+0.074*carbon_tax!AF4</f>
        <v>506.68075999999996</v>
      </c>
      <c r="AN35">
        <f>extendable_generators!AN26+0.074*carbon_tax!AG4</f>
        <v>512.12567999999999</v>
      </c>
      <c r="AO35">
        <f>extendable_generators!AO26+0.074*carbon_tax!AH4</f>
        <v>517.57060000000001</v>
      </c>
      <c r="AP35">
        <f>extendable_generators!AP26+0.074*carbon_tax!AI4</f>
        <v>523.01551999999992</v>
      </c>
      <c r="AQ35">
        <f>extendable_generators!AQ26+0.074*carbon_tax!AJ4</f>
        <v>528.46043999999995</v>
      </c>
      <c r="AR35">
        <f>extendable_generators!AR26+0.074*carbon_tax!AK4</f>
        <v>533.90535999999997</v>
      </c>
      <c r="AS35">
        <f>extendable_generators!AS26+0.074*carbon_tax!AL4</f>
        <v>539.35028</v>
      </c>
    </row>
    <row r="36" spans="1:45" x14ac:dyDescent="0.35">
      <c r="A36" s="21" t="s">
        <v>6</v>
      </c>
      <c r="B36" s="7" t="s">
        <v>10</v>
      </c>
      <c r="C36" s="7" t="s">
        <v>9</v>
      </c>
    </row>
    <row r="37" spans="1:45" x14ac:dyDescent="0.35">
      <c r="A37" s="21" t="s">
        <v>6</v>
      </c>
      <c r="B37" s="3" t="s">
        <v>11</v>
      </c>
      <c r="C37" s="3" t="s">
        <v>9</v>
      </c>
    </row>
    <row r="38" spans="1:45" x14ac:dyDescent="0.35">
      <c r="A38" s="21" t="s">
        <v>6</v>
      </c>
      <c r="B38" s="7" t="s">
        <v>12</v>
      </c>
      <c r="C38" s="7" t="s">
        <v>9</v>
      </c>
    </row>
    <row r="39" spans="1:45" x14ac:dyDescent="0.35">
      <c r="A39" s="21" t="s">
        <v>6</v>
      </c>
      <c r="B39" s="3" t="s">
        <v>13</v>
      </c>
      <c r="C39" s="3" t="s">
        <v>9</v>
      </c>
    </row>
    <row r="40" spans="1:45" x14ac:dyDescent="0.35">
      <c r="A40" s="21" t="s">
        <v>6</v>
      </c>
      <c r="B40" s="7" t="s">
        <v>14</v>
      </c>
      <c r="C40" s="7" t="s">
        <v>9</v>
      </c>
    </row>
    <row r="41" spans="1:45" x14ac:dyDescent="0.35">
      <c r="A41" s="21" t="s">
        <v>6</v>
      </c>
      <c r="B41" s="3" t="s">
        <v>15</v>
      </c>
      <c r="C41" s="3" t="s">
        <v>9</v>
      </c>
    </row>
    <row r="42" spans="1:45" x14ac:dyDescent="0.35">
      <c r="A42" s="21" t="s">
        <v>6</v>
      </c>
      <c r="B42" s="7" t="s">
        <v>16</v>
      </c>
      <c r="C42" s="7" t="s">
        <v>9</v>
      </c>
    </row>
    <row r="43" spans="1:45" x14ac:dyDescent="0.35">
      <c r="A43" s="21" t="s">
        <v>6</v>
      </c>
      <c r="B43" s="3" t="s">
        <v>18</v>
      </c>
      <c r="C43" s="3" t="s">
        <v>9</v>
      </c>
    </row>
    <row r="44" spans="1:45" x14ac:dyDescent="0.35">
      <c r="A44" s="21" t="s">
        <v>6</v>
      </c>
      <c r="B44" s="7" t="s">
        <v>19</v>
      </c>
      <c r="C44" s="7" t="s">
        <v>9</v>
      </c>
    </row>
    <row r="45" spans="1:45" x14ac:dyDescent="0.35">
      <c r="A45" s="21" t="s">
        <v>6</v>
      </c>
      <c r="B45" s="3" t="s">
        <v>20</v>
      </c>
      <c r="C45" s="3" t="s">
        <v>9</v>
      </c>
    </row>
    <row r="46" spans="1:45" x14ac:dyDescent="0.35">
      <c r="A46" s="21" t="s">
        <v>6</v>
      </c>
      <c r="B46" s="7" t="s">
        <v>21</v>
      </c>
      <c r="C46" s="7" t="s">
        <v>9</v>
      </c>
    </row>
    <row r="47" spans="1:45" x14ac:dyDescent="0.35">
      <c r="A47" s="21" t="s">
        <v>6</v>
      </c>
      <c r="B47" s="3" t="s">
        <v>22</v>
      </c>
      <c r="C47" s="3" t="s">
        <v>9</v>
      </c>
    </row>
    <row r="48" spans="1:45" x14ac:dyDescent="0.35">
      <c r="A48" s="21" t="s">
        <v>6</v>
      </c>
      <c r="B48" s="7" t="s">
        <v>23</v>
      </c>
      <c r="C48" s="7" t="s">
        <v>9</v>
      </c>
    </row>
    <row r="49" spans="1:3" x14ac:dyDescent="0.35">
      <c r="A49" s="21" t="s">
        <v>6</v>
      </c>
      <c r="B49" s="3" t="s">
        <v>24</v>
      </c>
      <c r="C49" s="3" t="s">
        <v>9</v>
      </c>
    </row>
    <row r="50" spans="1:3" x14ac:dyDescent="0.35">
      <c r="A50" s="22" t="s">
        <v>6</v>
      </c>
      <c r="B50" s="18" t="s">
        <v>17</v>
      </c>
      <c r="C50" s="18" t="s">
        <v>9</v>
      </c>
    </row>
    <row r="51" spans="1:3" x14ac:dyDescent="0.35">
      <c r="A51" s="10" t="s">
        <v>7</v>
      </c>
      <c r="B51" s="3" t="s">
        <v>8</v>
      </c>
      <c r="C51" s="3" t="s">
        <v>9</v>
      </c>
    </row>
    <row r="52" spans="1:3" x14ac:dyDescent="0.35">
      <c r="A52" s="10" t="str">
        <f t="shared" ref="A52:A64" si="1">A51</f>
        <v>IRP23</v>
      </c>
      <c r="B52" s="7" t="s">
        <v>10</v>
      </c>
      <c r="C52" s="7" t="s">
        <v>9</v>
      </c>
    </row>
    <row r="53" spans="1:3" x14ac:dyDescent="0.35">
      <c r="A53" s="10" t="str">
        <f t="shared" si="1"/>
        <v>IRP23</v>
      </c>
      <c r="B53" s="3" t="s">
        <v>11</v>
      </c>
      <c r="C53" s="3" t="s">
        <v>9</v>
      </c>
    </row>
    <row r="54" spans="1:3" x14ac:dyDescent="0.35">
      <c r="A54" s="10" t="str">
        <f t="shared" si="1"/>
        <v>IRP23</v>
      </c>
      <c r="B54" s="7" t="s">
        <v>12</v>
      </c>
      <c r="C54" s="7" t="s">
        <v>9</v>
      </c>
    </row>
    <row r="55" spans="1:3" x14ac:dyDescent="0.35">
      <c r="A55" s="10" t="str">
        <f t="shared" si="1"/>
        <v>IRP23</v>
      </c>
      <c r="B55" s="3" t="s">
        <v>13</v>
      </c>
      <c r="C55" s="3" t="s">
        <v>9</v>
      </c>
    </row>
    <row r="56" spans="1:3" x14ac:dyDescent="0.35">
      <c r="A56" s="10" t="str">
        <f t="shared" si="1"/>
        <v>IRP23</v>
      </c>
      <c r="B56" s="7" t="s">
        <v>14</v>
      </c>
      <c r="C56" s="7" t="s">
        <v>9</v>
      </c>
    </row>
    <row r="57" spans="1:3" x14ac:dyDescent="0.35">
      <c r="A57" s="10" t="str">
        <f t="shared" si="1"/>
        <v>IRP23</v>
      </c>
      <c r="B57" s="3" t="s">
        <v>18</v>
      </c>
      <c r="C57" s="3" t="s">
        <v>9</v>
      </c>
    </row>
    <row r="58" spans="1:3" x14ac:dyDescent="0.35">
      <c r="A58" s="10" t="str">
        <f t="shared" si="1"/>
        <v>IRP23</v>
      </c>
      <c r="B58" s="7" t="s">
        <v>19</v>
      </c>
      <c r="C58" s="7" t="s">
        <v>9</v>
      </c>
    </row>
    <row r="59" spans="1:3" x14ac:dyDescent="0.35">
      <c r="A59" s="10" t="str">
        <f t="shared" si="1"/>
        <v>IRP23</v>
      </c>
      <c r="B59" s="3" t="s">
        <v>20</v>
      </c>
      <c r="C59" s="3" t="s">
        <v>9</v>
      </c>
    </row>
    <row r="60" spans="1:3" x14ac:dyDescent="0.35">
      <c r="A60" s="10" t="str">
        <f t="shared" si="1"/>
        <v>IRP23</v>
      </c>
      <c r="B60" s="7" t="s">
        <v>21</v>
      </c>
      <c r="C60" s="7" t="s">
        <v>9</v>
      </c>
    </row>
    <row r="61" spans="1:3" x14ac:dyDescent="0.35">
      <c r="A61" s="10" t="str">
        <f t="shared" si="1"/>
        <v>IRP23</v>
      </c>
      <c r="B61" s="3" t="s">
        <v>22</v>
      </c>
      <c r="C61" s="3" t="s">
        <v>9</v>
      </c>
    </row>
    <row r="62" spans="1:3" x14ac:dyDescent="0.35">
      <c r="A62" s="10" t="str">
        <f t="shared" si="1"/>
        <v>IRP23</v>
      </c>
      <c r="B62" s="7" t="s">
        <v>23</v>
      </c>
      <c r="C62" s="7" t="s">
        <v>9</v>
      </c>
    </row>
    <row r="63" spans="1:3" x14ac:dyDescent="0.35">
      <c r="A63" s="10" t="str">
        <f t="shared" si="1"/>
        <v>IRP23</v>
      </c>
      <c r="B63" s="3" t="s">
        <v>24</v>
      </c>
      <c r="C63" s="3" t="s">
        <v>9</v>
      </c>
    </row>
    <row r="64" spans="1:3" x14ac:dyDescent="0.35">
      <c r="A64" s="23" t="str">
        <f t="shared" si="1"/>
        <v>IRP23</v>
      </c>
      <c r="B64" s="18" t="s">
        <v>17</v>
      </c>
      <c r="C64" s="18" t="s">
        <v>9</v>
      </c>
    </row>
    <row r="65" spans="1:3" x14ac:dyDescent="0.35">
      <c r="A65" s="24" t="s">
        <v>25</v>
      </c>
      <c r="B65" s="3" t="s">
        <v>8</v>
      </c>
      <c r="C65" s="3" t="s">
        <v>9</v>
      </c>
    </row>
    <row r="66" spans="1:3" x14ac:dyDescent="0.35">
      <c r="A66" s="24" t="str">
        <f t="shared" ref="A66:A80" si="2">A65</f>
        <v>ME_IRP23</v>
      </c>
      <c r="B66" s="7" t="s">
        <v>10</v>
      </c>
      <c r="C66" s="7" t="s">
        <v>9</v>
      </c>
    </row>
    <row r="67" spans="1:3" x14ac:dyDescent="0.35">
      <c r="A67" s="24" t="str">
        <f t="shared" si="2"/>
        <v>ME_IRP23</v>
      </c>
      <c r="B67" s="3" t="s">
        <v>11</v>
      </c>
      <c r="C67" s="3" t="s">
        <v>9</v>
      </c>
    </row>
    <row r="68" spans="1:3" x14ac:dyDescent="0.35">
      <c r="A68" s="24" t="str">
        <f t="shared" si="2"/>
        <v>ME_IRP23</v>
      </c>
      <c r="B68" s="7" t="s">
        <v>12</v>
      </c>
      <c r="C68" s="7" t="s">
        <v>9</v>
      </c>
    </row>
    <row r="69" spans="1:3" x14ac:dyDescent="0.35">
      <c r="A69" s="24" t="str">
        <f t="shared" si="2"/>
        <v>ME_IRP23</v>
      </c>
      <c r="B69" s="3" t="s">
        <v>13</v>
      </c>
      <c r="C69" s="3" t="s">
        <v>9</v>
      </c>
    </row>
    <row r="70" spans="1:3" x14ac:dyDescent="0.35">
      <c r="A70" s="24" t="str">
        <f t="shared" si="2"/>
        <v>ME_IRP23</v>
      </c>
      <c r="B70" s="7" t="s">
        <v>14</v>
      </c>
      <c r="C70" s="7" t="s">
        <v>9</v>
      </c>
    </row>
    <row r="71" spans="1:3" x14ac:dyDescent="0.35">
      <c r="A71" s="24" t="str">
        <f t="shared" si="2"/>
        <v>ME_IRP23</v>
      </c>
      <c r="B71" s="3" t="s">
        <v>15</v>
      </c>
      <c r="C71" s="3" t="s">
        <v>9</v>
      </c>
    </row>
    <row r="72" spans="1:3" x14ac:dyDescent="0.35">
      <c r="A72" s="24" t="str">
        <f t="shared" si="2"/>
        <v>ME_IRP23</v>
      </c>
      <c r="B72" s="7" t="s">
        <v>16</v>
      </c>
      <c r="C72" s="7" t="s">
        <v>9</v>
      </c>
    </row>
    <row r="73" spans="1:3" x14ac:dyDescent="0.35">
      <c r="A73" s="24" t="str">
        <f>A70</f>
        <v>ME_IRP23</v>
      </c>
      <c r="B73" s="3" t="s">
        <v>18</v>
      </c>
      <c r="C73" s="3" t="s">
        <v>9</v>
      </c>
    </row>
    <row r="74" spans="1:3" x14ac:dyDescent="0.35">
      <c r="A74" s="24" t="str">
        <f t="shared" si="2"/>
        <v>ME_IRP23</v>
      </c>
      <c r="B74" s="7" t="s">
        <v>19</v>
      </c>
      <c r="C74" s="7" t="s">
        <v>9</v>
      </c>
    </row>
    <row r="75" spans="1:3" x14ac:dyDescent="0.35">
      <c r="A75" s="24" t="str">
        <f t="shared" si="2"/>
        <v>ME_IRP23</v>
      </c>
      <c r="B75" s="3" t="s">
        <v>20</v>
      </c>
      <c r="C75" s="3" t="s">
        <v>9</v>
      </c>
    </row>
    <row r="76" spans="1:3" x14ac:dyDescent="0.35">
      <c r="A76" s="24" t="str">
        <f t="shared" si="2"/>
        <v>ME_IRP23</v>
      </c>
      <c r="B76" s="7" t="s">
        <v>21</v>
      </c>
      <c r="C76" s="7" t="s">
        <v>9</v>
      </c>
    </row>
    <row r="77" spans="1:3" x14ac:dyDescent="0.35">
      <c r="A77" s="24" t="str">
        <f t="shared" si="2"/>
        <v>ME_IRP23</v>
      </c>
      <c r="B77" s="3" t="s">
        <v>22</v>
      </c>
      <c r="C77" s="3" t="s">
        <v>9</v>
      </c>
    </row>
    <row r="78" spans="1:3" x14ac:dyDescent="0.35">
      <c r="A78" s="24" t="str">
        <f t="shared" si="2"/>
        <v>ME_IRP23</v>
      </c>
      <c r="B78" s="7" t="s">
        <v>23</v>
      </c>
      <c r="C78" s="7" t="s">
        <v>9</v>
      </c>
    </row>
    <row r="79" spans="1:3" x14ac:dyDescent="0.35">
      <c r="A79" s="24" t="str">
        <f t="shared" si="2"/>
        <v>ME_IRP23</v>
      </c>
      <c r="B79" s="3" t="s">
        <v>24</v>
      </c>
      <c r="C79" s="3" t="s">
        <v>9</v>
      </c>
    </row>
    <row r="80" spans="1:3" x14ac:dyDescent="0.35">
      <c r="A80" s="25" t="str">
        <f t="shared" si="2"/>
        <v>ME_IRP23</v>
      </c>
      <c r="B80" s="18" t="s">
        <v>17</v>
      </c>
      <c r="C80" s="18" t="s">
        <v>9</v>
      </c>
    </row>
  </sheetData>
  <pageMargins left="0.7" right="0.7" top="0.75" bottom="0.75" header="0.3" footer="0.3"/>
  <customProperties>
    <customPr name="LastActive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A19A-4292-4C56-863C-96E8487C337E}">
  <dimension ref="A1:AM8"/>
  <sheetViews>
    <sheetView tabSelected="1" workbookViewId="0">
      <selection activeCell="K34" sqref="K34"/>
    </sheetView>
  </sheetViews>
  <sheetFormatPr defaultColWidth="8.81640625" defaultRowHeight="14.5" x14ac:dyDescent="0.35"/>
  <sheetData>
    <row r="1" spans="1:39" x14ac:dyDescent="0.35">
      <c r="A1" s="36" t="s">
        <v>0</v>
      </c>
      <c r="B1" s="37" t="s">
        <v>29</v>
      </c>
      <c r="C1" s="37">
        <v>2024</v>
      </c>
      <c r="D1" s="37">
        <v>2025</v>
      </c>
      <c r="E1" s="37">
        <f t="shared" ref="E1:AM1" si="0">D1+1</f>
        <v>2026</v>
      </c>
      <c r="F1" s="37">
        <f t="shared" si="0"/>
        <v>2027</v>
      </c>
      <c r="G1" s="37">
        <f t="shared" si="0"/>
        <v>2028</v>
      </c>
      <c r="H1" s="37">
        <f t="shared" si="0"/>
        <v>2029</v>
      </c>
      <c r="I1" s="37">
        <f t="shared" si="0"/>
        <v>2030</v>
      </c>
      <c r="J1" s="37">
        <f t="shared" si="0"/>
        <v>2031</v>
      </c>
      <c r="K1" s="37">
        <f t="shared" si="0"/>
        <v>2032</v>
      </c>
      <c r="L1" s="37">
        <f t="shared" si="0"/>
        <v>2033</v>
      </c>
      <c r="M1" s="37">
        <f t="shared" si="0"/>
        <v>2034</v>
      </c>
      <c r="N1" s="37">
        <f t="shared" si="0"/>
        <v>2035</v>
      </c>
      <c r="O1" s="37">
        <f t="shared" si="0"/>
        <v>2036</v>
      </c>
      <c r="P1" s="37">
        <f t="shared" si="0"/>
        <v>2037</v>
      </c>
      <c r="Q1" s="37">
        <f t="shared" si="0"/>
        <v>2038</v>
      </c>
      <c r="R1" s="37">
        <f t="shared" si="0"/>
        <v>2039</v>
      </c>
      <c r="S1" s="37">
        <f t="shared" si="0"/>
        <v>2040</v>
      </c>
      <c r="T1" s="37">
        <f t="shared" si="0"/>
        <v>2041</v>
      </c>
      <c r="U1" s="37">
        <f t="shared" si="0"/>
        <v>2042</v>
      </c>
      <c r="V1" s="37">
        <f t="shared" si="0"/>
        <v>2043</v>
      </c>
      <c r="W1" s="37">
        <f t="shared" si="0"/>
        <v>2044</v>
      </c>
      <c r="X1" s="37">
        <f t="shared" si="0"/>
        <v>2045</v>
      </c>
      <c r="Y1" s="37">
        <f t="shared" si="0"/>
        <v>2046</v>
      </c>
      <c r="Z1" s="37">
        <f t="shared" si="0"/>
        <v>2047</v>
      </c>
      <c r="AA1" s="37">
        <f t="shared" si="0"/>
        <v>2048</v>
      </c>
      <c r="AB1" s="37">
        <f t="shared" si="0"/>
        <v>2049</v>
      </c>
      <c r="AC1" s="37">
        <f t="shared" si="0"/>
        <v>2050</v>
      </c>
      <c r="AD1" s="38">
        <f t="shared" si="0"/>
        <v>2051</v>
      </c>
      <c r="AE1" s="38">
        <f t="shared" si="0"/>
        <v>2052</v>
      </c>
      <c r="AF1" s="38">
        <f t="shared" si="0"/>
        <v>2053</v>
      </c>
      <c r="AG1" s="38">
        <f t="shared" si="0"/>
        <v>2054</v>
      </c>
      <c r="AH1" s="38">
        <f t="shared" si="0"/>
        <v>2055</v>
      </c>
      <c r="AI1" s="38">
        <f t="shared" si="0"/>
        <v>2056</v>
      </c>
      <c r="AJ1" s="38">
        <f t="shared" si="0"/>
        <v>2057</v>
      </c>
      <c r="AK1" s="38">
        <f t="shared" si="0"/>
        <v>2058</v>
      </c>
      <c r="AL1" s="38">
        <f t="shared" si="0"/>
        <v>2059</v>
      </c>
      <c r="AM1" s="38">
        <f t="shared" si="0"/>
        <v>2060</v>
      </c>
    </row>
    <row r="2" spans="1:39" x14ac:dyDescent="0.35">
      <c r="A2" s="5" t="s">
        <v>30</v>
      </c>
      <c r="B2" s="9" t="s">
        <v>31</v>
      </c>
      <c r="C2" s="39">
        <v>0</v>
      </c>
      <c r="D2" s="39">
        <f t="shared" ref="D2:AM2" si="1">C2</f>
        <v>0</v>
      </c>
      <c r="E2" s="39">
        <f t="shared" si="1"/>
        <v>0</v>
      </c>
      <c r="F2" s="39">
        <f t="shared" si="1"/>
        <v>0</v>
      </c>
      <c r="G2" s="39">
        <f t="shared" si="1"/>
        <v>0</v>
      </c>
      <c r="H2" s="39">
        <f t="shared" si="1"/>
        <v>0</v>
      </c>
      <c r="I2" s="39">
        <f t="shared" si="1"/>
        <v>0</v>
      </c>
      <c r="J2" s="39">
        <f t="shared" si="1"/>
        <v>0</v>
      </c>
      <c r="K2" s="39">
        <f t="shared" si="1"/>
        <v>0</v>
      </c>
      <c r="L2" s="39">
        <f t="shared" si="1"/>
        <v>0</v>
      </c>
      <c r="M2" s="39">
        <f t="shared" si="1"/>
        <v>0</v>
      </c>
      <c r="N2" s="39">
        <f t="shared" si="1"/>
        <v>0</v>
      </c>
      <c r="O2" s="39">
        <f t="shared" si="1"/>
        <v>0</v>
      </c>
      <c r="P2" s="39">
        <f t="shared" si="1"/>
        <v>0</v>
      </c>
      <c r="Q2" s="39">
        <f t="shared" si="1"/>
        <v>0</v>
      </c>
      <c r="R2" s="39">
        <f t="shared" si="1"/>
        <v>0</v>
      </c>
      <c r="S2" s="39">
        <f t="shared" si="1"/>
        <v>0</v>
      </c>
      <c r="T2" s="39">
        <f t="shared" si="1"/>
        <v>0</v>
      </c>
      <c r="U2" s="39">
        <f t="shared" si="1"/>
        <v>0</v>
      </c>
      <c r="V2" s="39">
        <f t="shared" si="1"/>
        <v>0</v>
      </c>
      <c r="W2" s="39">
        <f t="shared" si="1"/>
        <v>0</v>
      </c>
      <c r="X2" s="39">
        <f t="shared" si="1"/>
        <v>0</v>
      </c>
      <c r="Y2" s="39">
        <f t="shared" si="1"/>
        <v>0</v>
      </c>
      <c r="Z2" s="39">
        <f t="shared" si="1"/>
        <v>0</v>
      </c>
      <c r="AA2" s="39">
        <f t="shared" si="1"/>
        <v>0</v>
      </c>
      <c r="AB2" s="39">
        <f t="shared" si="1"/>
        <v>0</v>
      </c>
      <c r="AC2" s="39">
        <f t="shared" si="1"/>
        <v>0</v>
      </c>
      <c r="AD2" s="40">
        <f t="shared" si="1"/>
        <v>0</v>
      </c>
      <c r="AE2" s="40">
        <f t="shared" si="1"/>
        <v>0</v>
      </c>
      <c r="AF2" s="40">
        <f t="shared" si="1"/>
        <v>0</v>
      </c>
      <c r="AG2" s="40">
        <f t="shared" si="1"/>
        <v>0</v>
      </c>
      <c r="AH2" s="40">
        <f t="shared" si="1"/>
        <v>0</v>
      </c>
      <c r="AI2" s="40">
        <f t="shared" si="1"/>
        <v>0</v>
      </c>
      <c r="AJ2" s="40">
        <f t="shared" si="1"/>
        <v>0</v>
      </c>
      <c r="AK2" s="40">
        <f t="shared" si="1"/>
        <v>0</v>
      </c>
      <c r="AL2" s="40">
        <f t="shared" si="1"/>
        <v>0</v>
      </c>
      <c r="AM2" s="40">
        <f t="shared" si="1"/>
        <v>0</v>
      </c>
    </row>
    <row r="3" spans="1:39" x14ac:dyDescent="0.35">
      <c r="A3" s="41" t="s">
        <v>7</v>
      </c>
      <c r="B3" s="42" t="s">
        <v>31</v>
      </c>
      <c r="C3" s="43">
        <v>0</v>
      </c>
      <c r="D3" s="44">
        <v>0</v>
      </c>
      <c r="E3" s="44">
        <v>308</v>
      </c>
      <c r="F3" s="44">
        <v>347</v>
      </c>
      <c r="G3" s="44">
        <v>385</v>
      </c>
      <c r="H3" s="44">
        <v>424</v>
      </c>
      <c r="I3" s="44">
        <v>462</v>
      </c>
      <c r="J3" s="44">
        <f t="shared" ref="J3:R3" si="2">($S$3-$I$3)/10+I3</f>
        <v>507.95</v>
      </c>
      <c r="K3" s="44">
        <f t="shared" si="2"/>
        <v>553.9</v>
      </c>
      <c r="L3" s="44">
        <f t="shared" si="2"/>
        <v>599.85</v>
      </c>
      <c r="M3" s="44">
        <f t="shared" si="2"/>
        <v>645.80000000000007</v>
      </c>
      <c r="N3" s="44">
        <f t="shared" si="2"/>
        <v>691.75000000000011</v>
      </c>
      <c r="O3" s="44">
        <f t="shared" si="2"/>
        <v>737.70000000000016</v>
      </c>
      <c r="P3" s="44">
        <f t="shared" si="2"/>
        <v>783.6500000000002</v>
      </c>
      <c r="Q3" s="44">
        <f t="shared" si="2"/>
        <v>829.60000000000025</v>
      </c>
      <c r="R3" s="44">
        <f t="shared" si="2"/>
        <v>875.5500000000003</v>
      </c>
      <c r="S3" s="44">
        <f>50*18.43</f>
        <v>921.5</v>
      </c>
      <c r="T3" s="44">
        <f t="shared" ref="T3:AB3" si="3">($AC$3-$S$3)/10+S3</f>
        <v>1013.65</v>
      </c>
      <c r="U3" s="44">
        <f t="shared" si="3"/>
        <v>1105.8</v>
      </c>
      <c r="V3" s="44">
        <f t="shared" si="3"/>
        <v>1197.95</v>
      </c>
      <c r="W3" s="44">
        <f t="shared" si="3"/>
        <v>1290.1000000000001</v>
      </c>
      <c r="X3" s="44">
        <f t="shared" si="3"/>
        <v>1382.2500000000002</v>
      </c>
      <c r="Y3" s="44">
        <f t="shared" si="3"/>
        <v>1474.4000000000003</v>
      </c>
      <c r="Z3" s="44">
        <f t="shared" si="3"/>
        <v>1566.5500000000004</v>
      </c>
      <c r="AA3" s="44">
        <f t="shared" si="3"/>
        <v>1658.7000000000005</v>
      </c>
      <c r="AB3" s="44">
        <f t="shared" si="3"/>
        <v>1750.8500000000006</v>
      </c>
      <c r="AC3" s="44">
        <f>100*18.43</f>
        <v>1843</v>
      </c>
      <c r="AD3" s="44">
        <f t="shared" ref="AD3:AM3" si="4">+($AC$3-$S$3)/10+AC3</f>
        <v>1935.15</v>
      </c>
      <c r="AE3" s="44">
        <f t="shared" si="4"/>
        <v>2027.3000000000002</v>
      </c>
      <c r="AF3" s="44">
        <f t="shared" si="4"/>
        <v>2119.4500000000003</v>
      </c>
      <c r="AG3" s="44">
        <f t="shared" si="4"/>
        <v>2211.6000000000004</v>
      </c>
      <c r="AH3" s="44">
        <f t="shared" si="4"/>
        <v>2303.7500000000005</v>
      </c>
      <c r="AI3" s="44">
        <f t="shared" si="4"/>
        <v>2395.9000000000005</v>
      </c>
      <c r="AJ3" s="44">
        <f t="shared" si="4"/>
        <v>2488.0500000000006</v>
      </c>
      <c r="AK3" s="44">
        <f t="shared" si="4"/>
        <v>2580.2000000000007</v>
      </c>
      <c r="AL3" s="44">
        <f t="shared" si="4"/>
        <v>2672.3500000000008</v>
      </c>
      <c r="AM3" s="44">
        <f t="shared" si="4"/>
        <v>2764.5000000000009</v>
      </c>
    </row>
    <row r="4" spans="1:39" x14ac:dyDescent="0.35">
      <c r="A4" s="45" t="s">
        <v>32</v>
      </c>
      <c r="B4" s="46" t="s">
        <v>31</v>
      </c>
      <c r="C4">
        <v>30</v>
      </c>
      <c r="D4">
        <v>30</v>
      </c>
      <c r="E4">
        <v>30</v>
      </c>
      <c r="F4">
        <v>30</v>
      </c>
      <c r="G4">
        <v>30</v>
      </c>
      <c r="H4">
        <v>30</v>
      </c>
      <c r="I4">
        <v>30</v>
      </c>
      <c r="J4">
        <v>127.05</v>
      </c>
      <c r="K4">
        <v>138.6</v>
      </c>
      <c r="L4">
        <v>150.15</v>
      </c>
      <c r="M4">
        <v>161.69999999999999</v>
      </c>
      <c r="N4">
        <v>173.25</v>
      </c>
      <c r="O4">
        <v>230.08</v>
      </c>
      <c r="P4">
        <v>292.57</v>
      </c>
      <c r="Q4">
        <v>360.72</v>
      </c>
      <c r="R4">
        <v>434.53</v>
      </c>
      <c r="S4" s="40">
        <v>514</v>
      </c>
      <c r="T4">
        <v>599.13</v>
      </c>
      <c r="U4">
        <v>689.92</v>
      </c>
      <c r="V4">
        <v>786.37</v>
      </c>
      <c r="W4">
        <v>888.48</v>
      </c>
      <c r="X4">
        <v>996.25</v>
      </c>
      <c r="Y4">
        <v>1109.68</v>
      </c>
      <c r="Z4">
        <v>1183.26</v>
      </c>
      <c r="AA4">
        <v>1256.8399999999999</v>
      </c>
      <c r="AB4">
        <v>1330.42</v>
      </c>
      <c r="AC4">
        <v>1404</v>
      </c>
      <c r="AD4">
        <v>1477.58</v>
      </c>
      <c r="AE4">
        <v>1551.16</v>
      </c>
      <c r="AF4">
        <v>1624.74</v>
      </c>
      <c r="AG4">
        <v>1698.32</v>
      </c>
      <c r="AH4">
        <v>1771.9</v>
      </c>
      <c r="AI4">
        <v>1845.48</v>
      </c>
      <c r="AJ4">
        <v>1919.06</v>
      </c>
      <c r="AK4">
        <v>1992.64</v>
      </c>
      <c r="AL4">
        <v>2066.2199999999998</v>
      </c>
      <c r="AM4">
        <v>2139.8000000000002</v>
      </c>
    </row>
    <row r="5" spans="1:39" x14ac:dyDescent="0.35">
      <c r="A5" s="47" t="s">
        <v>33</v>
      </c>
      <c r="B5" s="46" t="s">
        <v>31</v>
      </c>
      <c r="C5">
        <v>30</v>
      </c>
      <c r="D5">
        <v>30</v>
      </c>
      <c r="E5">
        <v>30</v>
      </c>
      <c r="F5">
        <v>30</v>
      </c>
      <c r="G5">
        <v>30</v>
      </c>
      <c r="H5">
        <v>30</v>
      </c>
      <c r="I5">
        <v>30</v>
      </c>
      <c r="J5">
        <v>242.55</v>
      </c>
      <c r="K5">
        <v>254.1</v>
      </c>
      <c r="L5">
        <v>265.64999999999998</v>
      </c>
      <c r="M5">
        <v>277.2</v>
      </c>
      <c r="N5">
        <v>288.75</v>
      </c>
      <c r="O5">
        <v>373.88</v>
      </c>
      <c r="P5">
        <v>464.67</v>
      </c>
      <c r="Q5">
        <v>561.12</v>
      </c>
      <c r="R5">
        <v>663.23</v>
      </c>
      <c r="S5">
        <v>771</v>
      </c>
      <c r="T5">
        <v>884.43</v>
      </c>
      <c r="U5">
        <v>1003.52</v>
      </c>
      <c r="V5">
        <v>1128.27</v>
      </c>
      <c r="W5">
        <v>1258.68</v>
      </c>
      <c r="X5">
        <v>1394.75</v>
      </c>
      <c r="Y5">
        <v>1536.48</v>
      </c>
      <c r="Z5">
        <v>1638.36</v>
      </c>
      <c r="AA5">
        <v>1740.24</v>
      </c>
      <c r="AB5">
        <v>1842.12</v>
      </c>
      <c r="AC5">
        <v>1944</v>
      </c>
      <c r="AD5">
        <v>2045.88</v>
      </c>
      <c r="AE5">
        <v>2147.7600000000002</v>
      </c>
      <c r="AF5">
        <v>2249.64</v>
      </c>
      <c r="AG5">
        <v>2351.52</v>
      </c>
      <c r="AH5">
        <v>2453.4</v>
      </c>
      <c r="AI5">
        <v>2555.2800000000002</v>
      </c>
      <c r="AJ5">
        <v>2657.16</v>
      </c>
      <c r="AK5">
        <v>2759.04</v>
      </c>
      <c r="AL5">
        <v>2860.92</v>
      </c>
      <c r="AM5">
        <v>2962.8</v>
      </c>
    </row>
    <row r="6" spans="1:39" x14ac:dyDescent="0.35">
      <c r="A6" s="48" t="s">
        <v>34</v>
      </c>
      <c r="B6" s="46" t="s">
        <v>31</v>
      </c>
      <c r="C6">
        <v>30</v>
      </c>
      <c r="D6">
        <v>30</v>
      </c>
      <c r="E6">
        <v>30</v>
      </c>
      <c r="F6">
        <v>30</v>
      </c>
      <c r="G6">
        <v>30</v>
      </c>
      <c r="H6">
        <v>30</v>
      </c>
      <c r="I6">
        <v>30</v>
      </c>
      <c r="J6">
        <v>462</v>
      </c>
      <c r="K6">
        <v>462</v>
      </c>
      <c r="L6">
        <v>462</v>
      </c>
      <c r="M6">
        <v>462</v>
      </c>
      <c r="N6">
        <v>462</v>
      </c>
      <c r="O6">
        <v>575.20000000000005</v>
      </c>
      <c r="P6">
        <v>688.4</v>
      </c>
      <c r="Q6">
        <v>801.6</v>
      </c>
      <c r="R6">
        <v>914.8</v>
      </c>
      <c r="S6">
        <v>1028</v>
      </c>
      <c r="T6">
        <v>1141.2</v>
      </c>
      <c r="U6">
        <v>1254.4000000000001</v>
      </c>
      <c r="V6">
        <v>1367.6</v>
      </c>
      <c r="W6">
        <v>1480.8</v>
      </c>
      <c r="X6">
        <v>1594</v>
      </c>
      <c r="Y6">
        <v>1707.2</v>
      </c>
      <c r="Z6">
        <v>1820.4</v>
      </c>
      <c r="AA6">
        <v>1933.6</v>
      </c>
      <c r="AB6">
        <v>2046.8</v>
      </c>
      <c r="AC6">
        <v>2160</v>
      </c>
      <c r="AD6">
        <v>2273.1999999999998</v>
      </c>
      <c r="AE6">
        <v>2386.4</v>
      </c>
      <c r="AF6">
        <v>2499.6</v>
      </c>
      <c r="AG6">
        <v>2612.8000000000002</v>
      </c>
      <c r="AH6">
        <v>2726</v>
      </c>
      <c r="AI6">
        <v>2839.2</v>
      </c>
      <c r="AJ6">
        <v>2952.4</v>
      </c>
      <c r="AK6">
        <v>3065.6</v>
      </c>
      <c r="AL6">
        <v>3178.8</v>
      </c>
      <c r="AM6">
        <v>3292</v>
      </c>
    </row>
    <row r="8" spans="1:39" x14ac:dyDescent="0.35">
      <c r="A8" t="s">
        <v>35</v>
      </c>
    </row>
  </sheetData>
  <pageMargins left="0.7" right="0.7" top="0.75" bottom="0.75" header="0.3" footer="0.3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fixed_generators</vt:lpstr>
      <vt:lpstr>extendable_generators</vt:lpstr>
      <vt:lpstr>green_NH3</vt:lpstr>
      <vt:lpstr>fuel_and_co2tax</vt:lpstr>
      <vt:lpstr>carbon_tax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Klein</dc:creator>
  <dc:description/>
  <cp:lastModifiedBy>Ndivhuwo Segakweng</cp:lastModifiedBy>
  <cp:revision>1</cp:revision>
  <dcterms:created xsi:type="dcterms:W3CDTF">2024-12-02T10:02:30Z</dcterms:created>
  <dcterms:modified xsi:type="dcterms:W3CDTF">2025-11-17T12:56:39Z</dcterms:modified>
  <dc:language>en-GB</dc:language>
</cp:coreProperties>
</file>